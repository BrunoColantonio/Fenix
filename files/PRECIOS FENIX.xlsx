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 HDD\"/>
    </mc:Choice>
  </mc:AlternateContent>
  <xr:revisionPtr revIDLastSave="0" documentId="13_ncr:1_{32EBD26F-5AB8-4609-B249-057B1A3EC5F0}" xr6:coauthVersionLast="47" xr6:coauthVersionMax="47" xr10:uidLastSave="{00000000-0000-0000-0000-000000000000}"/>
  <bookViews>
    <workbookView xWindow="-110" yWindow="-110" windowWidth="19420" windowHeight="10300" tabRatio="602" xr2:uid="{00000000-000D-0000-FFFF-FFFF00000000}"/>
  </bookViews>
  <sheets>
    <sheet name="Hoja1" sheetId="1" r:id="rId1"/>
  </sheets>
  <definedNames>
    <definedName name="_xlnm._FilterDatabase" localSheetId="0" hidden="1">Hoja1!$A$7:$I$4004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86" i="1" l="1"/>
  <c r="F2886" i="1" s="1"/>
  <c r="H2886" i="1"/>
  <c r="I2886" i="1"/>
  <c r="G2886" i="1" l="1"/>
  <c r="E3354" i="1"/>
  <c r="G3354" i="1" s="1"/>
  <c r="E3353" i="1"/>
  <c r="G3353" i="1" s="1"/>
  <c r="E3352" i="1"/>
  <c r="G3352" i="1" s="1"/>
  <c r="I3353" i="1" l="1"/>
  <c r="F3353" i="1"/>
  <c r="F3354" i="1"/>
  <c r="I3352" i="1"/>
  <c r="F3352" i="1"/>
  <c r="I3354" i="1"/>
  <c r="H3354" i="1"/>
  <c r="H3353" i="1"/>
  <c r="H3352" i="1"/>
  <c r="E2814" i="1"/>
  <c r="F2814" i="1" s="1"/>
  <c r="I2814" i="1" l="1"/>
  <c r="H2814" i="1"/>
  <c r="G2814" i="1"/>
  <c r="E2980" i="1"/>
  <c r="G2980" i="1" s="1"/>
  <c r="E2600" i="1"/>
  <c r="F2600" i="1" s="1"/>
  <c r="I2980" i="1" l="1"/>
  <c r="F2980" i="1"/>
  <c r="H2980" i="1"/>
  <c r="I2600" i="1"/>
  <c r="H2600" i="1"/>
  <c r="G260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11" i="1"/>
  <c r="G3374" i="1" l="1"/>
  <c r="F3374" i="1"/>
  <c r="H3374" i="1"/>
  <c r="I3374" i="1"/>
  <c r="F3373" i="1"/>
  <c r="G3373" i="1"/>
  <c r="H3373" i="1"/>
  <c r="I3373" i="1"/>
  <c r="F3372" i="1"/>
  <c r="G3372" i="1" l="1"/>
  <c r="I3372" i="1"/>
  <c r="H3372" i="1"/>
  <c r="G1978" i="1"/>
  <c r="F1975" i="1"/>
  <c r="G1974" i="1"/>
  <c r="G1973" i="1"/>
  <c r="F1973" i="1"/>
  <c r="I1973" i="1" l="1"/>
  <c r="F1974" i="1"/>
  <c r="F1978" i="1"/>
  <c r="I1974" i="1"/>
  <c r="I1978" i="1"/>
  <c r="H1978" i="1"/>
  <c r="I1975" i="1"/>
  <c r="H1975" i="1"/>
  <c r="G1975" i="1"/>
  <c r="H1974" i="1"/>
  <c r="H1973" i="1"/>
  <c r="F1950" i="1"/>
  <c r="I1950" i="1" l="1"/>
  <c r="H1950" i="1"/>
  <c r="G1950" i="1"/>
  <c r="G1830" i="1"/>
  <c r="F1829" i="1"/>
  <c r="I1830" i="1" l="1"/>
  <c r="F1830" i="1"/>
  <c r="H1830" i="1"/>
  <c r="I1829" i="1"/>
  <c r="H1829" i="1"/>
  <c r="G1829" i="1"/>
  <c r="I1870" i="1"/>
  <c r="I1871" i="1"/>
  <c r="F1871" i="1" l="1"/>
  <c r="F1870" i="1"/>
  <c r="H1871" i="1"/>
  <c r="H1870" i="1"/>
  <c r="G1871" i="1"/>
  <c r="G1870" i="1"/>
  <c r="I4004" i="1"/>
  <c r="I4003" i="1"/>
  <c r="I4000" i="1"/>
  <c r="F3999" i="1"/>
  <c r="G3998" i="1"/>
  <c r="I3996" i="1"/>
  <c r="G3994" i="1"/>
  <c r="F3991" i="1"/>
  <c r="I3987" i="1"/>
  <c r="H3983" i="1"/>
  <c r="G3982" i="1"/>
  <c r="I3981" i="1"/>
  <c r="I3980" i="1"/>
  <c r="H3978" i="1"/>
  <c r="I3976" i="1"/>
  <c r="G3974" i="1"/>
  <c r="G3970" i="1"/>
  <c r="F3967" i="1"/>
  <c r="I3960" i="1"/>
  <c r="F3959" i="1"/>
  <c r="G3958" i="1"/>
  <c r="I3956" i="1"/>
  <c r="F3951" i="1"/>
  <c r="G3950" i="1"/>
  <c r="F3947" i="1"/>
  <c r="G3946" i="1"/>
  <c r="I3944" i="1"/>
  <c r="F3943" i="1"/>
  <c r="G3942" i="1"/>
  <c r="I3940" i="1"/>
  <c r="F3939" i="1"/>
  <c r="G3938" i="1"/>
  <c r="I3936" i="1"/>
  <c r="F3935" i="1"/>
  <c r="G3934" i="1"/>
  <c r="F3931" i="1"/>
  <c r="I3924" i="1"/>
  <c r="F3923" i="1"/>
  <c r="G3922" i="1"/>
  <c r="I3920" i="1"/>
  <c r="I3918" i="1"/>
  <c r="G3916" i="1"/>
  <c r="I3914" i="1"/>
  <c r="H3913" i="1"/>
  <c r="H3907" i="1"/>
  <c r="F3906" i="1"/>
  <c r="F3905" i="1"/>
  <c r="I3903" i="1"/>
  <c r="F3901" i="1"/>
  <c r="I3898" i="1"/>
  <c r="I3897" i="1"/>
  <c r="H3893" i="1"/>
  <c r="F3892" i="1"/>
  <c r="H3891" i="1"/>
  <c r="F3890" i="1"/>
  <c r="F3888" i="1"/>
  <c r="I3887" i="1"/>
  <c r="I3882" i="1"/>
  <c r="I3881" i="1"/>
  <c r="F3880" i="1"/>
  <c r="G3877" i="1"/>
  <c r="I3875" i="1"/>
  <c r="F3874" i="1"/>
  <c r="I3871" i="1"/>
  <c r="F3870" i="1"/>
  <c r="I3866" i="1"/>
  <c r="I3865" i="1"/>
  <c r="F3864" i="1"/>
  <c r="I3861" i="1"/>
  <c r="F3860" i="1"/>
  <c r="I3859" i="1"/>
  <c r="F3858" i="1"/>
  <c r="F3857" i="1"/>
  <c r="F3856" i="1"/>
  <c r="I3855" i="1"/>
  <c r="F3854" i="1"/>
  <c r="F3852" i="1"/>
  <c r="I3850" i="1"/>
  <c r="F3849" i="1"/>
  <c r="F3845" i="1"/>
  <c r="H3843" i="1"/>
  <c r="I3841" i="1"/>
  <c r="H3839" i="1"/>
  <c r="I3836" i="1"/>
  <c r="F3835" i="1"/>
  <c r="H3832" i="1"/>
  <c r="I3830" i="1"/>
  <c r="F3827" i="1"/>
  <c r="I3826" i="1"/>
  <c r="F3823" i="1"/>
  <c r="F3821" i="1"/>
  <c r="G3819" i="1"/>
  <c r="H3818" i="1"/>
  <c r="H3816" i="1"/>
  <c r="F3815" i="1"/>
  <c r="F3811" i="1"/>
  <c r="I3810" i="1"/>
  <c r="F3807" i="1"/>
  <c r="I3804" i="1"/>
  <c r="G3803" i="1"/>
  <c r="F3791" i="1"/>
  <c r="F3789" i="1"/>
  <c r="G3787" i="1"/>
  <c r="F3781" i="1"/>
  <c r="I3780" i="1"/>
  <c r="I3777" i="1"/>
  <c r="G3771" i="1"/>
  <c r="H3766" i="1"/>
  <c r="I3760" i="1"/>
  <c r="G3759" i="1"/>
  <c r="G3755" i="1"/>
  <c r="H3750" i="1"/>
  <c r="I3748" i="1"/>
  <c r="F3739" i="1"/>
  <c r="I3736" i="1"/>
  <c r="F3735" i="1"/>
  <c r="H3734" i="1"/>
  <c r="I3732" i="1"/>
  <c r="G3731" i="1"/>
  <c r="F3719" i="1"/>
  <c r="I3717" i="1"/>
  <c r="F3709" i="1"/>
  <c r="F3704" i="1"/>
  <c r="H3703" i="1"/>
  <c r="G3693" i="1"/>
  <c r="I3692" i="1"/>
  <c r="H3689" i="1"/>
  <c r="F3688" i="1"/>
  <c r="I3683" i="1"/>
  <c r="F3680" i="1"/>
  <c r="I3678" i="1"/>
  <c r="H3676" i="1"/>
  <c r="F3672" i="1"/>
  <c r="F3668" i="1"/>
  <c r="I3667" i="1"/>
  <c r="I3666" i="1"/>
  <c r="I3665" i="1"/>
  <c r="I3662" i="1"/>
  <c r="F3661" i="1"/>
  <c r="I3657" i="1"/>
  <c r="G3656" i="1"/>
  <c r="F3653" i="1"/>
  <c r="I3651" i="1"/>
  <c r="F3649" i="1"/>
  <c r="I3646" i="1"/>
  <c r="I3645" i="1"/>
  <c r="F3644" i="1"/>
  <c r="H3639" i="1"/>
  <c r="F3638" i="1"/>
  <c r="H3637" i="1"/>
  <c r="I3635" i="1"/>
  <c r="F3634" i="1"/>
  <c r="I3633" i="1"/>
  <c r="I3631" i="1"/>
  <c r="F3629" i="1"/>
  <c r="I3627" i="1"/>
  <c r="F3624" i="1"/>
  <c r="I3623" i="1"/>
  <c r="I3619" i="1"/>
  <c r="F3618" i="1"/>
  <c r="I3617" i="1"/>
  <c r="G3616" i="1"/>
  <c r="I3615" i="1"/>
  <c r="I3611" i="1"/>
  <c r="I3610" i="1"/>
  <c r="F3608" i="1"/>
  <c r="I3607" i="1"/>
  <c r="I3605" i="1"/>
  <c r="F3604" i="1"/>
  <c r="I3603" i="1"/>
  <c r="F3602" i="1"/>
  <c r="I3599" i="1"/>
  <c r="I3595" i="1"/>
  <c r="H3590" i="1"/>
  <c r="F3589" i="1"/>
  <c r="G3587" i="1"/>
  <c r="H3586" i="1"/>
  <c r="H3582" i="1"/>
  <c r="G3579" i="1"/>
  <c r="H3578" i="1"/>
  <c r="I3577" i="1"/>
  <c r="F3574" i="1"/>
  <c r="I3572" i="1"/>
  <c r="F3571" i="1"/>
  <c r="I3568" i="1"/>
  <c r="I3567" i="1"/>
  <c r="G3566" i="1"/>
  <c r="I3564" i="1"/>
  <c r="I3563" i="1"/>
  <c r="F3562" i="1"/>
  <c r="I3560" i="1"/>
  <c r="I3559" i="1"/>
  <c r="F3558" i="1"/>
  <c r="F3554" i="1"/>
  <c r="F3551" i="1"/>
  <c r="H3548" i="1"/>
  <c r="I3546" i="1"/>
  <c r="I3545" i="1"/>
  <c r="I3544" i="1"/>
  <c r="I3542" i="1"/>
  <c r="I3539" i="1"/>
  <c r="F3537" i="1"/>
  <c r="G3533" i="1"/>
  <c r="H3528" i="1"/>
  <c r="F3525" i="1"/>
  <c r="I3522" i="1"/>
  <c r="I3520" i="1"/>
  <c r="I3516" i="1"/>
  <c r="F3514" i="1"/>
  <c r="H3512" i="1"/>
  <c r="F3511" i="1"/>
  <c r="F3509" i="1"/>
  <c r="I3508" i="1"/>
  <c r="G3505" i="1"/>
  <c r="H3500" i="1"/>
  <c r="I3498" i="1"/>
  <c r="F3495" i="1"/>
  <c r="F3494" i="1"/>
  <c r="I3490" i="1"/>
  <c r="F3489" i="1"/>
  <c r="I3482" i="1"/>
  <c r="F3479" i="1"/>
  <c r="F3473" i="1"/>
  <c r="H3472" i="1"/>
  <c r="I3470" i="1"/>
  <c r="G3469" i="1"/>
  <c r="F3465" i="1"/>
  <c r="F3463" i="1"/>
  <c r="I3462" i="1"/>
  <c r="F3461" i="1"/>
  <c r="I3460" i="1"/>
  <c r="I3458" i="1"/>
  <c r="G3457" i="1"/>
  <c r="I3456" i="1"/>
  <c r="I3450" i="1"/>
  <c r="F3449" i="1"/>
  <c r="F3447" i="1"/>
  <c r="I3446" i="1"/>
  <c r="G3445" i="1"/>
  <c r="H3441" i="1"/>
  <c r="I3440" i="1"/>
  <c r="I3439" i="1"/>
  <c r="I3436" i="1"/>
  <c r="I3432" i="1"/>
  <c r="F3431" i="1"/>
  <c r="G3429" i="1"/>
  <c r="I3428" i="1"/>
  <c r="I3422" i="1"/>
  <c r="F3421" i="1"/>
  <c r="F3418" i="1"/>
  <c r="H3416" i="1"/>
  <c r="F3411" i="1"/>
  <c r="F3410" i="1"/>
  <c r="I3408" i="1"/>
  <c r="F3406" i="1"/>
  <c r="F3402" i="1"/>
  <c r="I3400" i="1"/>
  <c r="F3398" i="1"/>
  <c r="I3396" i="1"/>
  <c r="F3395" i="1"/>
  <c r="G3393" i="1"/>
  <c r="H3388" i="1"/>
  <c r="I3386" i="1"/>
  <c r="F3379" i="1"/>
  <c r="I3376" i="1"/>
  <c r="H3369" i="1"/>
  <c r="I3367" i="1"/>
  <c r="G3366" i="1"/>
  <c r="F3360" i="1"/>
  <c r="H3357" i="1"/>
  <c r="I3355" i="1"/>
  <c r="G3347" i="1"/>
  <c r="F3341" i="1"/>
  <c r="H3339" i="1"/>
  <c r="G3337" i="1"/>
  <c r="G3335" i="1"/>
  <c r="I3334" i="1"/>
  <c r="F3333" i="1"/>
  <c r="I3330" i="1"/>
  <c r="I3326" i="1"/>
  <c r="G3323" i="1"/>
  <c r="I3322" i="1"/>
  <c r="I3321" i="1"/>
  <c r="I3318" i="1"/>
  <c r="I3317" i="1"/>
  <c r="I3314" i="1"/>
  <c r="F3311" i="1"/>
  <c r="I3310" i="1"/>
  <c r="I3306" i="1"/>
  <c r="I3304" i="1"/>
  <c r="G3303" i="1"/>
  <c r="F3301" i="1"/>
  <c r="H3299" i="1"/>
  <c r="G3291" i="1"/>
  <c r="F3288" i="1"/>
  <c r="G3287" i="1"/>
  <c r="H3282" i="1"/>
  <c r="I3280" i="1"/>
  <c r="F3279" i="1"/>
  <c r="I3276" i="1"/>
  <c r="G3271" i="1"/>
  <c r="H3266" i="1"/>
  <c r="I3264" i="1"/>
  <c r="F3263" i="1"/>
  <c r="I3260" i="1"/>
  <c r="I3256" i="1"/>
  <c r="I3252" i="1"/>
  <c r="H3250" i="1"/>
  <c r="G3248" i="1"/>
  <c r="I3246" i="1"/>
  <c r="I3241" i="1"/>
  <c r="F3240" i="1"/>
  <c r="F3238" i="1"/>
  <c r="I3237" i="1"/>
  <c r="I3235" i="1"/>
  <c r="I3234" i="1"/>
  <c r="F3232" i="1"/>
  <c r="I3230" i="1"/>
  <c r="I3229" i="1"/>
  <c r="G3228" i="1"/>
  <c r="I3225" i="1"/>
  <c r="F3222" i="1"/>
  <c r="I3221" i="1"/>
  <c r="I3219" i="1"/>
  <c r="I3214" i="1"/>
  <c r="F3213" i="1"/>
  <c r="G3208" i="1"/>
  <c r="F3206" i="1"/>
  <c r="G3204" i="1"/>
  <c r="I3203" i="1"/>
  <c r="G3200" i="1"/>
  <c r="I3198" i="1"/>
  <c r="H3197" i="1"/>
  <c r="H3191" i="1"/>
  <c r="F3190" i="1"/>
  <c r="I3187" i="1"/>
  <c r="F3185" i="1"/>
  <c r="I3182" i="1"/>
  <c r="H3177" i="1"/>
  <c r="I3175" i="1"/>
  <c r="F3174" i="1"/>
  <c r="H3173" i="1"/>
  <c r="I3171" i="1"/>
  <c r="F3168" i="1"/>
  <c r="I3166" i="1"/>
  <c r="G3164" i="1"/>
  <c r="I3161" i="1"/>
  <c r="F3158" i="1"/>
  <c r="H3157" i="1"/>
  <c r="H3156" i="1"/>
  <c r="I3155" i="1"/>
  <c r="H3153" i="1"/>
  <c r="I3150" i="1"/>
  <c r="G3145" i="1"/>
  <c r="F3142" i="1"/>
  <c r="I3141" i="1"/>
  <c r="I3139" i="1"/>
  <c r="I3138" i="1"/>
  <c r="I3134" i="1"/>
  <c r="F3132" i="1"/>
  <c r="F3129" i="1"/>
  <c r="F3126" i="1"/>
  <c r="I3123" i="1"/>
  <c r="I3118" i="1"/>
  <c r="I3117" i="1"/>
  <c r="I3111" i="1"/>
  <c r="F3110" i="1"/>
  <c r="F3108" i="1"/>
  <c r="I3107" i="1"/>
  <c r="F3104" i="1"/>
  <c r="I3102" i="1"/>
  <c r="G3100" i="1"/>
  <c r="F3094" i="1"/>
  <c r="G3092" i="1"/>
  <c r="I3091" i="1"/>
  <c r="I3089" i="1"/>
  <c r="I3087" i="1"/>
  <c r="F3086" i="1"/>
  <c r="F3085" i="1"/>
  <c r="I3083" i="1"/>
  <c r="I3082" i="1"/>
  <c r="F3080" i="1"/>
  <c r="I3079" i="1"/>
  <c r="I3077" i="1"/>
  <c r="I3075" i="1"/>
  <c r="F3074" i="1"/>
  <c r="I3071" i="1"/>
  <c r="F3070" i="1"/>
  <c r="I3067" i="1"/>
  <c r="I3063" i="1"/>
  <c r="F3060" i="1"/>
  <c r="I3059" i="1"/>
  <c r="G3056" i="1"/>
  <c r="I3055" i="1"/>
  <c r="F3054" i="1"/>
  <c r="I3051" i="1"/>
  <c r="F3048" i="1"/>
  <c r="I3047" i="1"/>
  <c r="I3045" i="1"/>
  <c r="F3044" i="1"/>
  <c r="I3043" i="1"/>
  <c r="I3039" i="1"/>
  <c r="I3038" i="1"/>
  <c r="I3035" i="1"/>
  <c r="I3034" i="1"/>
  <c r="I3031" i="1"/>
  <c r="I3030" i="1"/>
  <c r="F3028" i="1"/>
  <c r="I3027" i="1"/>
  <c r="I3026" i="1"/>
  <c r="F3024" i="1"/>
  <c r="I3022" i="1"/>
  <c r="H3019" i="1"/>
  <c r="H3015" i="1"/>
  <c r="F3014" i="1"/>
  <c r="F3012" i="1"/>
  <c r="G3010" i="1"/>
  <c r="I3007" i="1"/>
  <c r="G3006" i="1"/>
  <c r="I3005" i="1"/>
  <c r="H3001" i="1"/>
  <c r="I2997" i="1"/>
  <c r="F2996" i="1"/>
  <c r="G2994" i="1"/>
  <c r="G2986" i="1"/>
  <c r="H2981" i="1"/>
  <c r="F2979" i="1"/>
  <c r="I2978" i="1"/>
  <c r="I2976" i="1"/>
  <c r="I2974" i="1"/>
  <c r="G2973" i="1"/>
  <c r="I2971" i="1"/>
  <c r="F2970" i="1"/>
  <c r="I2964" i="1"/>
  <c r="F2963" i="1"/>
  <c r="I2962" i="1"/>
  <c r="I2961" i="1"/>
  <c r="I2960" i="1"/>
  <c r="I2955" i="1"/>
  <c r="H2953" i="1"/>
  <c r="F2952" i="1"/>
  <c r="H2947" i="1"/>
  <c r="H2945" i="1"/>
  <c r="F2944" i="1"/>
  <c r="I2943" i="1"/>
  <c r="I2942" i="1"/>
  <c r="F2936" i="1"/>
  <c r="F2933" i="1"/>
  <c r="F2925" i="1"/>
  <c r="H2921" i="1"/>
  <c r="F2920" i="1"/>
  <c r="F2916" i="1"/>
  <c r="G2914" i="1"/>
  <c r="F2912" i="1"/>
  <c r="I2911" i="1"/>
  <c r="G2910" i="1"/>
  <c r="F2908" i="1"/>
  <c r="G2906" i="1"/>
  <c r="F2904" i="1"/>
  <c r="I2903" i="1"/>
  <c r="G2902" i="1"/>
  <c r="F2900" i="1"/>
  <c r="G2898" i="1"/>
  <c r="F2896" i="1"/>
  <c r="I2895" i="1"/>
  <c r="G2894" i="1"/>
  <c r="F2892" i="1"/>
  <c r="G2890" i="1"/>
  <c r="F2888" i="1"/>
  <c r="I2887" i="1"/>
  <c r="G2885" i="1"/>
  <c r="F2883" i="1"/>
  <c r="G2881" i="1"/>
  <c r="F2877" i="1"/>
  <c r="F2875" i="1"/>
  <c r="G2873" i="1"/>
  <c r="G2870" i="1"/>
  <c r="G2865" i="1"/>
  <c r="I2864" i="1"/>
  <c r="H2862" i="1"/>
  <c r="G2861" i="1"/>
  <c r="I2859" i="1"/>
  <c r="H2858" i="1"/>
  <c r="F2849" i="1"/>
  <c r="F2845" i="1"/>
  <c r="F2833" i="1"/>
  <c r="F2829" i="1"/>
  <c r="F2817" i="1"/>
  <c r="F2812" i="1"/>
  <c r="F2800" i="1"/>
  <c r="F2796" i="1"/>
  <c r="F2790" i="1"/>
  <c r="H2788" i="1"/>
  <c r="F2787" i="1"/>
  <c r="I2785" i="1"/>
  <c r="F2784" i="1"/>
  <c r="I2781" i="1"/>
  <c r="G2779" i="1"/>
  <c r="I2777" i="1"/>
  <c r="F2775" i="1"/>
  <c r="I2773" i="1"/>
  <c r="I2769" i="1"/>
  <c r="F2768" i="1"/>
  <c r="I2765" i="1"/>
  <c r="G2763" i="1"/>
  <c r="I2761" i="1"/>
  <c r="I2760" i="1"/>
  <c r="I2757" i="1"/>
  <c r="I2756" i="1"/>
  <c r="G2755" i="1"/>
  <c r="I2753" i="1"/>
  <c r="I2752" i="1"/>
  <c r="I2749" i="1"/>
  <c r="F2747" i="1"/>
  <c r="I2745" i="1"/>
  <c r="I2741" i="1"/>
  <c r="I2737" i="1"/>
  <c r="I2736" i="1"/>
  <c r="G2735" i="1"/>
  <c r="I2733" i="1"/>
  <c r="F2724" i="1"/>
  <c r="F2720" i="1"/>
  <c r="F2712" i="1"/>
  <c r="F2711" i="1"/>
  <c r="I2706" i="1"/>
  <c r="G2703" i="1"/>
  <c r="I2702" i="1"/>
  <c r="I2700" i="1"/>
  <c r="F2699" i="1"/>
  <c r="I2698" i="1"/>
  <c r="I2697" i="1"/>
  <c r="F2696" i="1"/>
  <c r="G2695" i="1"/>
  <c r="I2694" i="1"/>
  <c r="I2690" i="1"/>
  <c r="I2686" i="1"/>
  <c r="I2682" i="1"/>
  <c r="I2680" i="1"/>
  <c r="I2678" i="1"/>
  <c r="F2676" i="1"/>
  <c r="I2674" i="1"/>
  <c r="I2670" i="1"/>
  <c r="H2666" i="1"/>
  <c r="I2665" i="1"/>
  <c r="I2661" i="1"/>
  <c r="G2659" i="1"/>
  <c r="I2657" i="1"/>
  <c r="G2655" i="1"/>
  <c r="I2649" i="1"/>
  <c r="F2647" i="1"/>
  <c r="I2645" i="1"/>
  <c r="I2642" i="1"/>
  <c r="I2641" i="1"/>
  <c r="F2639" i="1"/>
  <c r="G2635" i="1"/>
  <c r="I2634" i="1"/>
  <c r="I2633" i="1"/>
  <c r="F2631" i="1"/>
  <c r="H2630" i="1"/>
  <c r="I2629" i="1"/>
  <c r="F2627" i="1"/>
  <c r="I2626" i="1"/>
  <c r="F2623" i="1"/>
  <c r="I2622" i="1"/>
  <c r="F2621" i="1"/>
  <c r="F2620" i="1"/>
  <c r="I2618" i="1"/>
  <c r="I2614" i="1"/>
  <c r="I2610" i="1"/>
  <c r="I2609" i="1"/>
  <c r="F2607" i="1"/>
  <c r="I2606" i="1"/>
  <c r="I2605" i="1"/>
  <c r="I2602" i="1"/>
  <c r="I2601" i="1"/>
  <c r="F2598" i="1"/>
  <c r="I2593" i="1"/>
  <c r="I2589" i="1"/>
  <c r="I2585" i="1"/>
  <c r="I2580" i="1"/>
  <c r="F2579" i="1"/>
  <c r="G2574" i="1"/>
  <c r="F2571" i="1"/>
  <c r="I2569" i="1"/>
  <c r="I2568" i="1"/>
  <c r="I2564" i="1"/>
  <c r="H2563" i="1"/>
  <c r="F2562" i="1"/>
  <c r="I2553" i="1"/>
  <c r="F2550" i="1"/>
  <c r="I2548" i="1"/>
  <c r="F2547" i="1"/>
  <c r="G2542" i="1"/>
  <c r="F2539" i="1"/>
  <c r="I2537" i="1"/>
  <c r="I2536" i="1"/>
  <c r="I2532" i="1"/>
  <c r="I2521" i="1"/>
  <c r="F2520" i="1"/>
  <c r="I2519" i="1"/>
  <c r="I2516" i="1"/>
  <c r="I2511" i="1"/>
  <c r="I2505" i="1"/>
  <c r="I2500" i="1"/>
  <c r="F2494" i="1"/>
  <c r="I2493" i="1"/>
  <c r="I2491" i="1"/>
  <c r="I2489" i="1"/>
  <c r="F2488" i="1"/>
  <c r="F2486" i="1"/>
  <c r="I2484" i="1"/>
  <c r="I2480" i="1"/>
  <c r="F2479" i="1"/>
  <c r="I2476" i="1"/>
  <c r="G2474" i="1"/>
  <c r="I2472" i="1"/>
  <c r="I2468" i="1"/>
  <c r="F2466" i="1"/>
  <c r="I2464" i="1"/>
  <c r="I2460" i="1"/>
  <c r="I2456" i="1"/>
  <c r="I2455" i="1"/>
  <c r="I2452" i="1"/>
  <c r="I2448" i="1"/>
  <c r="F2447" i="1"/>
  <c r="I2444" i="1"/>
  <c r="G2442" i="1"/>
  <c r="I2440" i="1"/>
  <c r="I2439" i="1"/>
  <c r="F2438" i="1"/>
  <c r="I2436" i="1"/>
  <c r="F2434" i="1"/>
  <c r="I2432" i="1"/>
  <c r="I2428" i="1"/>
  <c r="I2424" i="1"/>
  <c r="I2423" i="1"/>
  <c r="I2420" i="1"/>
  <c r="F2418" i="1"/>
  <c r="I2416" i="1"/>
  <c r="F2415" i="1"/>
  <c r="I2412" i="1"/>
  <c r="I2411" i="1"/>
  <c r="G2410" i="1"/>
  <c r="I2404" i="1"/>
  <c r="I2400" i="1"/>
  <c r="I2399" i="1"/>
  <c r="I2396" i="1"/>
  <c r="F2394" i="1"/>
  <c r="I2392" i="1"/>
  <c r="I2388" i="1"/>
  <c r="I2384" i="1"/>
  <c r="I2383" i="1"/>
  <c r="F2382" i="1"/>
  <c r="I2379" i="1"/>
  <c r="H2377" i="1"/>
  <c r="I2375" i="1"/>
  <c r="G2366" i="1"/>
  <c r="F2362" i="1"/>
  <c r="F2358" i="1"/>
  <c r="G2356" i="1"/>
  <c r="I2355" i="1"/>
  <c r="F2353" i="1"/>
  <c r="G2348" i="1"/>
  <c r="I2347" i="1"/>
  <c r="I2346" i="1"/>
  <c r="F2342" i="1"/>
  <c r="I2339" i="1"/>
  <c r="F2338" i="1"/>
  <c r="G2332" i="1"/>
  <c r="I2331" i="1"/>
  <c r="F2329" i="1"/>
  <c r="G2328" i="1"/>
  <c r="G2324" i="1"/>
  <c r="I2323" i="1"/>
  <c r="F2321" i="1"/>
  <c r="G2316" i="1"/>
  <c r="F2314" i="1"/>
  <c r="F2309" i="1"/>
  <c r="F2305" i="1"/>
  <c r="G2304" i="1"/>
  <c r="G2296" i="1"/>
  <c r="I2294" i="1"/>
  <c r="F2289" i="1"/>
  <c r="G2288" i="1"/>
  <c r="G2281" i="1"/>
  <c r="I2278" i="1"/>
  <c r="F2277" i="1"/>
  <c r="F2273" i="1"/>
  <c r="G2264" i="1"/>
  <c r="I2262" i="1"/>
  <c r="G2261" i="1"/>
  <c r="F2257" i="1"/>
  <c r="G2256" i="1"/>
  <c r="F2254" i="1"/>
  <c r="G2252" i="1"/>
  <c r="I2250" i="1"/>
  <c r="I2249" i="1"/>
  <c r="G2240" i="1"/>
  <c r="I2238" i="1"/>
  <c r="I2235" i="1"/>
  <c r="I2231" i="1"/>
  <c r="I2227" i="1"/>
  <c r="I2226" i="1"/>
  <c r="I2223" i="1"/>
  <c r="F2222" i="1"/>
  <c r="I2219" i="1"/>
  <c r="F2217" i="1"/>
  <c r="I2215" i="1"/>
  <c r="F2214" i="1"/>
  <c r="I2211" i="1"/>
  <c r="G2209" i="1"/>
  <c r="I2207" i="1"/>
  <c r="I2206" i="1"/>
  <c r="I2203" i="1"/>
  <c r="F2201" i="1"/>
  <c r="I2199" i="1"/>
  <c r="H2196" i="1"/>
  <c r="G2194" i="1"/>
  <c r="I2193" i="1"/>
  <c r="F2187" i="1"/>
  <c r="F2184" i="1"/>
  <c r="G2182" i="1"/>
  <c r="I2181" i="1"/>
  <c r="F2179" i="1"/>
  <c r="G2178" i="1"/>
  <c r="I2177" i="1"/>
  <c r="I2176" i="1"/>
  <c r="F2175" i="1"/>
  <c r="F2168" i="1"/>
  <c r="I2165" i="1"/>
  <c r="G2163" i="1"/>
  <c r="G2162" i="1"/>
  <c r="I2161" i="1"/>
  <c r="G2158" i="1"/>
  <c r="I2156" i="1"/>
  <c r="G2150" i="1"/>
  <c r="F2147" i="1"/>
  <c r="I2145" i="1"/>
  <c r="G2142" i="1"/>
  <c r="F2139" i="1"/>
  <c r="G2138" i="1"/>
  <c r="H2136" i="1"/>
  <c r="G2135" i="1"/>
  <c r="G2134" i="1"/>
  <c r="I2133" i="1"/>
  <c r="I2129" i="1"/>
  <c r="I2124" i="1"/>
  <c r="G2122" i="1"/>
  <c r="G2118" i="1"/>
  <c r="F2116" i="1"/>
  <c r="G2115" i="1"/>
  <c r="G2114" i="1"/>
  <c r="I2113" i="1"/>
  <c r="G2110" i="1"/>
  <c r="G2102" i="1"/>
  <c r="I2100" i="1"/>
  <c r="G2099" i="1"/>
  <c r="I2097" i="1"/>
  <c r="G2094" i="1"/>
  <c r="F2091" i="1"/>
  <c r="G2090" i="1"/>
  <c r="I2088" i="1"/>
  <c r="G2087" i="1"/>
  <c r="G2086" i="1"/>
  <c r="I2085" i="1"/>
  <c r="G2082" i="1"/>
  <c r="I2081" i="1"/>
  <c r="F2079" i="1"/>
  <c r="G2074" i="1"/>
  <c r="F2071" i="1"/>
  <c r="G2070" i="1"/>
  <c r="G2066" i="1"/>
  <c r="I2065" i="1"/>
  <c r="F2064" i="1"/>
  <c r="H2060" i="1"/>
  <c r="G2054" i="1"/>
  <c r="I2052" i="1"/>
  <c r="F2051" i="1"/>
  <c r="I2049" i="1"/>
  <c r="G2046" i="1"/>
  <c r="G2042" i="1"/>
  <c r="I2040" i="1"/>
  <c r="G2039" i="1"/>
  <c r="G2038" i="1"/>
  <c r="H2036" i="1"/>
  <c r="F2035" i="1"/>
  <c r="I2033" i="1"/>
  <c r="F2031" i="1"/>
  <c r="G2030" i="1"/>
  <c r="G2026" i="1"/>
  <c r="H2024" i="1"/>
  <c r="G2022" i="1"/>
  <c r="F2019" i="1"/>
  <c r="G2018" i="1"/>
  <c r="I2017" i="1"/>
  <c r="F2015" i="1"/>
  <c r="F2012" i="1"/>
  <c r="I2008" i="1"/>
  <c r="I2001" i="1"/>
  <c r="G1998" i="1"/>
  <c r="F1996" i="1"/>
  <c r="G1994" i="1"/>
  <c r="F1991" i="1"/>
  <c r="G1986" i="1"/>
  <c r="I1985" i="1"/>
  <c r="H1980" i="1"/>
  <c r="G1970" i="1"/>
  <c r="I1968" i="1"/>
  <c r="F1967" i="1"/>
  <c r="I1965" i="1"/>
  <c r="G1963" i="1"/>
  <c r="G1962" i="1"/>
  <c r="H1960" i="1"/>
  <c r="G1956" i="1"/>
  <c r="I1953" i="1"/>
  <c r="G1951" i="1"/>
  <c r="G1946" i="1"/>
  <c r="G1938" i="1"/>
  <c r="I1937" i="1"/>
  <c r="F1935" i="1"/>
  <c r="G1930" i="1"/>
  <c r="F1927" i="1"/>
  <c r="G1926" i="1"/>
  <c r="I1924" i="1"/>
  <c r="F1923" i="1"/>
  <c r="G1922" i="1"/>
  <c r="I1921" i="1"/>
  <c r="I1920" i="1"/>
  <c r="F1919" i="1"/>
  <c r="G1918" i="1"/>
  <c r="G1914" i="1"/>
  <c r="I1912" i="1"/>
  <c r="F1911" i="1"/>
  <c r="G1910" i="1"/>
  <c r="I1908" i="1"/>
  <c r="G1907" i="1"/>
  <c r="G1906" i="1"/>
  <c r="I1905" i="1"/>
  <c r="F1903" i="1"/>
  <c r="G1902" i="1"/>
  <c r="G1900" i="1"/>
  <c r="F1899" i="1"/>
  <c r="G1894" i="1"/>
  <c r="G1892" i="1"/>
  <c r="I1889" i="1"/>
  <c r="I1888" i="1"/>
  <c r="I1884" i="1"/>
  <c r="G1882" i="1"/>
  <c r="F1880" i="1"/>
  <c r="F1879" i="1"/>
  <c r="I1876" i="1"/>
  <c r="G1874" i="1"/>
  <c r="I1873" i="1"/>
  <c r="G1868" i="1"/>
  <c r="G1866" i="1"/>
  <c r="G1864" i="1"/>
  <c r="F1861" i="1"/>
  <c r="G1860" i="1"/>
  <c r="H1857" i="1"/>
  <c r="I1855" i="1"/>
  <c r="G1852" i="1"/>
  <c r="H1850" i="1"/>
  <c r="F1846" i="1"/>
  <c r="F1841" i="1"/>
  <c r="I1839" i="1"/>
  <c r="G1838" i="1"/>
  <c r="G1836" i="1"/>
  <c r="G1832" i="1"/>
  <c r="I1828" i="1"/>
  <c r="F1827" i="1"/>
  <c r="G1826" i="1"/>
  <c r="F1823" i="1"/>
  <c r="G1822" i="1"/>
  <c r="I1821" i="1"/>
  <c r="I1820" i="1"/>
  <c r="G1818" i="1"/>
  <c r="G1814" i="1"/>
  <c r="G1812" i="1"/>
  <c r="G1810" i="1"/>
  <c r="F1807" i="1"/>
  <c r="G1806" i="1"/>
  <c r="I1805" i="1"/>
  <c r="I1804" i="1"/>
  <c r="F1803" i="1"/>
  <c r="G1798" i="1"/>
  <c r="I1797" i="1"/>
  <c r="F1796" i="1"/>
  <c r="G1794" i="1"/>
  <c r="I1792" i="1"/>
  <c r="I1789" i="1"/>
  <c r="G1782" i="1"/>
  <c r="I1781" i="1"/>
  <c r="I1773" i="1"/>
  <c r="F1771" i="1"/>
  <c r="G1766" i="1"/>
  <c r="G1758" i="1"/>
  <c r="I1757" i="1"/>
  <c r="G1756" i="1"/>
  <c r="H1755" i="1"/>
  <c r="I1754" i="1"/>
  <c r="I1753" i="1"/>
  <c r="G1751" i="1"/>
  <c r="I1750" i="1"/>
  <c r="G1748" i="1"/>
  <c r="F1744" i="1"/>
  <c r="G1743" i="1"/>
  <c r="I1742" i="1"/>
  <c r="I1741" i="1"/>
  <c r="G1739" i="1"/>
  <c r="G1736" i="1"/>
  <c r="I1734" i="1"/>
  <c r="G1728" i="1"/>
  <c r="G1727" i="1"/>
  <c r="I1726" i="1"/>
  <c r="G1723" i="1"/>
  <c r="I1718" i="1"/>
  <c r="I1717" i="1"/>
  <c r="I1710" i="1"/>
  <c r="G1709" i="1"/>
  <c r="G1707" i="1"/>
  <c r="I1705" i="1"/>
  <c r="I1702" i="1"/>
  <c r="G1699" i="1"/>
  <c r="F1697" i="1"/>
  <c r="I1694" i="1"/>
  <c r="I1686" i="1"/>
  <c r="F1684" i="1"/>
  <c r="G1679" i="1"/>
  <c r="I1678" i="1"/>
  <c r="G1677" i="1"/>
  <c r="G1676" i="1"/>
  <c r="G1675" i="1"/>
  <c r="G1672" i="1"/>
  <c r="I1670" i="1"/>
  <c r="F1669" i="1"/>
  <c r="G1667" i="1"/>
  <c r="G1663" i="1"/>
  <c r="I1662" i="1"/>
  <c r="G1659" i="1"/>
  <c r="F1657" i="1"/>
  <c r="G1655" i="1"/>
  <c r="I1654" i="1"/>
  <c r="I1653" i="1"/>
  <c r="G1652" i="1"/>
  <c r="F1648" i="1"/>
  <c r="I1646" i="1"/>
  <c r="G1645" i="1"/>
  <c r="G1643" i="1"/>
  <c r="I1642" i="1"/>
  <c r="H1640" i="1"/>
  <c r="G1639" i="1"/>
  <c r="I1638" i="1"/>
  <c r="I1637" i="1"/>
  <c r="F1633" i="1"/>
  <c r="I1630" i="1"/>
  <c r="F1629" i="1"/>
  <c r="G1625" i="1"/>
  <c r="I1622" i="1"/>
  <c r="G1619" i="1"/>
  <c r="I1618" i="1"/>
  <c r="G1616" i="1"/>
  <c r="G1615" i="1"/>
  <c r="I1614" i="1"/>
  <c r="F1612" i="1"/>
  <c r="I1610" i="1"/>
  <c r="I1606" i="1"/>
  <c r="G1599" i="1"/>
  <c r="I1598" i="1"/>
  <c r="I1597" i="1"/>
  <c r="G1596" i="1"/>
  <c r="F1592" i="1"/>
  <c r="I1590" i="1"/>
  <c r="I1589" i="1"/>
  <c r="G1587" i="1"/>
  <c r="I1582" i="1"/>
  <c r="G1576" i="1"/>
  <c r="G1575" i="1"/>
  <c r="I1574" i="1"/>
  <c r="I1571" i="1"/>
  <c r="F1568" i="1"/>
  <c r="I1567" i="1"/>
  <c r="F1566" i="1"/>
  <c r="I1563" i="1"/>
  <c r="F1561" i="1"/>
  <c r="I1559" i="1"/>
  <c r="I1558" i="1"/>
  <c r="F1556" i="1"/>
  <c r="I1555" i="1"/>
  <c r="I1553" i="1"/>
  <c r="F1552" i="1"/>
  <c r="I1551" i="1"/>
  <c r="F1550" i="1"/>
  <c r="G1548" i="1"/>
  <c r="I1547" i="1"/>
  <c r="I1546" i="1"/>
  <c r="I1543" i="1"/>
  <c r="F1540" i="1"/>
  <c r="I1539" i="1"/>
  <c r="I1537" i="1"/>
  <c r="I1535" i="1"/>
  <c r="G1533" i="1"/>
  <c r="I1531" i="1"/>
  <c r="F1529" i="1"/>
  <c r="I1527" i="1"/>
  <c r="I1526" i="1"/>
  <c r="F1524" i="1"/>
  <c r="I1523" i="1"/>
  <c r="I1521" i="1"/>
  <c r="G1520" i="1"/>
  <c r="I1519" i="1"/>
  <c r="F1517" i="1"/>
  <c r="G1516" i="1"/>
  <c r="I1515" i="1"/>
  <c r="I1514" i="1"/>
  <c r="F1512" i="1"/>
  <c r="I1510" i="1"/>
  <c r="I1506" i="1"/>
  <c r="H1503" i="1"/>
  <c r="I1502" i="1"/>
  <c r="H1499" i="1"/>
  <c r="I1498" i="1"/>
  <c r="H1495" i="1"/>
  <c r="I1494" i="1"/>
  <c r="F1493" i="1"/>
  <c r="H1491" i="1"/>
  <c r="I1490" i="1"/>
  <c r="F1489" i="1"/>
  <c r="H1487" i="1"/>
  <c r="I1486" i="1"/>
  <c r="H1483" i="1"/>
  <c r="I1482" i="1"/>
  <c r="F1481" i="1"/>
  <c r="I1478" i="1"/>
  <c r="I1474" i="1"/>
  <c r="I1473" i="1"/>
  <c r="F1472" i="1"/>
  <c r="I1470" i="1"/>
  <c r="F1469" i="1"/>
  <c r="I1466" i="1"/>
  <c r="I1465" i="1"/>
  <c r="G1464" i="1"/>
  <c r="I1462" i="1"/>
  <c r="I1461" i="1"/>
  <c r="F1460" i="1"/>
  <c r="I1458" i="1"/>
  <c r="I1454" i="1"/>
  <c r="I1450" i="1"/>
  <c r="G1448" i="1"/>
  <c r="I1446" i="1"/>
  <c r="I1445" i="1"/>
  <c r="I1442" i="1"/>
  <c r="I1437" i="1"/>
  <c r="F1435" i="1"/>
  <c r="I1433" i="1"/>
  <c r="F1431" i="1"/>
  <c r="I1429" i="1"/>
  <c r="F1427" i="1"/>
  <c r="I1425" i="1"/>
  <c r="F1423" i="1"/>
  <c r="I1421" i="1"/>
  <c r="F1419" i="1"/>
  <c r="I1417" i="1"/>
  <c r="F1415" i="1"/>
  <c r="I1413" i="1"/>
  <c r="F1411" i="1"/>
  <c r="I1409" i="1"/>
  <c r="F1407" i="1"/>
  <c r="I1405" i="1"/>
  <c r="F1403" i="1"/>
  <c r="I1401" i="1"/>
  <c r="F1399" i="1"/>
  <c r="I1397" i="1"/>
  <c r="F1395" i="1"/>
  <c r="I1393" i="1"/>
  <c r="F1391" i="1"/>
  <c r="I1389" i="1"/>
  <c r="F1387" i="1"/>
  <c r="I1385" i="1"/>
  <c r="F1383" i="1"/>
  <c r="I1381" i="1"/>
  <c r="F1379" i="1"/>
  <c r="I1377" i="1"/>
  <c r="F1375" i="1"/>
  <c r="I1373" i="1"/>
  <c r="F1371" i="1"/>
  <c r="I1369" i="1"/>
  <c r="F1367" i="1"/>
  <c r="I1365" i="1"/>
  <c r="F1363" i="1"/>
  <c r="I1361" i="1"/>
  <c r="F1359" i="1"/>
  <c r="I1357" i="1"/>
  <c r="F1355" i="1"/>
  <c r="I1353" i="1"/>
  <c r="F1351" i="1"/>
  <c r="I1349" i="1"/>
  <c r="F1347" i="1"/>
  <c r="F1346" i="1"/>
  <c r="F1343" i="1"/>
  <c r="F1339" i="1"/>
  <c r="I1336" i="1"/>
  <c r="F1335" i="1"/>
  <c r="G1334" i="1"/>
  <c r="I1332" i="1"/>
  <c r="G1330" i="1"/>
  <c r="I1328" i="1"/>
  <c r="F1327" i="1"/>
  <c r="F1323" i="1"/>
  <c r="I1320" i="1"/>
  <c r="G1318" i="1"/>
  <c r="I1316" i="1"/>
  <c r="G1314" i="1"/>
  <c r="I1312" i="1"/>
  <c r="F1311" i="1"/>
  <c r="G1310" i="1"/>
  <c r="F1307" i="1"/>
  <c r="I1304" i="1"/>
  <c r="F1303" i="1"/>
  <c r="I1301" i="1"/>
  <c r="F1299" i="1"/>
  <c r="I1297" i="1"/>
  <c r="I1295" i="1"/>
  <c r="F1294" i="1"/>
  <c r="I1292" i="1"/>
  <c r="F1290" i="1"/>
  <c r="I1289" i="1"/>
  <c r="I1286" i="1"/>
  <c r="I1284" i="1"/>
  <c r="I1279" i="1"/>
  <c r="I1276" i="1"/>
  <c r="I1274" i="1"/>
  <c r="I1273" i="1"/>
  <c r="I1268" i="1"/>
  <c r="I1263" i="1"/>
  <c r="I1262" i="1"/>
  <c r="I1260" i="1"/>
  <c r="G1258" i="1"/>
  <c r="I1254" i="1"/>
  <c r="I1252" i="1"/>
  <c r="I1247" i="1"/>
  <c r="I1246" i="1"/>
  <c r="I1244" i="1"/>
  <c r="G1243" i="1"/>
  <c r="I1236" i="1"/>
  <c r="I1231" i="1"/>
  <c r="I1228" i="1"/>
  <c r="I1226" i="1"/>
  <c r="G1225" i="1"/>
  <c r="I1220" i="1"/>
  <c r="I1215" i="1"/>
  <c r="I1214" i="1"/>
  <c r="I1212" i="1"/>
  <c r="G1211" i="1"/>
  <c r="I1206" i="1"/>
  <c r="I1204" i="1"/>
  <c r="I1199" i="1"/>
  <c r="I1198" i="1"/>
  <c r="I1196" i="1"/>
  <c r="G1195" i="1"/>
  <c r="I1194" i="1"/>
  <c r="I1193" i="1"/>
  <c r="F1190" i="1"/>
  <c r="I1188" i="1"/>
  <c r="I1183" i="1"/>
  <c r="I1180" i="1"/>
  <c r="I1178" i="1"/>
  <c r="I1177" i="1"/>
  <c r="H1174" i="1"/>
  <c r="I1172" i="1"/>
  <c r="I1167" i="1"/>
  <c r="G1166" i="1"/>
  <c r="G1163" i="1"/>
  <c r="I1159" i="1"/>
  <c r="G1158" i="1"/>
  <c r="I1155" i="1"/>
  <c r="I1151" i="1"/>
  <c r="I1147" i="1"/>
  <c r="G1144" i="1"/>
  <c r="I1143" i="1"/>
  <c r="G1136" i="1"/>
  <c r="I1133" i="1"/>
  <c r="I1131" i="1"/>
  <c r="H1129" i="1"/>
  <c r="G1128" i="1"/>
  <c r="I1127" i="1"/>
  <c r="I1126" i="1"/>
  <c r="G1124" i="1"/>
  <c r="I1122" i="1"/>
  <c r="F1121" i="1"/>
  <c r="G1120" i="1"/>
  <c r="I1118" i="1"/>
  <c r="I1117" i="1"/>
  <c r="I1115" i="1"/>
  <c r="G1108" i="1"/>
  <c r="I1106" i="1"/>
  <c r="G1100" i="1"/>
  <c r="I1099" i="1"/>
  <c r="I1098" i="1"/>
  <c r="I1097" i="1"/>
  <c r="G1096" i="1"/>
  <c r="I1095" i="1"/>
  <c r="F1093" i="1"/>
  <c r="G1092" i="1"/>
  <c r="I1090" i="1"/>
  <c r="I1089" i="1"/>
  <c r="G1084" i="1"/>
  <c r="I1083" i="1"/>
  <c r="G1080" i="1"/>
  <c r="I1079" i="1"/>
  <c r="I1078" i="1"/>
  <c r="G1072" i="1"/>
  <c r="I1069" i="1"/>
  <c r="I1067" i="1"/>
  <c r="H1065" i="1"/>
  <c r="G1064" i="1"/>
  <c r="I1063" i="1"/>
  <c r="I1062" i="1"/>
  <c r="I1061" i="1"/>
  <c r="G1060" i="1"/>
  <c r="F1057" i="1"/>
  <c r="G1056" i="1"/>
  <c r="I1054" i="1"/>
  <c r="G1052" i="1"/>
  <c r="I1051" i="1"/>
  <c r="I1050" i="1"/>
  <c r="I1047" i="1"/>
  <c r="G1044" i="1"/>
  <c r="I1041" i="1"/>
  <c r="G1036" i="1"/>
  <c r="I1035" i="1"/>
  <c r="I1034" i="1"/>
  <c r="G1032" i="1"/>
  <c r="G1028" i="1"/>
  <c r="I1026" i="1"/>
  <c r="I1025" i="1"/>
  <c r="G1024" i="1"/>
  <c r="F1022" i="1"/>
  <c r="F1021" i="1"/>
  <c r="G1020" i="1"/>
  <c r="I1019" i="1"/>
  <c r="G1016" i="1"/>
  <c r="I1015" i="1"/>
  <c r="I1014" i="1"/>
  <c r="G1013" i="1"/>
  <c r="G1012" i="1"/>
  <c r="F1010" i="1"/>
  <c r="G1008" i="1"/>
  <c r="I1006" i="1"/>
  <c r="G1004" i="1"/>
  <c r="I1003" i="1"/>
  <c r="I999" i="1"/>
  <c r="F997" i="1"/>
  <c r="G996" i="1"/>
  <c r="G992" i="1"/>
  <c r="I991" i="1"/>
  <c r="G988" i="1"/>
  <c r="I986" i="1"/>
  <c r="F981" i="1"/>
  <c r="F978" i="1"/>
  <c r="G976" i="1"/>
  <c r="I975" i="1"/>
  <c r="F974" i="1"/>
  <c r="G973" i="1"/>
  <c r="G972" i="1"/>
  <c r="I970" i="1"/>
  <c r="F969" i="1"/>
  <c r="I967" i="1"/>
  <c r="F965" i="1"/>
  <c r="G964" i="1"/>
  <c r="G960" i="1"/>
  <c r="I959" i="1"/>
  <c r="F958" i="1"/>
  <c r="G956" i="1"/>
  <c r="I954" i="1"/>
  <c r="G953" i="1"/>
  <c r="G952" i="1"/>
  <c r="I951" i="1"/>
  <c r="I950" i="1"/>
  <c r="G948" i="1"/>
  <c r="I946" i="1"/>
  <c r="F945" i="1"/>
  <c r="I943" i="1"/>
  <c r="G940" i="1"/>
  <c r="F938" i="1"/>
  <c r="G936" i="1"/>
  <c r="I935" i="1"/>
  <c r="F933" i="1"/>
  <c r="G932" i="1"/>
  <c r="G928" i="1"/>
  <c r="I927" i="1"/>
  <c r="F925" i="1"/>
  <c r="G920" i="1"/>
  <c r="I919" i="1"/>
  <c r="F918" i="1"/>
  <c r="G917" i="1"/>
  <c r="G916" i="1"/>
  <c r="I914" i="1"/>
  <c r="G913" i="1"/>
  <c r="I911" i="1"/>
  <c r="F910" i="1"/>
  <c r="G905" i="1"/>
  <c r="G904" i="1"/>
  <c r="I903" i="1"/>
  <c r="F901" i="1"/>
  <c r="G900" i="1"/>
  <c r="F898" i="1"/>
  <c r="G896" i="1"/>
  <c r="I895" i="1"/>
  <c r="I894" i="1"/>
  <c r="F893" i="1"/>
  <c r="G888" i="1"/>
  <c r="I886" i="1"/>
  <c r="I885" i="1"/>
  <c r="I883" i="1"/>
  <c r="G880" i="1"/>
  <c r="I878" i="1"/>
  <c r="G877" i="1"/>
  <c r="G876" i="1"/>
  <c r="I875" i="1"/>
  <c r="F873" i="1"/>
  <c r="G872" i="1"/>
  <c r="F870" i="1"/>
  <c r="G868" i="1"/>
  <c r="I867" i="1"/>
  <c r="I866" i="1"/>
  <c r="F865" i="1"/>
  <c r="F861" i="1"/>
  <c r="G860" i="1"/>
  <c r="I859" i="1"/>
  <c r="I858" i="1"/>
  <c r="G856" i="1"/>
  <c r="I854" i="1"/>
  <c r="F853" i="1"/>
  <c r="I851" i="1"/>
  <c r="G848" i="1"/>
  <c r="I846" i="1"/>
  <c r="G845" i="1"/>
  <c r="G844" i="1"/>
  <c r="I843" i="1"/>
  <c r="F841" i="1"/>
  <c r="G840" i="1"/>
  <c r="G836" i="1"/>
  <c r="I835" i="1"/>
  <c r="I834" i="1"/>
  <c r="F833" i="1"/>
  <c r="F829" i="1"/>
  <c r="G828" i="1"/>
  <c r="I827" i="1"/>
  <c r="I826" i="1"/>
  <c r="F825" i="1"/>
  <c r="G824" i="1"/>
  <c r="I822" i="1"/>
  <c r="F821" i="1"/>
  <c r="G820" i="1"/>
  <c r="I819" i="1"/>
  <c r="I818" i="1"/>
  <c r="F817" i="1"/>
  <c r="G816" i="1"/>
  <c r="I814" i="1"/>
  <c r="F813" i="1"/>
  <c r="G812" i="1"/>
  <c r="I811" i="1"/>
  <c r="I810" i="1"/>
  <c r="F809" i="1"/>
  <c r="G808" i="1"/>
  <c r="I806" i="1"/>
  <c r="F805" i="1"/>
  <c r="G804" i="1"/>
  <c r="I803" i="1"/>
  <c r="I802" i="1"/>
  <c r="F801" i="1"/>
  <c r="G800" i="1"/>
  <c r="I798" i="1"/>
  <c r="F797" i="1"/>
  <c r="G796" i="1"/>
  <c r="I795" i="1"/>
  <c r="I794" i="1"/>
  <c r="F793" i="1"/>
  <c r="G792" i="1"/>
  <c r="I790" i="1"/>
  <c r="F789" i="1"/>
  <c r="G788" i="1"/>
  <c r="I787" i="1"/>
  <c r="I786" i="1"/>
  <c r="F785" i="1"/>
  <c r="G784" i="1"/>
  <c r="I782" i="1"/>
  <c r="F781" i="1"/>
  <c r="G780" i="1"/>
  <c r="I779" i="1"/>
  <c r="I778" i="1"/>
  <c r="F777" i="1"/>
  <c r="G776" i="1"/>
  <c r="I774" i="1"/>
  <c r="F773" i="1"/>
  <c r="G772" i="1"/>
  <c r="I771" i="1"/>
  <c r="I770" i="1"/>
  <c r="F769" i="1"/>
  <c r="G768" i="1"/>
  <c r="I766" i="1"/>
  <c r="F765" i="1"/>
  <c r="G764" i="1"/>
  <c r="I763" i="1"/>
  <c r="I762" i="1"/>
  <c r="F761" i="1"/>
  <c r="G760" i="1"/>
  <c r="I758" i="1"/>
  <c r="F757" i="1"/>
  <c r="G756" i="1"/>
  <c r="I755" i="1"/>
  <c r="I754" i="1"/>
  <c r="F753" i="1"/>
  <c r="G752" i="1"/>
  <c r="I750" i="1"/>
  <c r="F749" i="1"/>
  <c r="G748" i="1"/>
  <c r="I747" i="1"/>
  <c r="I746" i="1"/>
  <c r="F745" i="1"/>
  <c r="G744" i="1"/>
  <c r="I742" i="1"/>
  <c r="F741" i="1"/>
  <c r="G740" i="1"/>
  <c r="I739" i="1"/>
  <c r="I738" i="1"/>
  <c r="F737" i="1"/>
  <c r="G736" i="1"/>
  <c r="I734" i="1"/>
  <c r="F733" i="1"/>
  <c r="G732" i="1"/>
  <c r="I731" i="1"/>
  <c r="I730" i="1"/>
  <c r="F729" i="1"/>
  <c r="G728" i="1"/>
  <c r="I726" i="1"/>
  <c r="F725" i="1"/>
  <c r="G724" i="1"/>
  <c r="I723" i="1"/>
  <c r="I722" i="1"/>
  <c r="F721" i="1"/>
  <c r="G720" i="1"/>
  <c r="I718" i="1"/>
  <c r="I717" i="1"/>
  <c r="G716" i="1"/>
  <c r="I714" i="1"/>
  <c r="F713" i="1"/>
  <c r="G712" i="1"/>
  <c r="I711" i="1"/>
  <c r="I710" i="1"/>
  <c r="F709" i="1"/>
  <c r="G708" i="1"/>
  <c r="I706" i="1"/>
  <c r="F705" i="1"/>
  <c r="G704" i="1"/>
  <c r="I703" i="1"/>
  <c r="I702" i="1"/>
  <c r="F701" i="1"/>
  <c r="G700" i="1"/>
  <c r="I698" i="1"/>
  <c r="F697" i="1"/>
  <c r="G696" i="1"/>
  <c r="I695" i="1"/>
  <c r="I694" i="1"/>
  <c r="F693" i="1"/>
  <c r="G692" i="1"/>
  <c r="I690" i="1"/>
  <c r="F689" i="1"/>
  <c r="G688" i="1"/>
  <c r="I687" i="1"/>
  <c r="I686" i="1"/>
  <c r="F685" i="1"/>
  <c r="G684" i="1"/>
  <c r="I682" i="1"/>
  <c r="F681" i="1"/>
  <c r="G680" i="1"/>
  <c r="I679" i="1"/>
  <c r="I678" i="1"/>
  <c r="F677" i="1"/>
  <c r="G676" i="1"/>
  <c r="I674" i="1"/>
  <c r="F673" i="1"/>
  <c r="G672" i="1"/>
  <c r="I671" i="1"/>
  <c r="I670" i="1"/>
  <c r="F669" i="1"/>
  <c r="G668" i="1"/>
  <c r="I666" i="1"/>
  <c r="F665" i="1"/>
  <c r="G664" i="1"/>
  <c r="I663" i="1"/>
  <c r="I662" i="1"/>
  <c r="F661" i="1"/>
  <c r="G660" i="1"/>
  <c r="I658" i="1"/>
  <c r="F657" i="1"/>
  <c r="G656" i="1"/>
  <c r="I655" i="1"/>
  <c r="I654" i="1"/>
  <c r="F653" i="1"/>
  <c r="G652" i="1"/>
  <c r="I650" i="1"/>
  <c r="I649" i="1"/>
  <c r="G648" i="1"/>
  <c r="I647" i="1"/>
  <c r="I646" i="1"/>
  <c r="F645" i="1"/>
  <c r="G644" i="1"/>
  <c r="I642" i="1"/>
  <c r="F641" i="1"/>
  <c r="G640" i="1"/>
  <c r="I639" i="1"/>
  <c r="I638" i="1"/>
  <c r="F637" i="1"/>
  <c r="G636" i="1"/>
  <c r="I634" i="1"/>
  <c r="F633" i="1"/>
  <c r="G632" i="1"/>
  <c r="I631" i="1"/>
  <c r="I630" i="1"/>
  <c r="F629" i="1"/>
  <c r="G628" i="1"/>
  <c r="I626" i="1"/>
  <c r="F625" i="1"/>
  <c r="G624" i="1"/>
  <c r="I623" i="1"/>
  <c r="I622" i="1"/>
  <c r="F621" i="1"/>
  <c r="G620" i="1"/>
  <c r="I618" i="1"/>
  <c r="F617" i="1"/>
  <c r="G616" i="1"/>
  <c r="I615" i="1"/>
  <c r="I614" i="1"/>
  <c r="F613" i="1"/>
  <c r="G612" i="1"/>
  <c r="I610" i="1"/>
  <c r="F609" i="1"/>
  <c r="G608" i="1"/>
  <c r="I607" i="1"/>
  <c r="I606" i="1"/>
  <c r="F605" i="1"/>
  <c r="G604" i="1"/>
  <c r="I602" i="1"/>
  <c r="F601" i="1"/>
  <c r="G600" i="1"/>
  <c r="I599" i="1"/>
  <c r="I598" i="1"/>
  <c r="F597" i="1"/>
  <c r="G596" i="1"/>
  <c r="I594" i="1"/>
  <c r="F593" i="1"/>
  <c r="G592" i="1"/>
  <c r="I591" i="1"/>
  <c r="I590" i="1"/>
  <c r="F589" i="1"/>
  <c r="G588" i="1"/>
  <c r="I586" i="1"/>
  <c r="F585" i="1"/>
  <c r="G584" i="1"/>
  <c r="I583" i="1"/>
  <c r="I582" i="1"/>
  <c r="F581" i="1"/>
  <c r="G580" i="1"/>
  <c r="I578" i="1"/>
  <c r="F577" i="1"/>
  <c r="G576" i="1"/>
  <c r="I575" i="1"/>
  <c r="I574" i="1"/>
  <c r="F573" i="1"/>
  <c r="G572" i="1"/>
  <c r="I570" i="1"/>
  <c r="F569" i="1"/>
  <c r="G568" i="1"/>
  <c r="I567" i="1"/>
  <c r="I566" i="1"/>
  <c r="F565" i="1"/>
  <c r="G564" i="1"/>
  <c r="I562" i="1"/>
  <c r="F561" i="1"/>
  <c r="G560" i="1"/>
  <c r="I559" i="1"/>
  <c r="I558" i="1"/>
  <c r="F557" i="1"/>
  <c r="G556" i="1"/>
  <c r="I554" i="1"/>
  <c r="F553" i="1"/>
  <c r="G552" i="1"/>
  <c r="I551" i="1"/>
  <c r="I550" i="1"/>
  <c r="F549" i="1"/>
  <c r="G548" i="1"/>
  <c r="I546" i="1"/>
  <c r="F545" i="1"/>
  <c r="G544" i="1"/>
  <c r="I543" i="1"/>
  <c r="I542" i="1"/>
  <c r="F541" i="1"/>
  <c r="G540" i="1"/>
  <c r="I538" i="1"/>
  <c r="F537" i="1"/>
  <c r="G536" i="1"/>
  <c r="I535" i="1"/>
  <c r="I534" i="1"/>
  <c r="F533" i="1"/>
  <c r="G532" i="1"/>
  <c r="I530" i="1"/>
  <c r="F529" i="1"/>
  <c r="G528" i="1"/>
  <c r="I527" i="1"/>
  <c r="I526" i="1"/>
  <c r="F525" i="1"/>
  <c r="G524" i="1"/>
  <c r="I522" i="1"/>
  <c r="F521" i="1"/>
  <c r="G520" i="1"/>
  <c r="I519" i="1"/>
  <c r="I518" i="1"/>
  <c r="F517" i="1"/>
  <c r="G516" i="1"/>
  <c r="I514" i="1"/>
  <c r="F513" i="1"/>
  <c r="G512" i="1"/>
  <c r="I511" i="1"/>
  <c r="I510" i="1"/>
  <c r="F509" i="1"/>
  <c r="G508" i="1"/>
  <c r="I506" i="1"/>
  <c r="F505" i="1"/>
  <c r="G504" i="1"/>
  <c r="I503" i="1"/>
  <c r="I502" i="1"/>
  <c r="F501" i="1"/>
  <c r="G500" i="1"/>
  <c r="I499" i="1"/>
  <c r="I498" i="1"/>
  <c r="F497" i="1"/>
  <c r="G496" i="1"/>
  <c r="I495" i="1"/>
  <c r="I494" i="1"/>
  <c r="F493" i="1"/>
  <c r="G492" i="1"/>
  <c r="I491" i="1"/>
  <c r="I490" i="1"/>
  <c r="F489" i="1"/>
  <c r="G488" i="1"/>
  <c r="I487" i="1"/>
  <c r="I486" i="1"/>
  <c r="F485" i="1"/>
  <c r="G484" i="1"/>
  <c r="I483" i="1"/>
  <c r="I482" i="1"/>
  <c r="F481" i="1"/>
  <c r="G480" i="1"/>
  <c r="I479" i="1"/>
  <c r="I478" i="1"/>
  <c r="F477" i="1"/>
  <c r="G476" i="1"/>
  <c r="I475" i="1"/>
  <c r="I474" i="1"/>
  <c r="F473" i="1"/>
  <c r="G472" i="1"/>
  <c r="I471" i="1"/>
  <c r="I470" i="1"/>
  <c r="F469" i="1"/>
  <c r="G468" i="1"/>
  <c r="I467" i="1"/>
  <c r="I466" i="1"/>
  <c r="F465" i="1"/>
  <c r="G464" i="1"/>
  <c r="I463" i="1"/>
  <c r="I462" i="1"/>
  <c r="F461" i="1"/>
  <c r="G460" i="1"/>
  <c r="I459" i="1"/>
  <c r="I458" i="1"/>
  <c r="F457" i="1"/>
  <c r="G456" i="1"/>
  <c r="I455" i="1"/>
  <c r="I454" i="1"/>
  <c r="F453" i="1"/>
  <c r="G452" i="1"/>
  <c r="I451" i="1"/>
  <c r="I450" i="1"/>
  <c r="F449" i="1"/>
  <c r="G448" i="1"/>
  <c r="I447" i="1"/>
  <c r="I446" i="1"/>
  <c r="F445" i="1"/>
  <c r="G444" i="1"/>
  <c r="I443" i="1"/>
  <c r="I442" i="1"/>
  <c r="F441" i="1"/>
  <c r="G440" i="1"/>
  <c r="I439" i="1"/>
  <c r="I438" i="1"/>
  <c r="F437" i="1"/>
  <c r="G436" i="1"/>
  <c r="I435" i="1"/>
  <c r="I434" i="1"/>
  <c r="F433" i="1"/>
  <c r="G432" i="1"/>
  <c r="I431" i="1"/>
  <c r="I430" i="1"/>
  <c r="F429" i="1"/>
  <c r="G428" i="1"/>
  <c r="I427" i="1"/>
  <c r="I426" i="1"/>
  <c r="F425" i="1"/>
  <c r="G424" i="1"/>
  <c r="I423" i="1"/>
  <c r="I422" i="1"/>
  <c r="F421" i="1"/>
  <c r="G420" i="1"/>
  <c r="I419" i="1"/>
  <c r="I418" i="1"/>
  <c r="F417" i="1"/>
  <c r="G416" i="1"/>
  <c r="I415" i="1"/>
  <c r="I414" i="1"/>
  <c r="F413" i="1"/>
  <c r="G412" i="1"/>
  <c r="I411" i="1"/>
  <c r="I410" i="1"/>
  <c r="F409" i="1"/>
  <c r="G408" i="1"/>
  <c r="I407" i="1"/>
  <c r="I406" i="1"/>
  <c r="F405" i="1"/>
  <c r="G404" i="1"/>
  <c r="I403" i="1"/>
  <c r="I402" i="1"/>
  <c r="F401" i="1"/>
  <c r="G400" i="1"/>
  <c r="I399" i="1"/>
  <c r="I398" i="1"/>
  <c r="F397" i="1"/>
  <c r="G396" i="1"/>
  <c r="I395" i="1"/>
  <c r="I394" i="1"/>
  <c r="F393" i="1"/>
  <c r="G392" i="1"/>
  <c r="I391" i="1"/>
  <c r="I390" i="1"/>
  <c r="F389" i="1"/>
  <c r="G388" i="1"/>
  <c r="I387" i="1"/>
  <c r="I386" i="1"/>
  <c r="F385" i="1"/>
  <c r="G384" i="1"/>
  <c r="I383" i="1"/>
  <c r="I382" i="1"/>
  <c r="F381" i="1"/>
  <c r="G380" i="1"/>
  <c r="I379" i="1"/>
  <c r="I378" i="1"/>
  <c r="F377" i="1"/>
  <c r="G376" i="1"/>
  <c r="I375" i="1"/>
  <c r="I374" i="1"/>
  <c r="F373" i="1"/>
  <c r="G372" i="1"/>
  <c r="I371" i="1"/>
  <c r="I370" i="1"/>
  <c r="F369" i="1"/>
  <c r="G368" i="1"/>
  <c r="I366" i="1"/>
  <c r="F365" i="1"/>
  <c r="G364" i="1"/>
  <c r="I362" i="1"/>
  <c r="F361" i="1"/>
  <c r="G360" i="1"/>
  <c r="I358" i="1"/>
  <c r="F357" i="1"/>
  <c r="G356" i="1"/>
  <c r="I355" i="1"/>
  <c r="I354" i="1"/>
  <c r="F353" i="1"/>
  <c r="G352" i="1"/>
  <c r="I350" i="1"/>
  <c r="F349" i="1"/>
  <c r="G348" i="1"/>
  <c r="I346" i="1"/>
  <c r="F345" i="1"/>
  <c r="G344" i="1"/>
  <c r="I343" i="1"/>
  <c r="I342" i="1"/>
  <c r="F341" i="1"/>
  <c r="G340" i="1"/>
  <c r="I338" i="1"/>
  <c r="F337" i="1"/>
  <c r="G336" i="1"/>
  <c r="I335" i="1"/>
  <c r="I334" i="1"/>
  <c r="F333" i="1"/>
  <c r="G332" i="1"/>
  <c r="I330" i="1"/>
  <c r="F329" i="1"/>
  <c r="G328" i="1"/>
  <c r="I327" i="1"/>
  <c r="I326" i="1"/>
  <c r="F325" i="1"/>
  <c r="G324" i="1"/>
  <c r="I322" i="1"/>
  <c r="F321" i="1"/>
  <c r="G320" i="1"/>
  <c r="I319" i="1"/>
  <c r="I318" i="1"/>
  <c r="F317" i="1"/>
  <c r="G316" i="1"/>
  <c r="I314" i="1"/>
  <c r="F313" i="1"/>
  <c r="G312" i="1"/>
  <c r="I311" i="1"/>
  <c r="I310" i="1"/>
  <c r="F309" i="1"/>
  <c r="G308" i="1"/>
  <c r="I306" i="1"/>
  <c r="F305" i="1"/>
  <c r="G304" i="1"/>
  <c r="I303" i="1"/>
  <c r="I302" i="1"/>
  <c r="F301" i="1"/>
  <c r="G300" i="1"/>
  <c r="I298" i="1"/>
  <c r="F297" i="1"/>
  <c r="G296" i="1"/>
  <c r="I295" i="1"/>
  <c r="I294" i="1"/>
  <c r="F293" i="1"/>
  <c r="G292" i="1"/>
  <c r="I290" i="1"/>
  <c r="F289" i="1"/>
  <c r="G288" i="1"/>
  <c r="I287" i="1"/>
  <c r="I286" i="1"/>
  <c r="F285" i="1"/>
  <c r="G284" i="1"/>
  <c r="I282" i="1"/>
  <c r="F281" i="1"/>
  <c r="G280" i="1"/>
  <c r="I278" i="1"/>
  <c r="F277" i="1"/>
  <c r="G276" i="1"/>
  <c r="I275" i="1"/>
  <c r="I274" i="1"/>
  <c r="F273" i="1"/>
  <c r="G272" i="1"/>
  <c r="I271" i="1"/>
  <c r="I270" i="1"/>
  <c r="F269" i="1"/>
  <c r="G268" i="1"/>
  <c r="I266" i="1"/>
  <c r="F265" i="1"/>
  <c r="G264" i="1"/>
  <c r="I263" i="1"/>
  <c r="I262" i="1"/>
  <c r="F261" i="1"/>
  <c r="G260" i="1"/>
  <c r="I258" i="1"/>
  <c r="I257" i="1"/>
  <c r="G256" i="1"/>
  <c r="I255" i="1"/>
  <c r="I254" i="1"/>
  <c r="F253" i="1"/>
  <c r="G252" i="1"/>
  <c r="I250" i="1"/>
  <c r="F249" i="1"/>
  <c r="G248" i="1"/>
  <c r="I247" i="1"/>
  <c r="I246" i="1"/>
  <c r="F245" i="1"/>
  <c r="G244" i="1"/>
  <c r="I242" i="1"/>
  <c r="F241" i="1"/>
  <c r="G240" i="1"/>
  <c r="I239" i="1"/>
  <c r="I238" i="1"/>
  <c r="F237" i="1"/>
  <c r="G236" i="1"/>
  <c r="I234" i="1"/>
  <c r="F233" i="1"/>
  <c r="G232" i="1"/>
  <c r="I231" i="1"/>
  <c r="I230" i="1"/>
  <c r="F229" i="1"/>
  <c r="G228" i="1"/>
  <c r="I226" i="1"/>
  <c r="F225" i="1"/>
  <c r="G224" i="1"/>
  <c r="I222" i="1"/>
  <c r="F221" i="1"/>
  <c r="G220" i="1"/>
  <c r="I218" i="1"/>
  <c r="F217" i="1"/>
  <c r="G216" i="1"/>
  <c r="I214" i="1"/>
  <c r="F213" i="1"/>
  <c r="G212" i="1"/>
  <c r="I210" i="1"/>
  <c r="F209" i="1"/>
  <c r="G208" i="1"/>
  <c r="I206" i="1"/>
  <c r="F205" i="1"/>
  <c r="G204" i="1"/>
  <c r="I202" i="1"/>
  <c r="F201" i="1"/>
  <c r="G200" i="1"/>
  <c r="I198" i="1"/>
  <c r="F197" i="1"/>
  <c r="G196" i="1"/>
  <c r="I194" i="1"/>
  <c r="F193" i="1"/>
  <c r="G192" i="1"/>
  <c r="I190" i="1"/>
  <c r="F189" i="1"/>
  <c r="G188" i="1"/>
  <c r="I186" i="1"/>
  <c r="F185" i="1"/>
  <c r="G184" i="1"/>
  <c r="I182" i="1"/>
  <c r="F181" i="1"/>
  <c r="G180" i="1"/>
  <c r="I178" i="1"/>
  <c r="F177" i="1"/>
  <c r="G176" i="1"/>
  <c r="I174" i="1"/>
  <c r="I173" i="1"/>
  <c r="G172" i="1"/>
  <c r="I171" i="1"/>
  <c r="I170" i="1"/>
  <c r="I169" i="1"/>
  <c r="G168" i="1"/>
  <c r="I167" i="1"/>
  <c r="I166" i="1"/>
  <c r="I165" i="1"/>
  <c r="G164" i="1"/>
  <c r="I162" i="1"/>
  <c r="I161" i="1"/>
  <c r="G160" i="1"/>
  <c r="I158" i="1"/>
  <c r="F157" i="1"/>
  <c r="G156" i="1"/>
  <c r="I154" i="1"/>
  <c r="F153" i="1"/>
  <c r="G152" i="1"/>
  <c r="I150" i="1"/>
  <c r="F149" i="1"/>
  <c r="G148" i="1"/>
  <c r="I146" i="1"/>
  <c r="I145" i="1"/>
  <c r="H143" i="1"/>
  <c r="I142" i="1"/>
  <c r="F141" i="1"/>
  <c r="G140" i="1"/>
  <c r="H139" i="1"/>
  <c r="I138" i="1"/>
  <c r="F137" i="1"/>
  <c r="G136" i="1"/>
  <c r="H135" i="1"/>
  <c r="I134" i="1"/>
  <c r="F133" i="1"/>
  <c r="G132" i="1"/>
  <c r="H131" i="1"/>
  <c r="I130" i="1"/>
  <c r="F129" i="1"/>
  <c r="G128" i="1"/>
  <c r="H127" i="1"/>
  <c r="I126" i="1"/>
  <c r="F125" i="1"/>
  <c r="G124" i="1"/>
  <c r="H123" i="1"/>
  <c r="I122" i="1"/>
  <c r="F121" i="1"/>
  <c r="G120" i="1"/>
  <c r="H119" i="1"/>
  <c r="I118" i="1"/>
  <c r="F117" i="1"/>
  <c r="G116" i="1"/>
  <c r="H115" i="1"/>
  <c r="I114" i="1"/>
  <c r="F113" i="1"/>
  <c r="G112" i="1"/>
  <c r="H111" i="1"/>
  <c r="I110" i="1"/>
  <c r="F109" i="1"/>
  <c r="G108" i="1"/>
  <c r="H107" i="1"/>
  <c r="I106" i="1"/>
  <c r="F105" i="1"/>
  <c r="G104" i="1"/>
  <c r="H103" i="1"/>
  <c r="I102" i="1"/>
  <c r="F101" i="1"/>
  <c r="G100" i="1"/>
  <c r="H99" i="1"/>
  <c r="I98" i="1"/>
  <c r="F97" i="1"/>
  <c r="G96" i="1"/>
  <c r="H95" i="1"/>
  <c r="I94" i="1"/>
  <c r="F93" i="1"/>
  <c r="G92" i="1"/>
  <c r="H91" i="1"/>
  <c r="I90" i="1"/>
  <c r="F89" i="1"/>
  <c r="G88" i="1"/>
  <c r="H87" i="1"/>
  <c r="I86" i="1"/>
  <c r="F85" i="1"/>
  <c r="G84" i="1"/>
  <c r="H83" i="1"/>
  <c r="I82" i="1"/>
  <c r="F81" i="1"/>
  <c r="G80" i="1"/>
  <c r="H79" i="1"/>
  <c r="I78" i="1"/>
  <c r="F77" i="1"/>
  <c r="G76" i="1"/>
  <c r="H75" i="1"/>
  <c r="I74" i="1"/>
  <c r="F73" i="1"/>
  <c r="G72" i="1"/>
  <c r="H71" i="1"/>
  <c r="I70" i="1"/>
  <c r="F69" i="1"/>
  <c r="G68" i="1"/>
  <c r="H67" i="1"/>
  <c r="I66" i="1"/>
  <c r="F65" i="1"/>
  <c r="G64" i="1"/>
  <c r="H63" i="1"/>
  <c r="I62" i="1"/>
  <c r="F61" i="1"/>
  <c r="G60" i="1"/>
  <c r="H59" i="1"/>
  <c r="I58" i="1"/>
  <c r="F57" i="1"/>
  <c r="G56" i="1"/>
  <c r="H55" i="1"/>
  <c r="I54" i="1"/>
  <c r="F53" i="1"/>
  <c r="G52" i="1"/>
  <c r="H51" i="1"/>
  <c r="I50" i="1"/>
  <c r="F49" i="1"/>
  <c r="G48" i="1"/>
  <c r="H47" i="1"/>
  <c r="I46" i="1"/>
  <c r="F45" i="1"/>
  <c r="G44" i="1"/>
  <c r="H43" i="1"/>
  <c r="I42" i="1"/>
  <c r="F41" i="1"/>
  <c r="G40" i="1"/>
  <c r="H39" i="1"/>
  <c r="I38" i="1"/>
  <c r="F37" i="1"/>
  <c r="G36" i="1"/>
  <c r="H35" i="1"/>
  <c r="I34" i="1"/>
  <c r="F33" i="1"/>
  <c r="G32" i="1"/>
  <c r="H31" i="1"/>
  <c r="I30" i="1"/>
  <c r="F29" i="1"/>
  <c r="G28" i="1"/>
  <c r="H27" i="1"/>
  <c r="I26" i="1"/>
  <c r="F25" i="1"/>
  <c r="G24" i="1"/>
  <c r="H23" i="1"/>
  <c r="I22" i="1"/>
  <c r="F21" i="1"/>
  <c r="G20" i="1"/>
  <c r="H19" i="1"/>
  <c r="I18" i="1"/>
  <c r="F17" i="1"/>
  <c r="G16" i="1"/>
  <c r="H15" i="1"/>
  <c r="I14" i="1"/>
  <c r="F13" i="1"/>
  <c r="G12" i="1"/>
  <c r="H11" i="1"/>
  <c r="H812" i="1" l="1"/>
  <c r="I3388" i="1"/>
  <c r="F1589" i="1"/>
  <c r="G1589" i="1"/>
  <c r="H1968" i="1"/>
  <c r="H2015" i="1"/>
  <c r="I2875" i="1"/>
  <c r="F2895" i="1"/>
  <c r="G3221" i="1"/>
  <c r="H1798" i="1"/>
  <c r="H2800" i="1"/>
  <c r="G2895" i="1"/>
  <c r="I3191" i="1"/>
  <c r="H3221" i="1"/>
  <c r="G2455" i="1"/>
  <c r="H2486" i="1"/>
  <c r="I2630" i="1"/>
  <c r="G3007" i="1"/>
  <c r="H3117" i="1"/>
  <c r="G3665" i="1"/>
  <c r="H3680" i="1"/>
  <c r="H3826" i="1"/>
  <c r="H280" i="1"/>
  <c r="H896" i="1"/>
  <c r="G1206" i="1"/>
  <c r="F1473" i="1"/>
  <c r="F1850" i="1"/>
  <c r="H2052" i="1"/>
  <c r="I2981" i="1"/>
  <c r="I3333" i="1"/>
  <c r="G802" i="1"/>
  <c r="H274" i="1"/>
  <c r="G886" i="1"/>
  <c r="G1473" i="1"/>
  <c r="H3263" i="1"/>
  <c r="H3525" i="1"/>
  <c r="H2833" i="1"/>
  <c r="H548" i="1"/>
  <c r="F1254" i="1"/>
  <c r="G2249" i="1"/>
  <c r="H3279" i="1"/>
  <c r="G3367" i="1"/>
  <c r="F3439" i="1"/>
  <c r="F3498" i="1"/>
  <c r="I3500" i="1"/>
  <c r="H3579" i="1"/>
  <c r="G3624" i="1"/>
  <c r="G1014" i="1"/>
  <c r="H1024" i="1"/>
  <c r="G1155" i="1"/>
  <c r="H1899" i="1"/>
  <c r="G2962" i="1"/>
  <c r="G526" i="1"/>
  <c r="H777" i="1"/>
  <c r="G854" i="1"/>
  <c r="H861" i="1"/>
  <c r="F950" i="1"/>
  <c r="H1133" i="1"/>
  <c r="H1178" i="1"/>
  <c r="G1254" i="1"/>
  <c r="G1445" i="1"/>
  <c r="G1741" i="1"/>
  <c r="F2040" i="1"/>
  <c r="H2139" i="1"/>
  <c r="H2249" i="1"/>
  <c r="G2383" i="1"/>
  <c r="H2519" i="1"/>
  <c r="H2598" i="1"/>
  <c r="H2602" i="1"/>
  <c r="I2621" i="1"/>
  <c r="H2639" i="1"/>
  <c r="G3044" i="1"/>
  <c r="I3086" i="1"/>
  <c r="G3089" i="1"/>
  <c r="I3357" i="1"/>
  <c r="H3465" i="1"/>
  <c r="G3498" i="1"/>
  <c r="H3508" i="1"/>
  <c r="G3546" i="1"/>
  <c r="H3624" i="1"/>
  <c r="G766" i="1"/>
  <c r="G777" i="1"/>
  <c r="G1303" i="1"/>
  <c r="H1310" i="1"/>
  <c r="G2911" i="1"/>
  <c r="F102" i="1"/>
  <c r="H661" i="1"/>
  <c r="G950" i="1"/>
  <c r="H981" i="1"/>
  <c r="H1061" i="1"/>
  <c r="F1206" i="1"/>
  <c r="H1254" i="1"/>
  <c r="H1804" i="1"/>
  <c r="G2040" i="1"/>
  <c r="H3044" i="1"/>
  <c r="G3117" i="1"/>
  <c r="H3132" i="1"/>
  <c r="G3263" i="1"/>
  <c r="H3489" i="1"/>
  <c r="H3608" i="1"/>
  <c r="F3980" i="1"/>
  <c r="G3991" i="1"/>
  <c r="H3994" i="1"/>
  <c r="G3735" i="1"/>
  <c r="H130" i="1"/>
  <c r="G185" i="1"/>
  <c r="G726" i="1"/>
  <c r="G745" i="1"/>
  <c r="G833" i="1"/>
  <c r="H992" i="1"/>
  <c r="H1052" i="1"/>
  <c r="G1069" i="1"/>
  <c r="H1097" i="1"/>
  <c r="F1122" i="1"/>
  <c r="H1124" i="1"/>
  <c r="I1163" i="1"/>
  <c r="G1177" i="1"/>
  <c r="I1225" i="1"/>
  <c r="H1460" i="1"/>
  <c r="H1568" i="1"/>
  <c r="H1612" i="1"/>
  <c r="H1648" i="1"/>
  <c r="G1717" i="1"/>
  <c r="G1792" i="1"/>
  <c r="F1828" i="1"/>
  <c r="H1967" i="1"/>
  <c r="H2102" i="1"/>
  <c r="H2175" i="1"/>
  <c r="H2217" i="1"/>
  <c r="F2346" i="1"/>
  <c r="H2348" i="1"/>
  <c r="G2411" i="1"/>
  <c r="H2494" i="1"/>
  <c r="G2647" i="1"/>
  <c r="F2649" i="1"/>
  <c r="I2666" i="1"/>
  <c r="F2887" i="1"/>
  <c r="F2903" i="1"/>
  <c r="G2961" i="1"/>
  <c r="G2974" i="1"/>
  <c r="I3074" i="1"/>
  <c r="H3108" i="1"/>
  <c r="H3111" i="1"/>
  <c r="H3161" i="1"/>
  <c r="H3168" i="1"/>
  <c r="G3229" i="1"/>
  <c r="G3304" i="1"/>
  <c r="H3311" i="1"/>
  <c r="F3317" i="1"/>
  <c r="G3355" i="1"/>
  <c r="G3386" i="1"/>
  <c r="H3396" i="1"/>
  <c r="H3421" i="1"/>
  <c r="H3449" i="1"/>
  <c r="I3472" i="1"/>
  <c r="G3542" i="1"/>
  <c r="G3545" i="1"/>
  <c r="G3645" i="1"/>
  <c r="H3704" i="1"/>
  <c r="F3748" i="1"/>
  <c r="H3835" i="1"/>
  <c r="I3854" i="1"/>
  <c r="H21" i="1"/>
  <c r="G358" i="1"/>
  <c r="H513" i="1"/>
  <c r="G590" i="1"/>
  <c r="H745" i="1"/>
  <c r="H833" i="1"/>
  <c r="G866" i="1"/>
  <c r="H969" i="1"/>
  <c r="H976" i="1"/>
  <c r="G986" i="1"/>
  <c r="H1069" i="1"/>
  <c r="H1117" i="1"/>
  <c r="G1122" i="1"/>
  <c r="G1194" i="1"/>
  <c r="I1550" i="1"/>
  <c r="G1553" i="1"/>
  <c r="H1556" i="1"/>
  <c r="I1566" i="1"/>
  <c r="H1655" i="1"/>
  <c r="H1684" i="1"/>
  <c r="G1828" i="1"/>
  <c r="F1888" i="1"/>
  <c r="H1900" i="1"/>
  <c r="F2024" i="1"/>
  <c r="H2051" i="1"/>
  <c r="H2100" i="1"/>
  <c r="H2110" i="1"/>
  <c r="F2124" i="1"/>
  <c r="H2187" i="1"/>
  <c r="G2346" i="1"/>
  <c r="G2375" i="1"/>
  <c r="H2438" i="1"/>
  <c r="G2491" i="1"/>
  <c r="H2493" i="1"/>
  <c r="G2607" i="1"/>
  <c r="F2609" i="1"/>
  <c r="H2647" i="1"/>
  <c r="F2697" i="1"/>
  <c r="G2699" i="1"/>
  <c r="G2736" i="1"/>
  <c r="G2887" i="1"/>
  <c r="G2903" i="1"/>
  <c r="H2936" i="1"/>
  <c r="H2961" i="1"/>
  <c r="H3024" i="1"/>
  <c r="H3060" i="1"/>
  <c r="F3082" i="1"/>
  <c r="G3141" i="1"/>
  <c r="G3280" i="1"/>
  <c r="G3470" i="1"/>
  <c r="H3545" i="1"/>
  <c r="F3567" i="1"/>
  <c r="G3604" i="1"/>
  <c r="F3633" i="1"/>
  <c r="G3657" i="1"/>
  <c r="G3780" i="1"/>
  <c r="H3811" i="1"/>
  <c r="H3897" i="1"/>
  <c r="G3959" i="1"/>
  <c r="G3999" i="1"/>
  <c r="F230" i="1"/>
  <c r="G642" i="1"/>
  <c r="F802" i="1"/>
  <c r="F886" i="1"/>
  <c r="H888" i="1"/>
  <c r="H1194" i="1"/>
  <c r="H1643" i="1"/>
  <c r="F1741" i="1"/>
  <c r="H1771" i="1"/>
  <c r="G1804" i="1"/>
  <c r="G1888" i="1"/>
  <c r="G1899" i="1"/>
  <c r="G2015" i="1"/>
  <c r="G2124" i="1"/>
  <c r="G2238" i="1"/>
  <c r="H2309" i="1"/>
  <c r="F2383" i="1"/>
  <c r="H2491" i="1"/>
  <c r="G2519" i="1"/>
  <c r="H2607" i="1"/>
  <c r="H2627" i="1"/>
  <c r="G2639" i="1"/>
  <c r="F2665" i="1"/>
  <c r="H2699" i="1"/>
  <c r="G2760" i="1"/>
  <c r="H2877" i="1"/>
  <c r="F2911" i="1"/>
  <c r="H2944" i="1"/>
  <c r="I3054" i="1"/>
  <c r="F3276" i="1"/>
  <c r="G3279" i="1"/>
  <c r="I3416" i="1"/>
  <c r="H3461" i="1"/>
  <c r="G3489" i="1"/>
  <c r="H3604" i="1"/>
  <c r="G3617" i="1"/>
  <c r="G3633" i="1"/>
  <c r="G3644" i="1"/>
  <c r="F3665" i="1"/>
  <c r="G3732" i="1"/>
  <c r="H3823" i="1"/>
  <c r="H797" i="1"/>
  <c r="H2849" i="1"/>
  <c r="H3672" i="1"/>
  <c r="F2008" i="1"/>
  <c r="G2008" i="1"/>
  <c r="I1001" i="1"/>
  <c r="G1001" i="1"/>
  <c r="F1001" i="1"/>
  <c r="I1105" i="1"/>
  <c r="H1105" i="1"/>
  <c r="G1105" i="1"/>
  <c r="I1242" i="1"/>
  <c r="H1242" i="1"/>
  <c r="F1680" i="1"/>
  <c r="H1680" i="1"/>
  <c r="I1772" i="1"/>
  <c r="G1772" i="1"/>
  <c r="G2010" i="1"/>
  <c r="H2010" i="1"/>
  <c r="F3592" i="1"/>
  <c r="H3592" i="1"/>
  <c r="H89" i="1"/>
  <c r="F110" i="1"/>
  <c r="H138" i="1"/>
  <c r="F194" i="1"/>
  <c r="G201" i="1"/>
  <c r="G257" i="1"/>
  <c r="G278" i="1"/>
  <c r="H324" i="1"/>
  <c r="H330" i="1"/>
  <c r="G337" i="1"/>
  <c r="F344" i="1"/>
  <c r="F506" i="1"/>
  <c r="H508" i="1"/>
  <c r="G538" i="1"/>
  <c r="G558" i="1"/>
  <c r="G602" i="1"/>
  <c r="G621" i="1"/>
  <c r="F686" i="1"/>
  <c r="H688" i="1"/>
  <c r="F702" i="1"/>
  <c r="H704" i="1"/>
  <c r="G865" i="1"/>
  <c r="G914" i="1"/>
  <c r="G945" i="1"/>
  <c r="I1002" i="1"/>
  <c r="G1002" i="1"/>
  <c r="I1030" i="1"/>
  <c r="G1030" i="1"/>
  <c r="H1032" i="1"/>
  <c r="I1058" i="1"/>
  <c r="G1058" i="1"/>
  <c r="H1060" i="1"/>
  <c r="I1113" i="1"/>
  <c r="H1113" i="1"/>
  <c r="G1116" i="1"/>
  <c r="H1116" i="1"/>
  <c r="I1130" i="1"/>
  <c r="G1130" i="1"/>
  <c r="F1130" i="1"/>
  <c r="I1141" i="1"/>
  <c r="H1141" i="1"/>
  <c r="G1141" i="1"/>
  <c r="H1158" i="1"/>
  <c r="G1242" i="1"/>
  <c r="F1440" i="1"/>
  <c r="H1440" i="1"/>
  <c r="I1453" i="1"/>
  <c r="G1453" i="1"/>
  <c r="I1585" i="1"/>
  <c r="G1585" i="1"/>
  <c r="H1587" i="1"/>
  <c r="H1592" i="1"/>
  <c r="H1667" i="1"/>
  <c r="F1692" i="1"/>
  <c r="H1692" i="1"/>
  <c r="F1712" i="1"/>
  <c r="H1712" i="1"/>
  <c r="G1731" i="1"/>
  <c r="H1731" i="1"/>
  <c r="G1844" i="1"/>
  <c r="H1844" i="1"/>
  <c r="G1934" i="1"/>
  <c r="H1934" i="1"/>
  <c r="I2096" i="1"/>
  <c r="G2096" i="1"/>
  <c r="I2148" i="1"/>
  <c r="H2148" i="1"/>
  <c r="I2164" i="1"/>
  <c r="G2164" i="1"/>
  <c r="F2164" i="1"/>
  <c r="F2584" i="1"/>
  <c r="I2584" i="1"/>
  <c r="I2689" i="1"/>
  <c r="F2689" i="1"/>
  <c r="F2853" i="1"/>
  <c r="H2853" i="1"/>
  <c r="F3058" i="1"/>
  <c r="I3058" i="1"/>
  <c r="I3394" i="1"/>
  <c r="G3394" i="1"/>
  <c r="I1238" i="1"/>
  <c r="H1238" i="1"/>
  <c r="F1456" i="1"/>
  <c r="H1456" i="1"/>
  <c r="G1456" i="1"/>
  <c r="F1815" i="1"/>
  <c r="H1815" i="1"/>
  <c r="F2043" i="1"/>
  <c r="H2043" i="1"/>
  <c r="F2205" i="1"/>
  <c r="H2205" i="1"/>
  <c r="G2205" i="1"/>
  <c r="F2370" i="1"/>
  <c r="H2370" i="1"/>
  <c r="I2591" i="1"/>
  <c r="G2591" i="1"/>
  <c r="H34" i="1"/>
  <c r="H97" i="1"/>
  <c r="F118" i="1"/>
  <c r="F162" i="1"/>
  <c r="F250" i="1"/>
  <c r="H252" i="1"/>
  <c r="F292" i="1"/>
  <c r="H302" i="1"/>
  <c r="G305" i="1"/>
  <c r="H322" i="1"/>
  <c r="G506" i="1"/>
  <c r="G518" i="1"/>
  <c r="H521" i="1"/>
  <c r="G570" i="1"/>
  <c r="H585" i="1"/>
  <c r="H629" i="1"/>
  <c r="G666" i="1"/>
  <c r="G681" i="1"/>
  <c r="G686" i="1"/>
  <c r="G702" i="1"/>
  <c r="H753" i="1"/>
  <c r="H785" i="1"/>
  <c r="G798" i="1"/>
  <c r="F822" i="1"/>
  <c r="H824" i="1"/>
  <c r="H841" i="1"/>
  <c r="H865" i="1"/>
  <c r="H901" i="1"/>
  <c r="H925" i="1"/>
  <c r="H928" i="1"/>
  <c r="H945" i="1"/>
  <c r="G954" i="1"/>
  <c r="H960" i="1"/>
  <c r="F1002" i="1"/>
  <c r="F1030" i="1"/>
  <c r="F1058" i="1"/>
  <c r="G1106" i="1"/>
  <c r="G1113" i="1"/>
  <c r="I1134" i="1"/>
  <c r="G1134" i="1"/>
  <c r="G1150" i="1"/>
  <c r="H1150" i="1"/>
  <c r="I1190" i="1"/>
  <c r="H1190" i="1"/>
  <c r="G1190" i="1"/>
  <c r="G1346" i="1"/>
  <c r="H1346" i="1"/>
  <c r="G1440" i="1"/>
  <c r="F1508" i="1"/>
  <c r="H1508" i="1"/>
  <c r="G1508" i="1"/>
  <c r="I1530" i="1"/>
  <c r="F1530" i="1"/>
  <c r="G1537" i="1"/>
  <c r="H1540" i="1"/>
  <c r="F1546" i="1"/>
  <c r="F1585" i="1"/>
  <c r="G1623" i="1"/>
  <c r="H1623" i="1"/>
  <c r="I1685" i="1"/>
  <c r="G1685" i="1"/>
  <c r="I1697" i="1"/>
  <c r="G1697" i="1"/>
  <c r="H1699" i="1"/>
  <c r="G1705" i="1"/>
  <c r="F1736" i="1"/>
  <c r="H1736" i="1"/>
  <c r="H1751" i="1"/>
  <c r="F1767" i="1"/>
  <c r="H1767" i="1"/>
  <c r="F1799" i="1"/>
  <c r="H1799" i="1"/>
  <c r="F1943" i="1"/>
  <c r="H1943" i="1"/>
  <c r="G1943" i="1"/>
  <c r="F2027" i="1"/>
  <c r="H2027" i="1"/>
  <c r="G2344" i="1"/>
  <c r="H2344" i="1"/>
  <c r="F2361" i="1"/>
  <c r="I2361" i="1"/>
  <c r="H2361" i="1"/>
  <c r="F2450" i="1"/>
  <c r="H2450" i="1"/>
  <c r="I2499" i="1"/>
  <c r="H2499" i="1"/>
  <c r="G2499" i="1"/>
  <c r="I2882" i="1"/>
  <c r="G2882" i="1"/>
  <c r="F2882" i="1"/>
  <c r="I2899" i="1"/>
  <c r="G2899" i="1"/>
  <c r="F2899" i="1"/>
  <c r="I2915" i="1"/>
  <c r="G2915" i="1"/>
  <c r="F2915" i="1"/>
  <c r="F3042" i="1"/>
  <c r="I3042" i="1"/>
  <c r="F3377" i="1"/>
  <c r="H3377" i="1"/>
  <c r="I1029" i="1"/>
  <c r="G1029" i="1"/>
  <c r="F1029" i="1"/>
  <c r="F1536" i="1"/>
  <c r="H1536" i="1"/>
  <c r="G1536" i="1"/>
  <c r="F1572" i="1"/>
  <c r="H1572" i="1"/>
  <c r="G1611" i="1"/>
  <c r="H1611" i="1"/>
  <c r="G1695" i="1"/>
  <c r="H1695" i="1"/>
  <c r="I2471" i="1"/>
  <c r="G2471" i="1"/>
  <c r="F2490" i="1"/>
  <c r="H2490" i="1"/>
  <c r="G2490" i="1"/>
  <c r="I2995" i="1"/>
  <c r="G2995" i="1"/>
  <c r="I3404" i="1"/>
  <c r="H3404" i="1"/>
  <c r="F14" i="1"/>
  <c r="H122" i="1"/>
  <c r="F182" i="1"/>
  <c r="F210" i="1"/>
  <c r="H240" i="1"/>
  <c r="G250" i="1"/>
  <c r="G258" i="1"/>
  <c r="F290" i="1"/>
  <c r="H300" i="1"/>
  <c r="G317" i="1"/>
  <c r="H320" i="1"/>
  <c r="G550" i="1"/>
  <c r="H553" i="1"/>
  <c r="H681" i="1"/>
  <c r="H697" i="1"/>
  <c r="G797" i="1"/>
  <c r="G822" i="1"/>
  <c r="I1057" i="1"/>
  <c r="H1057" i="1"/>
  <c r="G1057" i="1"/>
  <c r="I1121" i="1"/>
  <c r="G1121" i="1"/>
  <c r="I1129" i="1"/>
  <c r="G1129" i="1"/>
  <c r="F1129" i="1"/>
  <c r="I1241" i="1"/>
  <c r="G1241" i="1"/>
  <c r="I1517" i="1"/>
  <c r="G1517" i="1"/>
  <c r="F1620" i="1"/>
  <c r="H1620" i="1"/>
  <c r="G1635" i="1"/>
  <c r="H1635" i="1"/>
  <c r="I1729" i="1"/>
  <c r="G1729" i="1"/>
  <c r="F1729" i="1"/>
  <c r="F1779" i="1"/>
  <c r="H1779" i="1"/>
  <c r="I1842" i="1"/>
  <c r="H1842" i="1"/>
  <c r="G1842" i="1"/>
  <c r="I1932" i="1"/>
  <c r="G1932" i="1"/>
  <c r="F1932" i="1"/>
  <c r="F2007" i="1"/>
  <c r="H2007" i="1"/>
  <c r="G2007" i="1"/>
  <c r="F2530" i="1"/>
  <c r="H2530" i="1"/>
  <c r="F2594" i="1"/>
  <c r="H2594" i="1"/>
  <c r="G2594" i="1"/>
  <c r="I2588" i="1"/>
  <c r="F2588" i="1"/>
  <c r="F2751" i="1"/>
  <c r="H2751" i="1"/>
  <c r="I2866" i="1"/>
  <c r="G2866" i="1"/>
  <c r="F2866" i="1"/>
  <c r="I2999" i="1"/>
  <c r="G2999" i="1"/>
  <c r="F3112" i="1"/>
  <c r="H3112" i="1"/>
  <c r="F3152" i="1"/>
  <c r="H3152" i="1"/>
  <c r="I3181" i="1"/>
  <c r="H3181" i="1"/>
  <c r="G3181" i="1"/>
  <c r="I3268" i="1"/>
  <c r="G3268" i="1"/>
  <c r="I3361" i="1"/>
  <c r="H3361" i="1"/>
  <c r="I3430" i="1"/>
  <c r="G3430" i="1"/>
  <c r="F3430" i="1"/>
  <c r="F3481" i="1"/>
  <c r="H3481" i="1"/>
  <c r="G3481" i="1"/>
  <c r="I3521" i="1"/>
  <c r="G3521" i="1"/>
  <c r="F3521" i="1"/>
  <c r="F3620" i="1"/>
  <c r="H3620" i="1"/>
  <c r="G3620" i="1"/>
  <c r="F3636" i="1"/>
  <c r="H3636" i="1"/>
  <c r="I3671" i="1"/>
  <c r="H3671" i="1"/>
  <c r="I3772" i="1"/>
  <c r="G3772" i="1"/>
  <c r="F3799" i="1"/>
  <c r="H3799" i="1"/>
  <c r="I3869" i="1"/>
  <c r="H3869" i="1"/>
  <c r="G3869" i="1"/>
  <c r="G1841" i="1"/>
  <c r="F1892" i="1"/>
  <c r="H1894" i="1"/>
  <c r="G1908" i="1"/>
  <c r="H1910" i="1"/>
  <c r="F1924" i="1"/>
  <c r="H1946" i="1"/>
  <c r="F1968" i="1"/>
  <c r="F1980" i="1"/>
  <c r="H2008" i="1"/>
  <c r="H2019" i="1"/>
  <c r="H2035" i="1"/>
  <c r="F2052" i="1"/>
  <c r="F2060" i="1"/>
  <c r="G2088" i="1"/>
  <c r="H2091" i="1"/>
  <c r="H2094" i="1"/>
  <c r="H2124" i="1"/>
  <c r="G2147" i="1"/>
  <c r="G2156" i="1"/>
  <c r="H2158" i="1"/>
  <c r="H2176" i="1"/>
  <c r="H2179" i="1"/>
  <c r="H2182" i="1"/>
  <c r="G2262" i="1"/>
  <c r="G2277" i="1"/>
  <c r="G2294" i="1"/>
  <c r="H2305" i="1"/>
  <c r="H2321" i="1"/>
  <c r="H2324" i="1"/>
  <c r="H2353" i="1"/>
  <c r="H2356" i="1"/>
  <c r="G2379" i="1"/>
  <c r="G2399" i="1"/>
  <c r="G2423" i="1"/>
  <c r="F2643" i="1"/>
  <c r="H2643" i="1"/>
  <c r="G2643" i="1"/>
  <c r="F2687" i="1"/>
  <c r="H2687" i="1"/>
  <c r="G2751" i="1"/>
  <c r="I2780" i="1"/>
  <c r="G2780" i="1"/>
  <c r="H2817" i="1"/>
  <c r="F2821" i="1"/>
  <c r="H2821" i="1"/>
  <c r="I2874" i="1"/>
  <c r="G2874" i="1"/>
  <c r="F2874" i="1"/>
  <c r="I2891" i="1"/>
  <c r="G2891" i="1"/>
  <c r="F2891" i="1"/>
  <c r="I2907" i="1"/>
  <c r="G2907" i="1"/>
  <c r="F2907" i="1"/>
  <c r="H2920" i="1"/>
  <c r="H3028" i="1"/>
  <c r="F3032" i="1"/>
  <c r="H3032" i="1"/>
  <c r="G3152" i="1"/>
  <c r="F3181" i="1"/>
  <c r="I3202" i="1"/>
  <c r="F3202" i="1"/>
  <c r="I3217" i="1"/>
  <c r="H3217" i="1"/>
  <c r="H3225" i="1"/>
  <c r="I3292" i="1"/>
  <c r="G3292" i="1"/>
  <c r="I3324" i="1"/>
  <c r="G3324" i="1"/>
  <c r="F3324" i="1"/>
  <c r="F3358" i="1"/>
  <c r="H3358" i="1"/>
  <c r="F3366" i="1"/>
  <c r="H3366" i="1"/>
  <c r="I3518" i="1"/>
  <c r="G3518" i="1"/>
  <c r="I3598" i="1"/>
  <c r="F3598" i="1"/>
  <c r="I3728" i="1"/>
  <c r="G3728" i="1"/>
  <c r="F3728" i="1"/>
  <c r="G969" i="1"/>
  <c r="G1006" i="1"/>
  <c r="H1041" i="1"/>
  <c r="H1089" i="1"/>
  <c r="G1133" i="1"/>
  <c r="G1178" i="1"/>
  <c r="I1195" i="1"/>
  <c r="H1198" i="1"/>
  <c r="I1211" i="1"/>
  <c r="H1214" i="1"/>
  <c r="G1568" i="1"/>
  <c r="G1684" i="1"/>
  <c r="H1723" i="1"/>
  <c r="G1771" i="1"/>
  <c r="H1841" i="1"/>
  <c r="H1902" i="1"/>
  <c r="H1908" i="1"/>
  <c r="H1918" i="1"/>
  <c r="G1924" i="1"/>
  <c r="H1927" i="1"/>
  <c r="H1935" i="1"/>
  <c r="H1938" i="1"/>
  <c r="G1967" i="1"/>
  <c r="G1968" i="1"/>
  <c r="H1970" i="1"/>
  <c r="H1991" i="1"/>
  <c r="G2051" i="1"/>
  <c r="G2052" i="1"/>
  <c r="H2054" i="1"/>
  <c r="H2071" i="1"/>
  <c r="G2100" i="1"/>
  <c r="H2147" i="1"/>
  <c r="H2156" i="1"/>
  <c r="G2175" i="1"/>
  <c r="G2226" i="1"/>
  <c r="H2257" i="1"/>
  <c r="H2277" i="1"/>
  <c r="G2309" i="1"/>
  <c r="F2375" i="1"/>
  <c r="I2377" i="1"/>
  <c r="F2411" i="1"/>
  <c r="G2438" i="1"/>
  <c r="H2466" i="1"/>
  <c r="I2583" i="1"/>
  <c r="G2583" i="1"/>
  <c r="F2583" i="1"/>
  <c r="F2590" i="1"/>
  <c r="H2590" i="1"/>
  <c r="G2590" i="1"/>
  <c r="F2603" i="1"/>
  <c r="H2603" i="1"/>
  <c r="G2603" i="1"/>
  <c r="I2620" i="1"/>
  <c r="G2620" i="1"/>
  <c r="F2635" i="1"/>
  <c r="H2635" i="1"/>
  <c r="I2638" i="1"/>
  <c r="H2638" i="1"/>
  <c r="G2680" i="1"/>
  <c r="I2684" i="1"/>
  <c r="G2684" i="1"/>
  <c r="F2780" i="1"/>
  <c r="I2868" i="1"/>
  <c r="H2868" i="1"/>
  <c r="G2978" i="1"/>
  <c r="F2990" i="1"/>
  <c r="H2990" i="1"/>
  <c r="I3023" i="1"/>
  <c r="H3023" i="1"/>
  <c r="F3090" i="1"/>
  <c r="I3090" i="1"/>
  <c r="H3175" i="1"/>
  <c r="G3217" i="1"/>
  <c r="F3292" i="1"/>
  <c r="F3389" i="1"/>
  <c r="H3389" i="1"/>
  <c r="I3414" i="1"/>
  <c r="G3414" i="1"/>
  <c r="I3530" i="1"/>
  <c r="G3530" i="1"/>
  <c r="I3669" i="1"/>
  <c r="H3669" i="1"/>
  <c r="G3669" i="1"/>
  <c r="G3567" i="1"/>
  <c r="H3644" i="1"/>
  <c r="H3645" i="1"/>
  <c r="H3735" i="1"/>
  <c r="G3748" i="1"/>
  <c r="G2511" i="1"/>
  <c r="H2550" i="1"/>
  <c r="G2598" i="1"/>
  <c r="H2623" i="1"/>
  <c r="H2631" i="1"/>
  <c r="H2634" i="1"/>
  <c r="G2700" i="1"/>
  <c r="H2775" i="1"/>
  <c r="H2943" i="1"/>
  <c r="F2961" i="1"/>
  <c r="F2962" i="1"/>
  <c r="H2964" i="1"/>
  <c r="I3070" i="1"/>
  <c r="H3104" i="1"/>
  <c r="F3138" i="1"/>
  <c r="F3141" i="1"/>
  <c r="G3161" i="1"/>
  <c r="F3229" i="1"/>
  <c r="F3355" i="1"/>
  <c r="I3369" i="1"/>
  <c r="F3386" i="1"/>
  <c r="G3421" i="1"/>
  <c r="G3446" i="1"/>
  <c r="G3449" i="1"/>
  <c r="G3458" i="1"/>
  <c r="G3461" i="1"/>
  <c r="F3470" i="1"/>
  <c r="H3509" i="1"/>
  <c r="I3618" i="1"/>
  <c r="I3634" i="1"/>
  <c r="I3639" i="1"/>
  <c r="F3666" i="1"/>
  <c r="G3668" i="1"/>
  <c r="H3739" i="1"/>
  <c r="F3760" i="1"/>
  <c r="I3789" i="1"/>
  <c r="H3810" i="1"/>
  <c r="G3897" i="1"/>
  <c r="F3918" i="1"/>
  <c r="F3920" i="1"/>
  <c r="G3923" i="1"/>
  <c r="F3956" i="1"/>
  <c r="I3602" i="1"/>
  <c r="F3617" i="1"/>
  <c r="F3645" i="1"/>
  <c r="H3668" i="1"/>
  <c r="H3692" i="1"/>
  <c r="G3717" i="1"/>
  <c r="H3719" i="1"/>
  <c r="G3760" i="1"/>
  <c r="F3777" i="1"/>
  <c r="F3780" i="1"/>
  <c r="G3804" i="1"/>
  <c r="I3821" i="1"/>
  <c r="H3881" i="1"/>
  <c r="I3891" i="1"/>
  <c r="G3947" i="1"/>
  <c r="H3950" i="1"/>
  <c r="H2394" i="1"/>
  <c r="H2562" i="1"/>
  <c r="H3807" i="1"/>
  <c r="I990" i="1"/>
  <c r="G990" i="1"/>
  <c r="G1179" i="1"/>
  <c r="I1179" i="1"/>
  <c r="I1222" i="1"/>
  <c r="H1222" i="1"/>
  <c r="G1222" i="1"/>
  <c r="F1222" i="1"/>
  <c r="I1485" i="1"/>
  <c r="G1485" i="1"/>
  <c r="F1485" i="1"/>
  <c r="F1534" i="1"/>
  <c r="I1534" i="1"/>
  <c r="F1704" i="1"/>
  <c r="G1704" i="1"/>
  <c r="H1704" i="1"/>
  <c r="I1737" i="1"/>
  <c r="G1737" i="1"/>
  <c r="G1959" i="1"/>
  <c r="H1959" i="1"/>
  <c r="I2395" i="1"/>
  <c r="G2395" i="1"/>
  <c r="F3437" i="1"/>
  <c r="H3437" i="1"/>
  <c r="F3716" i="1"/>
  <c r="H3716" i="1"/>
  <c r="G3716" i="1"/>
  <c r="I3828" i="1"/>
  <c r="H3828" i="1"/>
  <c r="G3828" i="1"/>
  <c r="F3828" i="1"/>
  <c r="F3896" i="1"/>
  <c r="H3896" i="1"/>
  <c r="G3896" i="1"/>
  <c r="I3917" i="1"/>
  <c r="G3917" i="1"/>
  <c r="F3917" i="1"/>
  <c r="G13" i="1"/>
  <c r="G14" i="1"/>
  <c r="H16" i="1"/>
  <c r="F30" i="1"/>
  <c r="H42" i="1"/>
  <c r="H50" i="1"/>
  <c r="H58" i="1"/>
  <c r="H66" i="1"/>
  <c r="H74" i="1"/>
  <c r="H82" i="1"/>
  <c r="H90" i="1"/>
  <c r="H100" i="1"/>
  <c r="G102" i="1"/>
  <c r="H105" i="1"/>
  <c r="G110" i="1"/>
  <c r="H113" i="1"/>
  <c r="G118" i="1"/>
  <c r="F126" i="1"/>
  <c r="F134" i="1"/>
  <c r="F142" i="1"/>
  <c r="H160" i="1"/>
  <c r="H168" i="1"/>
  <c r="H180" i="1"/>
  <c r="G189" i="1"/>
  <c r="H192" i="1"/>
  <c r="G205" i="1"/>
  <c r="H208" i="1"/>
  <c r="F214" i="1"/>
  <c r="G217" i="1"/>
  <c r="F226" i="1"/>
  <c r="H228" i="1"/>
  <c r="G230" i="1"/>
  <c r="H233" i="1"/>
  <c r="G238" i="1"/>
  <c r="H257" i="1"/>
  <c r="H265" i="1"/>
  <c r="G270" i="1"/>
  <c r="G277" i="1"/>
  <c r="H278" i="1"/>
  <c r="G286" i="1"/>
  <c r="H288" i="1"/>
  <c r="H290" i="1"/>
  <c r="H292" i="1"/>
  <c r="H298" i="1"/>
  <c r="F312" i="1"/>
  <c r="H342" i="1"/>
  <c r="H344" i="1"/>
  <c r="G357" i="1"/>
  <c r="G362" i="1"/>
  <c r="G369" i="1"/>
  <c r="G525" i="1"/>
  <c r="H533" i="1"/>
  <c r="G546" i="1"/>
  <c r="G557" i="1"/>
  <c r="H565" i="1"/>
  <c r="G578" i="1"/>
  <c r="G589" i="1"/>
  <c r="H597" i="1"/>
  <c r="G610" i="1"/>
  <c r="H621" i="1"/>
  <c r="G641" i="1"/>
  <c r="F646" i="1"/>
  <c r="G650" i="1"/>
  <c r="G665" i="1"/>
  <c r="F670" i="1"/>
  <c r="H672" i="1"/>
  <c r="H709" i="1"/>
  <c r="G714" i="1"/>
  <c r="H721" i="1"/>
  <c r="G734" i="1"/>
  <c r="G765" i="1"/>
  <c r="F770" i="1"/>
  <c r="H780" i="1"/>
  <c r="F790" i="1"/>
  <c r="H792" i="1"/>
  <c r="H805" i="1"/>
  <c r="G810" i="1"/>
  <c r="G853" i="1"/>
  <c r="F858" i="1"/>
  <c r="H860" i="1"/>
  <c r="H873" i="1"/>
  <c r="F885" i="1"/>
  <c r="G894" i="1"/>
  <c r="H900" i="1"/>
  <c r="I906" i="1"/>
  <c r="G906" i="1"/>
  <c r="F906" i="1"/>
  <c r="I926" i="1"/>
  <c r="G926" i="1"/>
  <c r="F985" i="1"/>
  <c r="H985" i="1"/>
  <c r="F990" i="1"/>
  <c r="I1005" i="1"/>
  <c r="H1005" i="1"/>
  <c r="G1050" i="1"/>
  <c r="I1053" i="1"/>
  <c r="H1053" i="1"/>
  <c r="G1078" i="1"/>
  <c r="I1085" i="1"/>
  <c r="G1085" i="1"/>
  <c r="F1085" i="1"/>
  <c r="G1088" i="1"/>
  <c r="H1088" i="1"/>
  <c r="I1094" i="1"/>
  <c r="G1094" i="1"/>
  <c r="H1096" i="1"/>
  <c r="I1114" i="1"/>
  <c r="G1114" i="1"/>
  <c r="I1148" i="1"/>
  <c r="H1148" i="1"/>
  <c r="I1210" i="1"/>
  <c r="H1210" i="1"/>
  <c r="G1257" i="1"/>
  <c r="I1257" i="1"/>
  <c r="F1452" i="1"/>
  <c r="H1452" i="1"/>
  <c r="G1452" i="1"/>
  <c r="I1509" i="1"/>
  <c r="G1509" i="1"/>
  <c r="I1577" i="1"/>
  <c r="F1577" i="1"/>
  <c r="G1577" i="1"/>
  <c r="F1724" i="1"/>
  <c r="H1724" i="1"/>
  <c r="G1762" i="1"/>
  <c r="H1762" i="1"/>
  <c r="F1833" i="1"/>
  <c r="H1833" i="1"/>
  <c r="I1944" i="1"/>
  <c r="F1944" i="1"/>
  <c r="H1944" i="1"/>
  <c r="G1944" i="1"/>
  <c r="I1988" i="1"/>
  <c r="F1988" i="1"/>
  <c r="G1988" i="1"/>
  <c r="G2190" i="1"/>
  <c r="H2190" i="1"/>
  <c r="I2210" i="1"/>
  <c r="G2210" i="1"/>
  <c r="F2210" i="1"/>
  <c r="G2284" i="1"/>
  <c r="H2284" i="1"/>
  <c r="I2523" i="1"/>
  <c r="H2523" i="1"/>
  <c r="G2523" i="1"/>
  <c r="F2523" i="1"/>
  <c r="I2958" i="1"/>
  <c r="G2958" i="1"/>
  <c r="F2958" i="1"/>
  <c r="I3424" i="1"/>
  <c r="G3424" i="1"/>
  <c r="I3434" i="1"/>
  <c r="G3434" i="1"/>
  <c r="I3713" i="1"/>
  <c r="G3713" i="1"/>
  <c r="F3743" i="1"/>
  <c r="H3743" i="1"/>
  <c r="G3743" i="1"/>
  <c r="F3747" i="1"/>
  <c r="H3747" i="1"/>
  <c r="G3747" i="1"/>
  <c r="I3793" i="1"/>
  <c r="F3793" i="1"/>
  <c r="F3797" i="1"/>
  <c r="I3797" i="1"/>
  <c r="I3820" i="1"/>
  <c r="G3820" i="1"/>
  <c r="F3820" i="1"/>
  <c r="I953" i="1"/>
  <c r="H953" i="1"/>
  <c r="I1013" i="1"/>
  <c r="H1013" i="1"/>
  <c r="G1259" i="1"/>
  <c r="I1259" i="1"/>
  <c r="I1562" i="1"/>
  <c r="F1562" i="1"/>
  <c r="F1584" i="1"/>
  <c r="H1584" i="1"/>
  <c r="G1584" i="1"/>
  <c r="I1784" i="1"/>
  <c r="F1784" i="1"/>
  <c r="G1784" i="1"/>
  <c r="I2016" i="1"/>
  <c r="G2016" i="1"/>
  <c r="H2016" i="1"/>
  <c r="F2233" i="1"/>
  <c r="H2233" i="1"/>
  <c r="G2336" i="1"/>
  <c r="H2336" i="1"/>
  <c r="F2406" i="1"/>
  <c r="H2406" i="1"/>
  <c r="I2551" i="1"/>
  <c r="G2551" i="1"/>
  <c r="F2551" i="1"/>
  <c r="H2551" i="1"/>
  <c r="H13" i="1"/>
  <c r="H14" i="1"/>
  <c r="G22" i="1"/>
  <c r="H24" i="1"/>
  <c r="G30" i="1"/>
  <c r="H33" i="1"/>
  <c r="F38" i="1"/>
  <c r="F46" i="1"/>
  <c r="F54" i="1"/>
  <c r="F62" i="1"/>
  <c r="F70" i="1"/>
  <c r="F78" i="1"/>
  <c r="F86" i="1"/>
  <c r="F94" i="1"/>
  <c r="H98" i="1"/>
  <c r="H118" i="1"/>
  <c r="H121" i="1"/>
  <c r="G126" i="1"/>
  <c r="H129" i="1"/>
  <c r="G134" i="1"/>
  <c r="H137" i="1"/>
  <c r="G142" i="1"/>
  <c r="G149" i="1"/>
  <c r="F158" i="1"/>
  <c r="F166" i="1"/>
  <c r="H172" i="1"/>
  <c r="F178" i="1"/>
  <c r="G221" i="1"/>
  <c r="H224" i="1"/>
  <c r="G226" i="1"/>
  <c r="G237" i="1"/>
  <c r="H245" i="1"/>
  <c r="G269" i="1"/>
  <c r="F274" i="1"/>
  <c r="H277" i="1"/>
  <c r="G285" i="1"/>
  <c r="H286" i="1"/>
  <c r="H310" i="1"/>
  <c r="H312" i="1"/>
  <c r="F334" i="1"/>
  <c r="H357" i="1"/>
  <c r="H369" i="1"/>
  <c r="G514" i="1"/>
  <c r="H525" i="1"/>
  <c r="G545" i="1"/>
  <c r="H557" i="1"/>
  <c r="G577" i="1"/>
  <c r="F582" i="1"/>
  <c r="H589" i="1"/>
  <c r="G609" i="1"/>
  <c r="F614" i="1"/>
  <c r="H624" i="1"/>
  <c r="F634" i="1"/>
  <c r="H636" i="1"/>
  <c r="H641" i="1"/>
  <c r="G646" i="1"/>
  <c r="G649" i="1"/>
  <c r="F654" i="1"/>
  <c r="H656" i="1"/>
  <c r="H665" i="1"/>
  <c r="G670" i="1"/>
  <c r="H693" i="1"/>
  <c r="G698" i="1"/>
  <c r="G713" i="1"/>
  <c r="G733" i="1"/>
  <c r="F738" i="1"/>
  <c r="H748" i="1"/>
  <c r="F758" i="1"/>
  <c r="H760" i="1"/>
  <c r="H765" i="1"/>
  <c r="G770" i="1"/>
  <c r="H773" i="1"/>
  <c r="G778" i="1"/>
  <c r="G790" i="1"/>
  <c r="G809" i="1"/>
  <c r="H817" i="1"/>
  <c r="H829" i="1"/>
  <c r="F834" i="1"/>
  <c r="H836" i="1"/>
  <c r="F846" i="1"/>
  <c r="H848" i="1"/>
  <c r="H853" i="1"/>
  <c r="G858" i="1"/>
  <c r="H868" i="1"/>
  <c r="H876" i="1"/>
  <c r="F878" i="1"/>
  <c r="H880" i="1"/>
  <c r="G885" i="1"/>
  <c r="G893" i="1"/>
  <c r="I938" i="1"/>
  <c r="G938" i="1"/>
  <c r="H940" i="1"/>
  <c r="G985" i="1"/>
  <c r="G1005" i="1"/>
  <c r="I1021" i="1"/>
  <c r="H1021" i="1"/>
  <c r="G1021" i="1"/>
  <c r="I1033" i="1"/>
  <c r="H1033" i="1"/>
  <c r="I1066" i="1"/>
  <c r="G1066" i="1"/>
  <c r="F1066" i="1"/>
  <c r="H1085" i="1"/>
  <c r="F1094" i="1"/>
  <c r="I1142" i="1"/>
  <c r="G1142" i="1"/>
  <c r="H1166" i="1"/>
  <c r="I1174" i="1"/>
  <c r="G1174" i="1"/>
  <c r="F1174" i="1"/>
  <c r="G1193" i="1"/>
  <c r="G1210" i="1"/>
  <c r="I1230" i="1"/>
  <c r="H1230" i="1"/>
  <c r="F1319" i="1"/>
  <c r="G1319" i="1"/>
  <c r="I1449" i="1"/>
  <c r="G1449" i="1"/>
  <c r="I1673" i="1"/>
  <c r="G1673" i="1"/>
  <c r="I1854" i="1"/>
  <c r="G1854" i="1"/>
  <c r="F1854" i="1"/>
  <c r="F1891" i="1"/>
  <c r="H1891" i="1"/>
  <c r="G1891" i="1"/>
  <c r="F1979" i="1"/>
  <c r="G1979" i="1"/>
  <c r="H1979" i="1"/>
  <c r="G2034" i="1"/>
  <c r="H2034" i="1"/>
  <c r="F2059" i="1"/>
  <c r="G2059" i="1"/>
  <c r="H2059" i="1"/>
  <c r="G2130" i="1"/>
  <c r="H2130" i="1"/>
  <c r="F2155" i="1"/>
  <c r="H2155" i="1"/>
  <c r="G2155" i="1"/>
  <c r="G2268" i="1"/>
  <c r="H2268" i="1"/>
  <c r="I2459" i="1"/>
  <c r="G2459" i="1"/>
  <c r="F2459" i="1"/>
  <c r="F2470" i="1"/>
  <c r="H2470" i="1"/>
  <c r="G2470" i="1"/>
  <c r="F2498" i="1"/>
  <c r="H2498" i="1"/>
  <c r="G2498" i="1"/>
  <c r="I2613" i="1"/>
  <c r="F2613" i="1"/>
  <c r="F2663" i="1"/>
  <c r="H2663" i="1"/>
  <c r="G2663" i="1"/>
  <c r="F2683" i="1"/>
  <c r="H2683" i="1"/>
  <c r="G2683" i="1"/>
  <c r="I2776" i="1"/>
  <c r="G2776" i="1"/>
  <c r="F2804" i="1"/>
  <c r="H2804" i="1"/>
  <c r="F3640" i="1"/>
  <c r="H3640" i="1"/>
  <c r="G3640" i="1"/>
  <c r="I3681" i="1"/>
  <c r="G3681" i="1"/>
  <c r="F3681" i="1"/>
  <c r="H3681" i="1"/>
  <c r="F3696" i="1"/>
  <c r="H3696" i="1"/>
  <c r="F3727" i="1"/>
  <c r="H3727" i="1"/>
  <c r="G3727" i="1"/>
  <c r="F913" i="1"/>
  <c r="H913" i="1"/>
  <c r="I1022" i="1"/>
  <c r="G1022" i="1"/>
  <c r="I1042" i="1"/>
  <c r="G1042" i="1"/>
  <c r="I1065" i="1"/>
  <c r="G1065" i="1"/>
  <c r="F1065" i="1"/>
  <c r="I1070" i="1"/>
  <c r="G1070" i="1"/>
  <c r="I1156" i="1"/>
  <c r="H1156" i="1"/>
  <c r="I1209" i="1"/>
  <c r="G1209" i="1"/>
  <c r="I1609" i="1"/>
  <c r="G1609" i="1"/>
  <c r="F1609" i="1"/>
  <c r="I1858" i="1"/>
  <c r="H1858" i="1"/>
  <c r="G1858" i="1"/>
  <c r="I2298" i="1"/>
  <c r="G2298" i="1"/>
  <c r="F2298" i="1"/>
  <c r="G21" i="1"/>
  <c r="H22" i="1"/>
  <c r="H36" i="1"/>
  <c r="G38" i="1"/>
  <c r="H41" i="1"/>
  <c r="G46" i="1"/>
  <c r="H49" i="1"/>
  <c r="G54" i="1"/>
  <c r="H57" i="1"/>
  <c r="G62" i="1"/>
  <c r="H65" i="1"/>
  <c r="G70" i="1"/>
  <c r="H73" i="1"/>
  <c r="G78" i="1"/>
  <c r="H81" i="1"/>
  <c r="G86" i="1"/>
  <c r="G94" i="1"/>
  <c r="G97" i="1"/>
  <c r="H106" i="1"/>
  <c r="H114" i="1"/>
  <c r="G153" i="1"/>
  <c r="H156" i="1"/>
  <c r="H164" i="1"/>
  <c r="H176" i="1"/>
  <c r="H237" i="1"/>
  <c r="F257" i="1"/>
  <c r="F258" i="1"/>
  <c r="H260" i="1"/>
  <c r="H269" i="1"/>
  <c r="G274" i="1"/>
  <c r="H285" i="1"/>
  <c r="F302" i="1"/>
  <c r="F322" i="1"/>
  <c r="F324" i="1"/>
  <c r="H332" i="1"/>
  <c r="H334" i="1"/>
  <c r="G349" i="1"/>
  <c r="G513" i="1"/>
  <c r="F518" i="1"/>
  <c r="H528" i="1"/>
  <c r="F538" i="1"/>
  <c r="H540" i="1"/>
  <c r="H545" i="1"/>
  <c r="F550" i="1"/>
  <c r="H560" i="1"/>
  <c r="F570" i="1"/>
  <c r="H572" i="1"/>
  <c r="H577" i="1"/>
  <c r="G582" i="1"/>
  <c r="H592" i="1"/>
  <c r="F602" i="1"/>
  <c r="H604" i="1"/>
  <c r="H609" i="1"/>
  <c r="G614" i="1"/>
  <c r="H617" i="1"/>
  <c r="G622" i="1"/>
  <c r="G634" i="1"/>
  <c r="H649" i="1"/>
  <c r="G654" i="1"/>
  <c r="H677" i="1"/>
  <c r="G682" i="1"/>
  <c r="G697" i="1"/>
  <c r="H713" i="1"/>
  <c r="F726" i="1"/>
  <c r="H728" i="1"/>
  <c r="H733" i="1"/>
  <c r="G738" i="1"/>
  <c r="H741" i="1"/>
  <c r="G746" i="1"/>
  <c r="G758" i="1"/>
  <c r="H809" i="1"/>
  <c r="G834" i="1"/>
  <c r="G846" i="1"/>
  <c r="G878" i="1"/>
  <c r="H893" i="1"/>
  <c r="G908" i="1"/>
  <c r="H908" i="1"/>
  <c r="I918" i="1"/>
  <c r="G918" i="1"/>
  <c r="F921" i="1"/>
  <c r="H921" i="1"/>
  <c r="I958" i="1"/>
  <c r="G958" i="1"/>
  <c r="I974" i="1"/>
  <c r="G974" i="1"/>
  <c r="G980" i="1"/>
  <c r="H980" i="1"/>
  <c r="I1049" i="1"/>
  <c r="H1049" i="1"/>
  <c r="G1049" i="1"/>
  <c r="I1077" i="1"/>
  <c r="H1077" i="1"/>
  <c r="G1077" i="1"/>
  <c r="I1086" i="1"/>
  <c r="G1086" i="1"/>
  <c r="F1086" i="1"/>
  <c r="I1093" i="1"/>
  <c r="H1093" i="1"/>
  <c r="G1093" i="1"/>
  <c r="I1125" i="1"/>
  <c r="H1125" i="1"/>
  <c r="I1164" i="1"/>
  <c r="H1164" i="1"/>
  <c r="I1182" i="1"/>
  <c r="H1182" i="1"/>
  <c r="G1227" i="1"/>
  <c r="I1227" i="1"/>
  <c r="I1270" i="1"/>
  <c r="F1270" i="1"/>
  <c r="F1444" i="1"/>
  <c r="G1444" i="1"/>
  <c r="H1444" i="1"/>
  <c r="I1459" i="1"/>
  <c r="H1459" i="1"/>
  <c r="I1549" i="1"/>
  <c r="F1549" i="1"/>
  <c r="G1549" i="1"/>
  <c r="I1617" i="1"/>
  <c r="F1617" i="1"/>
  <c r="G1617" i="1"/>
  <c r="I1665" i="1"/>
  <c r="G1665" i="1"/>
  <c r="F1665" i="1"/>
  <c r="F1716" i="1"/>
  <c r="H1716" i="1"/>
  <c r="G1716" i="1"/>
  <c r="I1749" i="1"/>
  <c r="G1749" i="1"/>
  <c r="F1791" i="1"/>
  <c r="H1791" i="1"/>
  <c r="G1791" i="1"/>
  <c r="F1849" i="1"/>
  <c r="G1849" i="1"/>
  <c r="H1849" i="1"/>
  <c r="F1865" i="1"/>
  <c r="G1865" i="1"/>
  <c r="H1865" i="1"/>
  <c r="G1886" i="1"/>
  <c r="H1886" i="1"/>
  <c r="I1952" i="1"/>
  <c r="H1952" i="1"/>
  <c r="G1952" i="1"/>
  <c r="I2108" i="1"/>
  <c r="H2108" i="1"/>
  <c r="G2108" i="1"/>
  <c r="F2554" i="1"/>
  <c r="H2554" i="1"/>
  <c r="G2554" i="1"/>
  <c r="F2558" i="1"/>
  <c r="H2558" i="1"/>
  <c r="G2558" i="1"/>
  <c r="I2597" i="1"/>
  <c r="H2597" i="1"/>
  <c r="F3501" i="1"/>
  <c r="H3501" i="1"/>
  <c r="I3720" i="1"/>
  <c r="G3720" i="1"/>
  <c r="I3724" i="1"/>
  <c r="G3724" i="1"/>
  <c r="I1278" i="1"/>
  <c r="H1278" i="1"/>
  <c r="G1342" i="1"/>
  <c r="H1342" i="1"/>
  <c r="I1441" i="1"/>
  <c r="G1441" i="1"/>
  <c r="I1477" i="1"/>
  <c r="G1477" i="1"/>
  <c r="I1501" i="1"/>
  <c r="G1501" i="1"/>
  <c r="F1504" i="1"/>
  <c r="H1504" i="1"/>
  <c r="F1518" i="1"/>
  <c r="I1518" i="1"/>
  <c r="I1565" i="1"/>
  <c r="G1565" i="1"/>
  <c r="I1569" i="1"/>
  <c r="G1569" i="1"/>
  <c r="F1632" i="1"/>
  <c r="G1632" i="1"/>
  <c r="G1647" i="1"/>
  <c r="H1647" i="1"/>
  <c r="G1687" i="1"/>
  <c r="H1687" i="1"/>
  <c r="I1760" i="1"/>
  <c r="G1760" i="1"/>
  <c r="G1774" i="1"/>
  <c r="H1774" i="1"/>
  <c r="I1964" i="1"/>
  <c r="F1964" i="1"/>
  <c r="G2002" i="1"/>
  <c r="H2002" i="1"/>
  <c r="I2032" i="1"/>
  <c r="H2032" i="1"/>
  <c r="I2048" i="1"/>
  <c r="F2048" i="1"/>
  <c r="I2068" i="1"/>
  <c r="F2068" i="1"/>
  <c r="F2127" i="1"/>
  <c r="H2127" i="1"/>
  <c r="I2144" i="1"/>
  <c r="G2144" i="1"/>
  <c r="F2144" i="1"/>
  <c r="F2237" i="1"/>
  <c r="H2237" i="1"/>
  <c r="G2237" i="1"/>
  <c r="G2244" i="1"/>
  <c r="H2244" i="1"/>
  <c r="I2266" i="1"/>
  <c r="G2266" i="1"/>
  <c r="G2312" i="1"/>
  <c r="H2312" i="1"/>
  <c r="I2427" i="1"/>
  <c r="G2427" i="1"/>
  <c r="I2443" i="1"/>
  <c r="G2443" i="1"/>
  <c r="F2518" i="1"/>
  <c r="H2518" i="1"/>
  <c r="G2518" i="1"/>
  <c r="I2531" i="1"/>
  <c r="G2531" i="1"/>
  <c r="F2531" i="1"/>
  <c r="I2555" i="1"/>
  <c r="H2555" i="1"/>
  <c r="G2555" i="1"/>
  <c r="F2555" i="1"/>
  <c r="I2650" i="1"/>
  <c r="H2650" i="1"/>
  <c r="I2764" i="1"/>
  <c r="G2764" i="1"/>
  <c r="F2764" i="1"/>
  <c r="F2771" i="1"/>
  <c r="H2771" i="1"/>
  <c r="F2857" i="1"/>
  <c r="H2857" i="1"/>
  <c r="I2878" i="1"/>
  <c r="G2878" i="1"/>
  <c r="F2878" i="1"/>
  <c r="I2927" i="1"/>
  <c r="H2927" i="1"/>
  <c r="H2931" i="1"/>
  <c r="I2931" i="1"/>
  <c r="F2959" i="1"/>
  <c r="I2959" i="1"/>
  <c r="I2989" i="1"/>
  <c r="H2989" i="1"/>
  <c r="I3201" i="1"/>
  <c r="G3201" i="1"/>
  <c r="F3201" i="1"/>
  <c r="I3209" i="1"/>
  <c r="F3209" i="1"/>
  <c r="F3216" i="1"/>
  <c r="H3216" i="1"/>
  <c r="G3216" i="1"/>
  <c r="F3224" i="1"/>
  <c r="H3224" i="1"/>
  <c r="I3329" i="1"/>
  <c r="F3329" i="1"/>
  <c r="I3380" i="1"/>
  <c r="H3380" i="1"/>
  <c r="I3478" i="1"/>
  <c r="G3478" i="1"/>
  <c r="F3478" i="1"/>
  <c r="H3484" i="1"/>
  <c r="I3484" i="1"/>
  <c r="F3700" i="1"/>
  <c r="H3700" i="1"/>
  <c r="I3740" i="1"/>
  <c r="G3740" i="1"/>
  <c r="I3744" i="1"/>
  <c r="G3744" i="1"/>
  <c r="I3764" i="1"/>
  <c r="G3764" i="1"/>
  <c r="F3764" i="1"/>
  <c r="F3783" i="1"/>
  <c r="H3783" i="1"/>
  <c r="H1001" i="1"/>
  <c r="H1029" i="1"/>
  <c r="H1121" i="1"/>
  <c r="H1206" i="1"/>
  <c r="G1226" i="1"/>
  <c r="F1238" i="1"/>
  <c r="I1243" i="1"/>
  <c r="H1246" i="1"/>
  <c r="I1258" i="1"/>
  <c r="H1258" i="1"/>
  <c r="G1275" i="1"/>
  <c r="I1275" i="1"/>
  <c r="F1328" i="1"/>
  <c r="G1335" i="1"/>
  <c r="F1342" i="1"/>
  <c r="F1448" i="1"/>
  <c r="H1448" i="1"/>
  <c r="I1457" i="1"/>
  <c r="G1457" i="1"/>
  <c r="G1465" i="1"/>
  <c r="I1469" i="1"/>
  <c r="G1469" i="1"/>
  <c r="F1477" i="1"/>
  <c r="F1501" i="1"/>
  <c r="F1514" i="1"/>
  <c r="G1521" i="1"/>
  <c r="H1524" i="1"/>
  <c r="I1533" i="1"/>
  <c r="F1533" i="1"/>
  <c r="G1552" i="1"/>
  <c r="F1565" i="1"/>
  <c r="F1597" i="1"/>
  <c r="H1599" i="1"/>
  <c r="G1607" i="1"/>
  <c r="H1607" i="1"/>
  <c r="G1627" i="1"/>
  <c r="H1627" i="1"/>
  <c r="H1632" i="1"/>
  <c r="F1637" i="1"/>
  <c r="H1639" i="1"/>
  <c r="I1645" i="1"/>
  <c r="F1645" i="1"/>
  <c r="G1653" i="1"/>
  <c r="F1660" i="1"/>
  <c r="H1660" i="1"/>
  <c r="F1672" i="1"/>
  <c r="H1672" i="1"/>
  <c r="I1677" i="1"/>
  <c r="F1677" i="1"/>
  <c r="G1719" i="1"/>
  <c r="H1719" i="1"/>
  <c r="H1744" i="1"/>
  <c r="F1748" i="1"/>
  <c r="H1748" i="1"/>
  <c r="F1760" i="1"/>
  <c r="G1803" i="1"/>
  <c r="H1807" i="1"/>
  <c r="G1820" i="1"/>
  <c r="H1823" i="1"/>
  <c r="I1838" i="1"/>
  <c r="F1838" i="1"/>
  <c r="I1850" i="1"/>
  <c r="G1850" i="1"/>
  <c r="F1857" i="1"/>
  <c r="G1857" i="1"/>
  <c r="I1866" i="1"/>
  <c r="H1866" i="1"/>
  <c r="H1868" i="1"/>
  <c r="H1884" i="1"/>
  <c r="I1892" i="1"/>
  <c r="H1892" i="1"/>
  <c r="I1904" i="1"/>
  <c r="G1904" i="1"/>
  <c r="F1951" i="1"/>
  <c r="H1951" i="1"/>
  <c r="G1964" i="1"/>
  <c r="I1980" i="1"/>
  <c r="G1980" i="1"/>
  <c r="G1982" i="1"/>
  <c r="H1982" i="1"/>
  <c r="I1996" i="1"/>
  <c r="G1996" i="1"/>
  <c r="F1999" i="1"/>
  <c r="H1999" i="1"/>
  <c r="I2024" i="1"/>
  <c r="G2024" i="1"/>
  <c r="G2032" i="1"/>
  <c r="G2048" i="1"/>
  <c r="I2060" i="1"/>
  <c r="G2060" i="1"/>
  <c r="G2062" i="1"/>
  <c r="H2062" i="1"/>
  <c r="G2068" i="1"/>
  <c r="I2116" i="1"/>
  <c r="G2116" i="1"/>
  <c r="F2119" i="1"/>
  <c r="H2119" i="1"/>
  <c r="F2167" i="1"/>
  <c r="H2167" i="1"/>
  <c r="G2167" i="1"/>
  <c r="G2170" i="1"/>
  <c r="H2170" i="1"/>
  <c r="I2188" i="1"/>
  <c r="H2188" i="1"/>
  <c r="G2188" i="1"/>
  <c r="I2196" i="1"/>
  <c r="G2196" i="1"/>
  <c r="F2196" i="1"/>
  <c r="F2221" i="1"/>
  <c r="H2221" i="1"/>
  <c r="G2221" i="1"/>
  <c r="F2261" i="1"/>
  <c r="H2261" i="1"/>
  <c r="F2266" i="1"/>
  <c r="I2282" i="1"/>
  <c r="G2282" i="1"/>
  <c r="F2282" i="1"/>
  <c r="H2289" i="1"/>
  <c r="F2293" i="1"/>
  <c r="H2293" i="1"/>
  <c r="G2293" i="1"/>
  <c r="G2300" i="1"/>
  <c r="H2300" i="1"/>
  <c r="F2427" i="1"/>
  <c r="F2443" i="1"/>
  <c r="I2487" i="1"/>
  <c r="H2487" i="1"/>
  <c r="G2487" i="1"/>
  <c r="I2525" i="1"/>
  <c r="H2525" i="1"/>
  <c r="H2531" i="1"/>
  <c r="I2563" i="1"/>
  <c r="G2563" i="1"/>
  <c r="F2563" i="1"/>
  <c r="I2646" i="1"/>
  <c r="H2646" i="1"/>
  <c r="F2667" i="1"/>
  <c r="H2667" i="1"/>
  <c r="G2667" i="1"/>
  <c r="F2671" i="1"/>
  <c r="H2671" i="1"/>
  <c r="F2703" i="1"/>
  <c r="H2703" i="1"/>
  <c r="F2759" i="1"/>
  <c r="H2759" i="1"/>
  <c r="G2759" i="1"/>
  <c r="F2825" i="1"/>
  <c r="H2825" i="1"/>
  <c r="I2863" i="1"/>
  <c r="F2863" i="1"/>
  <c r="H2878" i="1"/>
  <c r="F2928" i="1"/>
  <c r="H2928" i="1"/>
  <c r="I2966" i="1"/>
  <c r="G2966" i="1"/>
  <c r="F2966" i="1"/>
  <c r="I2973" i="1"/>
  <c r="H2973" i="1"/>
  <c r="F2982" i="1"/>
  <c r="H2982" i="1"/>
  <c r="F3006" i="1"/>
  <c r="H3006" i="1"/>
  <c r="I3011" i="1"/>
  <c r="G3011" i="1"/>
  <c r="F3011" i="1"/>
  <c r="H3031" i="1"/>
  <c r="F3064" i="1"/>
  <c r="H3064" i="1"/>
  <c r="G3064" i="1"/>
  <c r="G3077" i="1"/>
  <c r="H3080" i="1"/>
  <c r="I3097" i="1"/>
  <c r="H3097" i="1"/>
  <c r="G3097" i="1"/>
  <c r="F3172" i="1"/>
  <c r="H3172" i="1"/>
  <c r="F3196" i="1"/>
  <c r="H3196" i="1"/>
  <c r="G3209" i="1"/>
  <c r="G3224" i="1"/>
  <c r="F3307" i="1"/>
  <c r="H3307" i="1"/>
  <c r="G3307" i="1"/>
  <c r="F3321" i="1"/>
  <c r="G925" i="1"/>
  <c r="H933" i="1"/>
  <c r="G946" i="1"/>
  <c r="H965" i="1"/>
  <c r="G970" i="1"/>
  <c r="H997" i="1"/>
  <c r="H1025" i="1"/>
  <c r="G1041" i="1"/>
  <c r="H1226" i="1"/>
  <c r="G1238" i="1"/>
  <c r="G1326" i="1"/>
  <c r="H1326" i="1"/>
  <c r="F1464" i="1"/>
  <c r="H1464" i="1"/>
  <c r="I1493" i="1"/>
  <c r="G1493" i="1"/>
  <c r="F1496" i="1"/>
  <c r="H1496" i="1"/>
  <c r="F1520" i="1"/>
  <c r="H1520" i="1"/>
  <c r="H1552" i="1"/>
  <c r="G1579" i="1"/>
  <c r="H1579" i="1"/>
  <c r="F1596" i="1"/>
  <c r="H1596" i="1"/>
  <c r="G1597" i="1"/>
  <c r="F1604" i="1"/>
  <c r="H1604" i="1"/>
  <c r="I1625" i="1"/>
  <c r="F1625" i="1"/>
  <c r="I1633" i="1"/>
  <c r="G1633" i="1"/>
  <c r="G1637" i="1"/>
  <c r="F1640" i="1"/>
  <c r="G1640" i="1"/>
  <c r="F1652" i="1"/>
  <c r="H1652" i="1"/>
  <c r="I1709" i="1"/>
  <c r="F1709" i="1"/>
  <c r="G1786" i="1"/>
  <c r="H1786" i="1"/>
  <c r="I1796" i="1"/>
  <c r="G1796" i="1"/>
  <c r="H1803" i="1"/>
  <c r="I1812" i="1"/>
  <c r="F1812" i="1"/>
  <c r="I1900" i="1"/>
  <c r="F1900" i="1"/>
  <c r="I2076" i="1"/>
  <c r="G2076" i="1"/>
  <c r="F2076" i="1"/>
  <c r="F2099" i="1"/>
  <c r="H2099" i="1"/>
  <c r="F2107" i="1"/>
  <c r="H2107" i="1"/>
  <c r="G2107" i="1"/>
  <c r="I2136" i="1"/>
  <c r="G2136" i="1"/>
  <c r="F2136" i="1"/>
  <c r="I2168" i="1"/>
  <c r="H2168" i="1"/>
  <c r="G2168" i="1"/>
  <c r="I2222" i="1"/>
  <c r="G2222" i="1"/>
  <c r="I2242" i="1"/>
  <c r="G2242" i="1"/>
  <c r="F2242" i="1"/>
  <c r="G2280" i="1"/>
  <c r="H2280" i="1"/>
  <c r="I2342" i="1"/>
  <c r="G2342" i="1"/>
  <c r="F2349" i="1"/>
  <c r="H2349" i="1"/>
  <c r="I2367" i="1"/>
  <c r="G2367" i="1"/>
  <c r="F2367" i="1"/>
  <c r="I2382" i="1"/>
  <c r="G2382" i="1"/>
  <c r="F2422" i="1"/>
  <c r="H2422" i="1"/>
  <c r="G2422" i="1"/>
  <c r="I2475" i="1"/>
  <c r="G2475" i="1"/>
  <c r="F2475" i="1"/>
  <c r="F2482" i="1"/>
  <c r="H2482" i="1"/>
  <c r="F2522" i="1"/>
  <c r="H2522" i="1"/>
  <c r="G2522" i="1"/>
  <c r="F2526" i="1"/>
  <c r="H2526" i="1"/>
  <c r="G2526" i="1"/>
  <c r="I2557" i="1"/>
  <c r="H2557" i="1"/>
  <c r="F2659" i="1"/>
  <c r="H2659" i="1"/>
  <c r="I2662" i="1"/>
  <c r="H2662" i="1"/>
  <c r="I2668" i="1"/>
  <c r="G2668" i="1"/>
  <c r="F2792" i="1"/>
  <c r="H2792" i="1"/>
  <c r="F2837" i="1"/>
  <c r="H2837" i="1"/>
  <c r="I3061" i="1"/>
  <c r="G3061" i="1"/>
  <c r="F3156" i="1"/>
  <c r="G3156" i="1"/>
  <c r="I2322" i="1"/>
  <c r="G2322" i="1"/>
  <c r="I2354" i="1"/>
  <c r="G2354" i="1"/>
  <c r="I2369" i="1"/>
  <c r="H2369" i="1"/>
  <c r="F2454" i="1"/>
  <c r="H2454" i="1"/>
  <c r="G2454" i="1"/>
  <c r="I2543" i="1"/>
  <c r="G2543" i="1"/>
  <c r="I2552" i="1"/>
  <c r="F2552" i="1"/>
  <c r="I2575" i="1"/>
  <c r="G2575" i="1"/>
  <c r="I2587" i="1"/>
  <c r="G2587" i="1"/>
  <c r="I2617" i="1"/>
  <c r="F2617" i="1"/>
  <c r="I2624" i="1"/>
  <c r="G2624" i="1"/>
  <c r="F2624" i="1"/>
  <c r="F2651" i="1"/>
  <c r="H2651" i="1"/>
  <c r="I2654" i="1"/>
  <c r="H2654" i="1"/>
  <c r="I2677" i="1"/>
  <c r="F2677" i="1"/>
  <c r="I2740" i="1"/>
  <c r="G2740" i="1"/>
  <c r="F2808" i="1"/>
  <c r="H2808" i="1"/>
  <c r="F2841" i="1"/>
  <c r="H2841" i="1"/>
  <c r="F2869" i="1"/>
  <c r="H2869" i="1"/>
  <c r="G2869" i="1"/>
  <c r="I2879" i="1"/>
  <c r="F2879" i="1"/>
  <c r="I2957" i="1"/>
  <c r="G2957" i="1"/>
  <c r="F2957" i="1"/>
  <c r="I2965" i="1"/>
  <c r="G2965" i="1"/>
  <c r="F2965" i="1"/>
  <c r="I2977" i="1"/>
  <c r="H2977" i="1"/>
  <c r="I2987" i="1"/>
  <c r="G2987" i="1"/>
  <c r="F2998" i="1"/>
  <c r="H2998" i="1"/>
  <c r="I3041" i="1"/>
  <c r="G3041" i="1"/>
  <c r="F3041" i="1"/>
  <c r="I3057" i="1"/>
  <c r="G3057" i="1"/>
  <c r="I3073" i="1"/>
  <c r="G3073" i="1"/>
  <c r="I3101" i="1"/>
  <c r="H3101" i="1"/>
  <c r="G3101" i="1"/>
  <c r="F3101" i="1"/>
  <c r="F3116" i="1"/>
  <c r="H3116" i="1"/>
  <c r="H3127" i="1"/>
  <c r="I3127" i="1"/>
  <c r="F3154" i="1"/>
  <c r="I3154" i="1"/>
  <c r="F3160" i="1"/>
  <c r="H3160" i="1"/>
  <c r="F3220" i="1"/>
  <c r="H3220" i="1"/>
  <c r="G3220" i="1"/>
  <c r="I3308" i="1"/>
  <c r="G3308" i="1"/>
  <c r="F3308" i="1"/>
  <c r="I3344" i="1"/>
  <c r="G3344" i="1"/>
  <c r="F3344" i="1"/>
  <c r="F3381" i="1"/>
  <c r="H3381" i="1"/>
  <c r="G3381" i="1"/>
  <c r="I3614" i="1"/>
  <c r="F3614" i="1"/>
  <c r="H2079" i="1"/>
  <c r="H2082" i="1"/>
  <c r="F2088" i="1"/>
  <c r="F2096" i="1"/>
  <c r="G2148" i="1"/>
  <c r="H2150" i="1"/>
  <c r="G2176" i="1"/>
  <c r="G2187" i="1"/>
  <c r="H2201" i="1"/>
  <c r="G2206" i="1"/>
  <c r="F2226" i="1"/>
  <c r="G2250" i="1"/>
  <c r="H2273" i="1"/>
  <c r="G2278" i="1"/>
  <c r="H2288" i="1"/>
  <c r="I2310" i="1"/>
  <c r="G2310" i="1"/>
  <c r="I2314" i="1"/>
  <c r="G2314" i="1"/>
  <c r="H2316" i="1"/>
  <c r="I2334" i="1"/>
  <c r="G2334" i="1"/>
  <c r="F2334" i="1"/>
  <c r="F2341" i="1"/>
  <c r="H2341" i="1"/>
  <c r="G2341" i="1"/>
  <c r="I2378" i="1"/>
  <c r="H2378" i="1"/>
  <c r="G2378" i="1"/>
  <c r="F2390" i="1"/>
  <c r="H2390" i="1"/>
  <c r="I2488" i="1"/>
  <c r="F2543" i="1"/>
  <c r="F2575" i="1"/>
  <c r="F2587" i="1"/>
  <c r="H2606" i="1"/>
  <c r="H2614" i="1"/>
  <c r="H2642" i="1"/>
  <c r="G2651" i="1"/>
  <c r="F2655" i="1"/>
  <c r="H2655" i="1"/>
  <c r="I2658" i="1"/>
  <c r="H2658" i="1"/>
  <c r="F2681" i="1"/>
  <c r="I2681" i="1"/>
  <c r="I2693" i="1"/>
  <c r="F2693" i="1"/>
  <c r="I2696" i="1"/>
  <c r="G2696" i="1"/>
  <c r="F2735" i="1"/>
  <c r="H2735" i="1"/>
  <c r="F2740" i="1"/>
  <c r="I2862" i="1"/>
  <c r="G2862" i="1"/>
  <c r="F2862" i="1"/>
  <c r="I2870" i="1"/>
  <c r="H2870" i="1"/>
  <c r="I2947" i="1"/>
  <c r="H2957" i="1"/>
  <c r="H2965" i="1"/>
  <c r="G2977" i="1"/>
  <c r="F2987" i="1"/>
  <c r="G2998" i="1"/>
  <c r="H3027" i="1"/>
  <c r="F3038" i="1"/>
  <c r="F3057" i="1"/>
  <c r="F3073" i="1"/>
  <c r="I3092" i="1"/>
  <c r="F3092" i="1"/>
  <c r="G3116" i="1"/>
  <c r="G3160" i="1"/>
  <c r="F3176" i="1"/>
  <c r="H3176" i="1"/>
  <c r="F3180" i="1"/>
  <c r="H3180" i="1"/>
  <c r="G3180" i="1"/>
  <c r="I3205" i="1"/>
  <c r="F3205" i="1"/>
  <c r="G3205" i="1"/>
  <c r="F3517" i="1"/>
  <c r="H3517" i="1"/>
  <c r="G3517" i="1"/>
  <c r="G3591" i="1"/>
  <c r="H3591" i="1"/>
  <c r="F3076" i="1"/>
  <c r="G3076" i="1"/>
  <c r="I3093" i="1"/>
  <c r="G3093" i="1"/>
  <c r="F3096" i="1"/>
  <c r="G3096" i="1"/>
  <c r="I3137" i="1"/>
  <c r="F3137" i="1"/>
  <c r="I3153" i="1"/>
  <c r="F3153" i="1"/>
  <c r="I3157" i="1"/>
  <c r="G3157" i="1"/>
  <c r="I3165" i="1"/>
  <c r="F3165" i="1"/>
  <c r="F3251" i="1"/>
  <c r="H3251" i="1"/>
  <c r="I3296" i="1"/>
  <c r="G3296" i="1"/>
  <c r="F3296" i="1"/>
  <c r="I3305" i="1"/>
  <c r="F3305" i="1"/>
  <c r="F3327" i="1"/>
  <c r="H3327" i="1"/>
  <c r="I3346" i="1"/>
  <c r="H3346" i="1"/>
  <c r="I3365" i="1"/>
  <c r="H3365" i="1"/>
  <c r="I3378" i="1"/>
  <c r="G3378" i="1"/>
  <c r="F3378" i="1"/>
  <c r="F3397" i="1"/>
  <c r="H3397" i="1"/>
  <c r="G3397" i="1"/>
  <c r="F3405" i="1"/>
  <c r="H3405" i="1"/>
  <c r="G3405" i="1"/>
  <c r="I3420" i="1"/>
  <c r="H3420" i="1"/>
  <c r="H3452" i="1"/>
  <c r="I3452" i="1"/>
  <c r="I3464" i="1"/>
  <c r="H3464" i="1"/>
  <c r="I3506" i="1"/>
  <c r="G3506" i="1"/>
  <c r="F3506" i="1"/>
  <c r="I3541" i="1"/>
  <c r="H3541" i="1"/>
  <c r="F3664" i="1"/>
  <c r="H3664" i="1"/>
  <c r="G3664" i="1"/>
  <c r="I3687" i="1"/>
  <c r="H3687" i="1"/>
  <c r="I3769" i="1"/>
  <c r="F3769" i="1"/>
  <c r="F3775" i="1"/>
  <c r="H3775" i="1"/>
  <c r="F3805" i="1"/>
  <c r="I3805" i="1"/>
  <c r="I3814" i="1"/>
  <c r="H3814" i="1"/>
  <c r="G2321" i="1"/>
  <c r="H2329" i="1"/>
  <c r="H2332" i="1"/>
  <c r="G2353" i="1"/>
  <c r="H2362" i="1"/>
  <c r="G2394" i="1"/>
  <c r="F2399" i="1"/>
  <c r="H2418" i="1"/>
  <c r="H2434" i="1"/>
  <c r="G2439" i="1"/>
  <c r="G2486" i="1"/>
  <c r="F2491" i="1"/>
  <c r="G2494" i="1"/>
  <c r="F2511" i="1"/>
  <c r="I2520" i="1"/>
  <c r="G2530" i="1"/>
  <c r="G2550" i="1"/>
  <c r="G2562" i="1"/>
  <c r="F2591" i="1"/>
  <c r="G2623" i="1"/>
  <c r="G2627" i="1"/>
  <c r="G2631" i="1"/>
  <c r="F2633" i="1"/>
  <c r="F2680" i="1"/>
  <c r="F2700" i="1"/>
  <c r="H2747" i="1"/>
  <c r="G2752" i="1"/>
  <c r="G2775" i="1"/>
  <c r="H2787" i="1"/>
  <c r="H2790" i="1"/>
  <c r="H2796" i="1"/>
  <c r="H2812" i="1"/>
  <c r="H2829" i="1"/>
  <c r="H2845" i="1"/>
  <c r="G2877" i="1"/>
  <c r="I2883" i="1"/>
  <c r="I2888" i="1"/>
  <c r="I2892" i="1"/>
  <c r="I2896" i="1"/>
  <c r="I2900" i="1"/>
  <c r="I2904" i="1"/>
  <c r="I2908" i="1"/>
  <c r="I2912" i="1"/>
  <c r="H2916" i="1"/>
  <c r="F2942" i="1"/>
  <c r="H2952" i="1"/>
  <c r="F2995" i="1"/>
  <c r="H2997" i="1"/>
  <c r="I3001" i="1"/>
  <c r="F3022" i="1"/>
  <c r="F3026" i="1"/>
  <c r="F3030" i="1"/>
  <c r="F3034" i="1"/>
  <c r="G3045" i="1"/>
  <c r="H3048" i="1"/>
  <c r="G3060" i="1"/>
  <c r="H3076" i="1"/>
  <c r="F3089" i="1"/>
  <c r="F3093" i="1"/>
  <c r="H3096" i="1"/>
  <c r="G3137" i="1"/>
  <c r="I3145" i="1"/>
  <c r="F3145" i="1"/>
  <c r="G3153" i="1"/>
  <c r="F3157" i="1"/>
  <c r="G3165" i="1"/>
  <c r="F3218" i="1"/>
  <c r="I3218" i="1"/>
  <c r="G3225" i="1"/>
  <c r="H3232" i="1"/>
  <c r="F3244" i="1"/>
  <c r="H3244" i="1"/>
  <c r="I3272" i="1"/>
  <c r="G3272" i="1"/>
  <c r="F3272" i="1"/>
  <c r="I3284" i="1"/>
  <c r="G3284" i="1"/>
  <c r="F3284" i="1"/>
  <c r="I3288" i="1"/>
  <c r="G3288" i="1"/>
  <c r="I3301" i="1"/>
  <c r="G3301" i="1"/>
  <c r="I3320" i="1"/>
  <c r="G3320" i="1"/>
  <c r="F3320" i="1"/>
  <c r="F3323" i="1"/>
  <c r="H3323" i="1"/>
  <c r="G3327" i="1"/>
  <c r="I3336" i="1"/>
  <c r="G3336" i="1"/>
  <c r="F3336" i="1"/>
  <c r="F3347" i="1"/>
  <c r="H3347" i="1"/>
  <c r="H3376" i="1"/>
  <c r="I3398" i="1"/>
  <c r="G3398" i="1"/>
  <c r="H3400" i="1"/>
  <c r="I3406" i="1"/>
  <c r="G3406" i="1"/>
  <c r="H3408" i="1"/>
  <c r="I3427" i="1"/>
  <c r="F3427" i="1"/>
  <c r="F3433" i="1"/>
  <c r="H3433" i="1"/>
  <c r="G3433" i="1"/>
  <c r="F3457" i="1"/>
  <c r="H3457" i="1"/>
  <c r="I3534" i="1"/>
  <c r="G3534" i="1"/>
  <c r="F3534" i="1"/>
  <c r="G3541" i="1"/>
  <c r="F3684" i="1"/>
  <c r="H3684" i="1"/>
  <c r="G3684" i="1"/>
  <c r="I3752" i="1"/>
  <c r="G3752" i="1"/>
  <c r="F3752" i="1"/>
  <c r="I3756" i="1"/>
  <c r="G3756" i="1"/>
  <c r="F3756" i="1"/>
  <c r="I3796" i="1"/>
  <c r="G3796" i="1"/>
  <c r="F3796" i="1"/>
  <c r="I3480" i="1"/>
  <c r="H3480" i="1"/>
  <c r="H3492" i="1"/>
  <c r="I3492" i="1"/>
  <c r="I3601" i="1"/>
  <c r="G3601" i="1"/>
  <c r="F3601" i="1"/>
  <c r="I3621" i="1"/>
  <c r="G3621" i="1"/>
  <c r="F3621" i="1"/>
  <c r="I3685" i="1"/>
  <c r="H3685" i="1"/>
  <c r="G3685" i="1"/>
  <c r="F3708" i="1"/>
  <c r="H3708" i="1"/>
  <c r="G3708" i="1"/>
  <c r="I3788" i="1"/>
  <c r="G3788" i="1"/>
  <c r="F3837" i="1"/>
  <c r="I3837" i="1"/>
  <c r="I3853" i="1"/>
  <c r="H3853" i="1"/>
  <c r="G3853" i="1"/>
  <c r="F3927" i="1"/>
  <c r="G3927" i="1"/>
  <c r="F3963" i="1"/>
  <c r="G3963" i="1"/>
  <c r="F3975" i="1"/>
  <c r="G3975" i="1"/>
  <c r="G3986" i="1"/>
  <c r="H3986" i="1"/>
  <c r="F3268" i="1"/>
  <c r="F3280" i="1"/>
  <c r="F3304" i="1"/>
  <c r="G3311" i="1"/>
  <c r="G3358" i="1"/>
  <c r="F3367" i="1"/>
  <c r="G3377" i="1"/>
  <c r="G3389" i="1"/>
  <c r="F3394" i="1"/>
  <c r="F3414" i="1"/>
  <c r="G3422" i="1"/>
  <c r="I3431" i="1"/>
  <c r="F3446" i="1"/>
  <c r="G3450" i="1"/>
  <c r="H3456" i="1"/>
  <c r="G3462" i="1"/>
  <c r="H3473" i="1"/>
  <c r="I3512" i="1"/>
  <c r="I3526" i="1"/>
  <c r="G3526" i="1"/>
  <c r="H3562" i="1"/>
  <c r="I3630" i="1"/>
  <c r="F3630" i="1"/>
  <c r="I3637" i="1"/>
  <c r="G3637" i="1"/>
  <c r="F3637" i="1"/>
  <c r="I3682" i="1"/>
  <c r="F3682" i="1"/>
  <c r="F3685" i="1"/>
  <c r="H3688" i="1"/>
  <c r="I3705" i="1"/>
  <c r="G3705" i="1"/>
  <c r="I3709" i="1"/>
  <c r="G3709" i="1"/>
  <c r="F3712" i="1"/>
  <c r="H3712" i="1"/>
  <c r="G3712" i="1"/>
  <c r="F3723" i="1"/>
  <c r="H3723" i="1"/>
  <c r="G3723" i="1"/>
  <c r="F3731" i="1"/>
  <c r="H3731" i="1"/>
  <c r="F3773" i="1"/>
  <c r="I3773" i="1"/>
  <c r="F3788" i="1"/>
  <c r="I3812" i="1"/>
  <c r="H3812" i="1"/>
  <c r="G3812" i="1"/>
  <c r="H3815" i="1"/>
  <c r="F3831" i="1"/>
  <c r="H3831" i="1"/>
  <c r="I3885" i="1"/>
  <c r="H3885" i="1"/>
  <c r="F3912" i="1"/>
  <c r="H3912" i="1"/>
  <c r="G3954" i="1"/>
  <c r="H3954" i="1"/>
  <c r="I3972" i="1"/>
  <c r="F3972" i="1"/>
  <c r="H3665" i="1"/>
  <c r="G3827" i="1"/>
  <c r="H3830" i="1"/>
  <c r="G3836" i="1"/>
  <c r="F3841" i="1"/>
  <c r="G3852" i="1"/>
  <c r="F3861" i="1"/>
  <c r="G3888" i="1"/>
  <c r="G3892" i="1"/>
  <c r="G3931" i="1"/>
  <c r="H3934" i="1"/>
  <c r="G3967" i="1"/>
  <c r="H3970" i="1"/>
  <c r="H3998" i="1"/>
  <c r="F4000" i="1"/>
  <c r="F4003" i="1"/>
  <c r="G3482" i="1"/>
  <c r="G3490" i="1"/>
  <c r="H3516" i="1"/>
  <c r="G3522" i="1"/>
  <c r="G3525" i="1"/>
  <c r="F3530" i="1"/>
  <c r="F3546" i="1"/>
  <c r="I3548" i="1"/>
  <c r="H3574" i="1"/>
  <c r="G3605" i="1"/>
  <c r="F3610" i="1"/>
  <c r="G3636" i="1"/>
  <c r="F3657" i="1"/>
  <c r="F3669" i="1"/>
  <c r="G3672" i="1"/>
  <c r="G3680" i="1"/>
  <c r="G3692" i="1"/>
  <c r="G3704" i="1"/>
  <c r="G3736" i="1"/>
  <c r="G3739" i="1"/>
  <c r="F3772" i="1"/>
  <c r="I3781" i="1"/>
  <c r="H3791" i="1"/>
  <c r="F3804" i="1"/>
  <c r="G3811" i="1"/>
  <c r="G3823" i="1"/>
  <c r="H3827" i="1"/>
  <c r="G3835" i="1"/>
  <c r="H3836" i="1"/>
  <c r="G3841" i="1"/>
  <c r="H3852" i="1"/>
  <c r="G3861" i="1"/>
  <c r="G3881" i="1"/>
  <c r="H3888" i="1"/>
  <c r="H3892" i="1"/>
  <c r="I3907" i="1"/>
  <c r="H3982" i="1"/>
  <c r="G3987" i="1"/>
  <c r="F3996" i="1"/>
  <c r="G1270" i="1"/>
  <c r="G1274" i="1"/>
  <c r="F1286" i="1"/>
  <c r="H1270" i="1"/>
  <c r="G1273" i="1"/>
  <c r="H1274" i="1"/>
  <c r="G1286" i="1"/>
  <c r="H1294" i="1"/>
  <c r="H1262" i="1"/>
  <c r="H1286" i="1"/>
  <c r="F1292" i="1"/>
  <c r="F1312" i="1"/>
  <c r="F837" i="1"/>
  <c r="H837" i="1"/>
  <c r="G837" i="1"/>
  <c r="I842" i="1"/>
  <c r="G842" i="1"/>
  <c r="F842" i="1"/>
  <c r="F849" i="1"/>
  <c r="H849" i="1"/>
  <c r="G849" i="1"/>
  <c r="I882" i="1"/>
  <c r="G882" i="1"/>
  <c r="G912" i="1"/>
  <c r="H912" i="1"/>
  <c r="I1081" i="1"/>
  <c r="H1081" i="1"/>
  <c r="G1081" i="1"/>
  <c r="F1081" i="1"/>
  <c r="I1208" i="1"/>
  <c r="H1208" i="1"/>
  <c r="F1208" i="1"/>
  <c r="I1218" i="1"/>
  <c r="H1218" i="1"/>
  <c r="G1218" i="1"/>
  <c r="F1218" i="1"/>
  <c r="I1248" i="1"/>
  <c r="H1248" i="1"/>
  <c r="F1248" i="1"/>
  <c r="I1282" i="1"/>
  <c r="H1282" i="1"/>
  <c r="G1282" i="1"/>
  <c r="F1282" i="1"/>
  <c r="I1296" i="1"/>
  <c r="F1296" i="1"/>
  <c r="I1324" i="1"/>
  <c r="F1324" i="1"/>
  <c r="F1492" i="1"/>
  <c r="H1492" i="1"/>
  <c r="G1492" i="1"/>
  <c r="I1505" i="1"/>
  <c r="G1505" i="1"/>
  <c r="F1505" i="1"/>
  <c r="G1583" i="1"/>
  <c r="H1583" i="1"/>
  <c r="G1747" i="1"/>
  <c r="H1747" i="1"/>
  <c r="F1983" i="1"/>
  <c r="H1983" i="1"/>
  <c r="G1983" i="1"/>
  <c r="G2126" i="1"/>
  <c r="H2126" i="1"/>
  <c r="F2313" i="1"/>
  <c r="H2313" i="1"/>
  <c r="G2313" i="1"/>
  <c r="I3342" i="1"/>
  <c r="H3342" i="1"/>
  <c r="I3538" i="1"/>
  <c r="G3538" i="1"/>
  <c r="F3538" i="1"/>
  <c r="F3600" i="1"/>
  <c r="H3600" i="1"/>
  <c r="G3600" i="1"/>
  <c r="G3930" i="1"/>
  <c r="H3930" i="1"/>
  <c r="G3966" i="1"/>
  <c r="H3966" i="1"/>
  <c r="H32" i="1"/>
  <c r="G37" i="1"/>
  <c r="H56" i="1"/>
  <c r="G61" i="1"/>
  <c r="H72" i="1"/>
  <c r="G77" i="1"/>
  <c r="H96" i="1"/>
  <c r="G101" i="1"/>
  <c r="H128" i="1"/>
  <c r="G133" i="1"/>
  <c r="F165" i="1"/>
  <c r="F206" i="1"/>
  <c r="G213" i="1"/>
  <c r="H220" i="1"/>
  <c r="F242" i="1"/>
  <c r="F254" i="1"/>
  <c r="H264" i="1"/>
  <c r="F294" i="1"/>
  <c r="F304" i="1"/>
  <c r="G309" i="1"/>
  <c r="F314" i="1"/>
  <c r="F326" i="1"/>
  <c r="F346" i="1"/>
  <c r="H352" i="1"/>
  <c r="G361" i="1"/>
  <c r="G365" i="1"/>
  <c r="G373" i="1"/>
  <c r="G377" i="1"/>
  <c r="G381" i="1"/>
  <c r="G385" i="1"/>
  <c r="G389" i="1"/>
  <c r="G393" i="1"/>
  <c r="G397" i="1"/>
  <c r="G405" i="1"/>
  <c r="G409" i="1"/>
  <c r="G413" i="1"/>
  <c r="G417" i="1"/>
  <c r="G421" i="1"/>
  <c r="G425" i="1"/>
  <c r="G429" i="1"/>
  <c r="G433" i="1"/>
  <c r="G437" i="1"/>
  <c r="G441" i="1"/>
  <c r="G445" i="1"/>
  <c r="G449" i="1"/>
  <c r="G453" i="1"/>
  <c r="G457" i="1"/>
  <c r="G461" i="1"/>
  <c r="G465" i="1"/>
  <c r="G469" i="1"/>
  <c r="G473" i="1"/>
  <c r="G477" i="1"/>
  <c r="G481" i="1"/>
  <c r="G485" i="1"/>
  <c r="G489" i="1"/>
  <c r="G493" i="1"/>
  <c r="G497" i="1"/>
  <c r="G501" i="1"/>
  <c r="G505" i="1"/>
  <c r="F510" i="1"/>
  <c r="G517" i="1"/>
  <c r="H520" i="1"/>
  <c r="F530" i="1"/>
  <c r="H532" i="1"/>
  <c r="G537" i="1"/>
  <c r="F542" i="1"/>
  <c r="G549" i="1"/>
  <c r="H552" i="1"/>
  <c r="F562" i="1"/>
  <c r="H564" i="1"/>
  <c r="G569" i="1"/>
  <c r="F574" i="1"/>
  <c r="G581" i="1"/>
  <c r="H584" i="1"/>
  <c r="F594" i="1"/>
  <c r="H596" i="1"/>
  <c r="G601" i="1"/>
  <c r="F606" i="1"/>
  <c r="G613" i="1"/>
  <c r="H616" i="1"/>
  <c r="F626" i="1"/>
  <c r="H628" i="1"/>
  <c r="G633" i="1"/>
  <c r="F638" i="1"/>
  <c r="G645" i="1"/>
  <c r="H648" i="1"/>
  <c r="G653" i="1"/>
  <c r="F658" i="1"/>
  <c r="H660" i="1"/>
  <c r="G669" i="1"/>
  <c r="F674" i="1"/>
  <c r="H676" i="1"/>
  <c r="G685" i="1"/>
  <c r="F690" i="1"/>
  <c r="H692" i="1"/>
  <c r="G701" i="1"/>
  <c r="F706" i="1"/>
  <c r="H708" i="1"/>
  <c r="F717" i="1"/>
  <c r="F718" i="1"/>
  <c r="H720" i="1"/>
  <c r="G725" i="1"/>
  <c r="F730" i="1"/>
  <c r="G737" i="1"/>
  <c r="H740" i="1"/>
  <c r="F750" i="1"/>
  <c r="H752" i="1"/>
  <c r="G757" i="1"/>
  <c r="F762" i="1"/>
  <c r="G769" i="1"/>
  <c r="H772" i="1"/>
  <c r="F782" i="1"/>
  <c r="H784" i="1"/>
  <c r="G789" i="1"/>
  <c r="F794" i="1"/>
  <c r="G801" i="1"/>
  <c r="H804" i="1"/>
  <c r="F814" i="1"/>
  <c r="H816" i="1"/>
  <c r="G821" i="1"/>
  <c r="F826" i="1"/>
  <c r="H828" i="1"/>
  <c r="I838" i="1"/>
  <c r="G838" i="1"/>
  <c r="H840" i="1"/>
  <c r="I850" i="1"/>
  <c r="G850" i="1"/>
  <c r="G852" i="1"/>
  <c r="H852" i="1"/>
  <c r="F857" i="1"/>
  <c r="H857" i="1"/>
  <c r="G864" i="1"/>
  <c r="H864" i="1"/>
  <c r="F882" i="1"/>
  <c r="F929" i="1"/>
  <c r="H929" i="1"/>
  <c r="G929" i="1"/>
  <c r="I934" i="1"/>
  <c r="G934" i="1"/>
  <c r="F934" i="1"/>
  <c r="F937" i="1"/>
  <c r="H937" i="1"/>
  <c r="F941" i="1"/>
  <c r="H941" i="1"/>
  <c r="G941" i="1"/>
  <c r="H952" i="1"/>
  <c r="F957" i="1"/>
  <c r="H957" i="1"/>
  <c r="F961" i="1"/>
  <c r="H961" i="1"/>
  <c r="G961" i="1"/>
  <c r="I966" i="1"/>
  <c r="G966" i="1"/>
  <c r="F966" i="1"/>
  <c r="G984" i="1"/>
  <c r="H984" i="1"/>
  <c r="F989" i="1"/>
  <c r="H989" i="1"/>
  <c r="F993" i="1"/>
  <c r="H993" i="1"/>
  <c r="G993" i="1"/>
  <c r="I998" i="1"/>
  <c r="G998" i="1"/>
  <c r="F998" i="1"/>
  <c r="H1004" i="1"/>
  <c r="I1009" i="1"/>
  <c r="H1009" i="1"/>
  <c r="G1009" i="1"/>
  <c r="G1040" i="1"/>
  <c r="H1040" i="1"/>
  <c r="I1045" i="1"/>
  <c r="H1045" i="1"/>
  <c r="G1045" i="1"/>
  <c r="F1045" i="1"/>
  <c r="G1068" i="1"/>
  <c r="H1068" i="1"/>
  <c r="I1073" i="1"/>
  <c r="H1073" i="1"/>
  <c r="G1073" i="1"/>
  <c r="F1073" i="1"/>
  <c r="I1082" i="1"/>
  <c r="G1082" i="1"/>
  <c r="F1082" i="1"/>
  <c r="G1112" i="1"/>
  <c r="H1112" i="1"/>
  <c r="G1140" i="1"/>
  <c r="H1140" i="1"/>
  <c r="I1145" i="1"/>
  <c r="H1145" i="1"/>
  <c r="G1145" i="1"/>
  <c r="F1145" i="1"/>
  <c r="G1154" i="1"/>
  <c r="H1154" i="1"/>
  <c r="F1154" i="1"/>
  <c r="G1162" i="1"/>
  <c r="H1162" i="1"/>
  <c r="F1162" i="1"/>
  <c r="I1170" i="1"/>
  <c r="H1170" i="1"/>
  <c r="G1170" i="1"/>
  <c r="F1170" i="1"/>
  <c r="I1189" i="1"/>
  <c r="G1189" i="1"/>
  <c r="I1200" i="1"/>
  <c r="H1200" i="1"/>
  <c r="F1200" i="1"/>
  <c r="I1224" i="1"/>
  <c r="H1224" i="1"/>
  <c r="F1224" i="1"/>
  <c r="I1234" i="1"/>
  <c r="H1234" i="1"/>
  <c r="G1234" i="1"/>
  <c r="F1234" i="1"/>
  <c r="I1253" i="1"/>
  <c r="G1253" i="1"/>
  <c r="I1264" i="1"/>
  <c r="H1264" i="1"/>
  <c r="F1264" i="1"/>
  <c r="I1288" i="1"/>
  <c r="H1288" i="1"/>
  <c r="F1288" i="1"/>
  <c r="I1291" i="1"/>
  <c r="G1291" i="1"/>
  <c r="F1291" i="1"/>
  <c r="I1308" i="1"/>
  <c r="F1308" i="1"/>
  <c r="F1331" i="1"/>
  <c r="G1331" i="1"/>
  <c r="G1338" i="1"/>
  <c r="H1338" i="1"/>
  <c r="I1344" i="1"/>
  <c r="F1344" i="1"/>
  <c r="G1350" i="1"/>
  <c r="H1350" i="1"/>
  <c r="G1354" i="1"/>
  <c r="H1354" i="1"/>
  <c r="G1358" i="1"/>
  <c r="H1358" i="1"/>
  <c r="G1362" i="1"/>
  <c r="H1362" i="1"/>
  <c r="G1366" i="1"/>
  <c r="H1366" i="1"/>
  <c r="G1370" i="1"/>
  <c r="H1370" i="1"/>
  <c r="G1374" i="1"/>
  <c r="H1374" i="1"/>
  <c r="G1378" i="1"/>
  <c r="H1378" i="1"/>
  <c r="G1382" i="1"/>
  <c r="H1382" i="1"/>
  <c r="G1386" i="1"/>
  <c r="H1386" i="1"/>
  <c r="G1390" i="1"/>
  <c r="H1390" i="1"/>
  <c r="G1394" i="1"/>
  <c r="H1394" i="1"/>
  <c r="G1398" i="1"/>
  <c r="H1398" i="1"/>
  <c r="G1402" i="1"/>
  <c r="H1402" i="1"/>
  <c r="G1406" i="1"/>
  <c r="H1406" i="1"/>
  <c r="G1410" i="1"/>
  <c r="H1410" i="1"/>
  <c r="G1414" i="1"/>
  <c r="H1414" i="1"/>
  <c r="G1418" i="1"/>
  <c r="H1418" i="1"/>
  <c r="G1422" i="1"/>
  <c r="H1422" i="1"/>
  <c r="G1426" i="1"/>
  <c r="H1426" i="1"/>
  <c r="G1430" i="1"/>
  <c r="H1430" i="1"/>
  <c r="G1434" i="1"/>
  <c r="H1434" i="1"/>
  <c r="H1438" i="1"/>
  <c r="I1438" i="1"/>
  <c r="G1438" i="1"/>
  <c r="F1438" i="1"/>
  <c r="I1443" i="1"/>
  <c r="H1443" i="1"/>
  <c r="I1554" i="1"/>
  <c r="F1554" i="1"/>
  <c r="I1581" i="1"/>
  <c r="G1581" i="1"/>
  <c r="F1581" i="1"/>
  <c r="G1603" i="1"/>
  <c r="H1603" i="1"/>
  <c r="I1641" i="1"/>
  <c r="G1641" i="1"/>
  <c r="F1641" i="1"/>
  <c r="I1713" i="1"/>
  <c r="G1713" i="1"/>
  <c r="F1713" i="1"/>
  <c r="I1721" i="1"/>
  <c r="G1721" i="1"/>
  <c r="F1721" i="1"/>
  <c r="F1783" i="1"/>
  <c r="H1783" i="1"/>
  <c r="G1783" i="1"/>
  <c r="F845" i="1"/>
  <c r="H845" i="1"/>
  <c r="I910" i="1"/>
  <c r="G910" i="1"/>
  <c r="G924" i="1"/>
  <c r="H924" i="1"/>
  <c r="I978" i="1"/>
  <c r="G978" i="1"/>
  <c r="G1076" i="1"/>
  <c r="H1076" i="1"/>
  <c r="I1173" i="1"/>
  <c r="G1173" i="1"/>
  <c r="I1300" i="1"/>
  <c r="F1300" i="1"/>
  <c r="F1468" i="1"/>
  <c r="H1468" i="1"/>
  <c r="G1468" i="1"/>
  <c r="F1484" i="1"/>
  <c r="H1484" i="1"/>
  <c r="G1484" i="1"/>
  <c r="I1605" i="1"/>
  <c r="G1605" i="1"/>
  <c r="F1605" i="1"/>
  <c r="F1787" i="1"/>
  <c r="H1787" i="1"/>
  <c r="G1787" i="1"/>
  <c r="I2080" i="1"/>
  <c r="G2080" i="1"/>
  <c r="F2080" i="1"/>
  <c r="H2080" i="1"/>
  <c r="F4002" i="1"/>
  <c r="H4002" i="1"/>
  <c r="G4002" i="1"/>
  <c r="F26" i="1"/>
  <c r="H40" i="1"/>
  <c r="G45" i="1"/>
  <c r="H88" i="1"/>
  <c r="G93" i="1"/>
  <c r="H104" i="1"/>
  <c r="G109" i="1"/>
  <c r="H112" i="1"/>
  <c r="G117" i="1"/>
  <c r="H120" i="1"/>
  <c r="G125" i="1"/>
  <c r="H152" i="1"/>
  <c r="F174" i="1"/>
  <c r="G181" i="1"/>
  <c r="H188" i="1"/>
  <c r="F222" i="1"/>
  <c r="H232" i="1"/>
  <c r="H244" i="1"/>
  <c r="G249" i="1"/>
  <c r="F262" i="1"/>
  <c r="G273" i="1"/>
  <c r="F282" i="1"/>
  <c r="G297" i="1"/>
  <c r="F316" i="1"/>
  <c r="G329" i="1"/>
  <c r="F348" i="1"/>
  <c r="F354" i="1"/>
  <c r="H12" i="1"/>
  <c r="G17" i="1"/>
  <c r="G18" i="1"/>
  <c r="H20" i="1"/>
  <c r="G25" i="1"/>
  <c r="G26" i="1"/>
  <c r="H28" i="1"/>
  <c r="H29" i="1"/>
  <c r="H30" i="1"/>
  <c r="F34" i="1"/>
  <c r="H37" i="1"/>
  <c r="H38" i="1"/>
  <c r="F42" i="1"/>
  <c r="H45" i="1"/>
  <c r="H46" i="1"/>
  <c r="F50" i="1"/>
  <c r="H53" i="1"/>
  <c r="H54" i="1"/>
  <c r="F58" i="1"/>
  <c r="H61" i="1"/>
  <c r="H62" i="1"/>
  <c r="F66" i="1"/>
  <c r="H69" i="1"/>
  <c r="H70" i="1"/>
  <c r="F74" i="1"/>
  <c r="H77" i="1"/>
  <c r="H78" i="1"/>
  <c r="F82" i="1"/>
  <c r="H85" i="1"/>
  <c r="H86" i="1"/>
  <c r="F90" i="1"/>
  <c r="H93" i="1"/>
  <c r="H94" i="1"/>
  <c r="F98" i="1"/>
  <c r="H101" i="1"/>
  <c r="H102" i="1"/>
  <c r="F106" i="1"/>
  <c r="H109" i="1"/>
  <c r="H110" i="1"/>
  <c r="F114" i="1"/>
  <c r="H117" i="1"/>
  <c r="F122" i="1"/>
  <c r="H125" i="1"/>
  <c r="H126" i="1"/>
  <c r="F130" i="1"/>
  <c r="H133" i="1"/>
  <c r="H134" i="1"/>
  <c r="F138" i="1"/>
  <c r="H141" i="1"/>
  <c r="H142" i="1"/>
  <c r="H148" i="1"/>
  <c r="F150" i="1"/>
  <c r="G157" i="1"/>
  <c r="G161" i="1"/>
  <c r="G165" i="1"/>
  <c r="F169" i="1"/>
  <c r="F173" i="1"/>
  <c r="G177" i="1"/>
  <c r="H184" i="1"/>
  <c r="F186" i="1"/>
  <c r="G193" i="1"/>
  <c r="H200" i="1"/>
  <c r="F202" i="1"/>
  <c r="G209" i="1"/>
  <c r="H216" i="1"/>
  <c r="F218" i="1"/>
  <c r="G225" i="1"/>
  <c r="G229" i="1"/>
  <c r="F234" i="1"/>
  <c r="H236" i="1"/>
  <c r="G241" i="1"/>
  <c r="G242" i="1"/>
  <c r="F246" i="1"/>
  <c r="H249" i="1"/>
  <c r="G253" i="1"/>
  <c r="G254" i="1"/>
  <c r="H256" i="1"/>
  <c r="G261" i="1"/>
  <c r="G262" i="1"/>
  <c r="F266" i="1"/>
  <c r="H268" i="1"/>
  <c r="H273" i="1"/>
  <c r="H276" i="1"/>
  <c r="G281" i="1"/>
  <c r="G282" i="1"/>
  <c r="H284" i="1"/>
  <c r="G289" i="1"/>
  <c r="H294" i="1"/>
  <c r="F296" i="1"/>
  <c r="G301" i="1"/>
  <c r="H304" i="1"/>
  <c r="F306" i="1"/>
  <c r="F308" i="1"/>
  <c r="H314" i="1"/>
  <c r="H316" i="1"/>
  <c r="F318" i="1"/>
  <c r="G321" i="1"/>
  <c r="H326" i="1"/>
  <c r="F328" i="1"/>
  <c r="G333" i="1"/>
  <c r="H336" i="1"/>
  <c r="F338" i="1"/>
  <c r="F340" i="1"/>
  <c r="H346" i="1"/>
  <c r="H348" i="1"/>
  <c r="F350" i="1"/>
  <c r="G354" i="1"/>
  <c r="H356" i="1"/>
  <c r="H368" i="1"/>
  <c r="H505" i="1"/>
  <c r="G509" i="1"/>
  <c r="G510" i="1"/>
  <c r="H512" i="1"/>
  <c r="H517" i="1"/>
  <c r="F522" i="1"/>
  <c r="H524" i="1"/>
  <c r="G529" i="1"/>
  <c r="G530" i="1"/>
  <c r="F534" i="1"/>
  <c r="H537" i="1"/>
  <c r="G541" i="1"/>
  <c r="G542" i="1"/>
  <c r="H544" i="1"/>
  <c r="H549" i="1"/>
  <c r="F554" i="1"/>
  <c r="H556" i="1"/>
  <c r="G561" i="1"/>
  <c r="G562" i="1"/>
  <c r="F566" i="1"/>
  <c r="H569" i="1"/>
  <c r="G573" i="1"/>
  <c r="G574" i="1"/>
  <c r="H576" i="1"/>
  <c r="H581" i="1"/>
  <c r="F586" i="1"/>
  <c r="H588" i="1"/>
  <c r="G593" i="1"/>
  <c r="G594" i="1"/>
  <c r="F598" i="1"/>
  <c r="H601" i="1"/>
  <c r="G605" i="1"/>
  <c r="G606" i="1"/>
  <c r="H608" i="1"/>
  <c r="H613" i="1"/>
  <c r="F618" i="1"/>
  <c r="H620" i="1"/>
  <c r="G625" i="1"/>
  <c r="G626" i="1"/>
  <c r="F630" i="1"/>
  <c r="H633" i="1"/>
  <c r="G637" i="1"/>
  <c r="G638" i="1"/>
  <c r="H640" i="1"/>
  <c r="H645" i="1"/>
  <c r="H653" i="1"/>
  <c r="G657" i="1"/>
  <c r="G658" i="1"/>
  <c r="F662" i="1"/>
  <c r="H664" i="1"/>
  <c r="H669" i="1"/>
  <c r="G673" i="1"/>
  <c r="G674" i="1"/>
  <c r="F678" i="1"/>
  <c r="H680" i="1"/>
  <c r="H685" i="1"/>
  <c r="G689" i="1"/>
  <c r="G690" i="1"/>
  <c r="F694" i="1"/>
  <c r="H696" i="1"/>
  <c r="H701" i="1"/>
  <c r="G705" i="1"/>
  <c r="G706" i="1"/>
  <c r="F710" i="1"/>
  <c r="H712" i="1"/>
  <c r="G717" i="1"/>
  <c r="G718" i="1"/>
  <c r="F722" i="1"/>
  <c r="H725" i="1"/>
  <c r="G729" i="1"/>
  <c r="G730" i="1"/>
  <c r="H732" i="1"/>
  <c r="H737" i="1"/>
  <c r="F742" i="1"/>
  <c r="H744" i="1"/>
  <c r="G749" i="1"/>
  <c r="G750" i="1"/>
  <c r="F754" i="1"/>
  <c r="H757" i="1"/>
  <c r="G761" i="1"/>
  <c r="G762" i="1"/>
  <c r="H764" i="1"/>
  <c r="H769" i="1"/>
  <c r="F774" i="1"/>
  <c r="H776" i="1"/>
  <c r="G781" i="1"/>
  <c r="G782" i="1"/>
  <c r="F786" i="1"/>
  <c r="H789" i="1"/>
  <c r="G793" i="1"/>
  <c r="G794" i="1"/>
  <c r="H796" i="1"/>
  <c r="H801" i="1"/>
  <c r="F806" i="1"/>
  <c r="H808" i="1"/>
  <c r="G813" i="1"/>
  <c r="G814" i="1"/>
  <c r="F818" i="1"/>
  <c r="H821" i="1"/>
  <c r="G825" i="1"/>
  <c r="G826" i="1"/>
  <c r="G832" i="1"/>
  <c r="H832" i="1"/>
  <c r="F838" i="1"/>
  <c r="F850" i="1"/>
  <c r="G857" i="1"/>
  <c r="F869" i="1"/>
  <c r="H869" i="1"/>
  <c r="G869" i="1"/>
  <c r="I874" i="1"/>
  <c r="G874" i="1"/>
  <c r="F874" i="1"/>
  <c r="I889" i="1"/>
  <c r="G889" i="1"/>
  <c r="F889" i="1"/>
  <c r="G892" i="1"/>
  <c r="H892" i="1"/>
  <c r="I922" i="1"/>
  <c r="G922" i="1"/>
  <c r="F922" i="1"/>
  <c r="I930" i="1"/>
  <c r="G930" i="1"/>
  <c r="H932" i="1"/>
  <c r="G937" i="1"/>
  <c r="I942" i="1"/>
  <c r="G942" i="1"/>
  <c r="G944" i="1"/>
  <c r="H944" i="1"/>
  <c r="F949" i="1"/>
  <c r="H949" i="1"/>
  <c r="G957" i="1"/>
  <c r="I962" i="1"/>
  <c r="G962" i="1"/>
  <c r="H964" i="1"/>
  <c r="G989" i="1"/>
  <c r="I994" i="1"/>
  <c r="G994" i="1"/>
  <c r="H996" i="1"/>
  <c r="F1009" i="1"/>
  <c r="I1037" i="1"/>
  <c r="H1037" i="1"/>
  <c r="G1037" i="1"/>
  <c r="F1037" i="1"/>
  <c r="I1046" i="1"/>
  <c r="G1046" i="1"/>
  <c r="F1046" i="1"/>
  <c r="I1074" i="1"/>
  <c r="G1074" i="1"/>
  <c r="F1074" i="1"/>
  <c r="G1104" i="1"/>
  <c r="H1104" i="1"/>
  <c r="I1109" i="1"/>
  <c r="H1109" i="1"/>
  <c r="G1109" i="1"/>
  <c r="F1109" i="1"/>
  <c r="G1132" i="1"/>
  <c r="H1132" i="1"/>
  <c r="I1137" i="1"/>
  <c r="H1137" i="1"/>
  <c r="G1137" i="1"/>
  <c r="F1137" i="1"/>
  <c r="I1146" i="1"/>
  <c r="G1146" i="1"/>
  <c r="F1146" i="1"/>
  <c r="I1176" i="1"/>
  <c r="H1176" i="1"/>
  <c r="F1176" i="1"/>
  <c r="I1186" i="1"/>
  <c r="H1186" i="1"/>
  <c r="G1186" i="1"/>
  <c r="F1186" i="1"/>
  <c r="I1205" i="1"/>
  <c r="G1205" i="1"/>
  <c r="I1216" i="1"/>
  <c r="H1216" i="1"/>
  <c r="F1216" i="1"/>
  <c r="I1240" i="1"/>
  <c r="H1240" i="1"/>
  <c r="F1240" i="1"/>
  <c r="I1250" i="1"/>
  <c r="H1250" i="1"/>
  <c r="G1250" i="1"/>
  <c r="F1250" i="1"/>
  <c r="I1269" i="1"/>
  <c r="G1269" i="1"/>
  <c r="I1280" i="1"/>
  <c r="H1280" i="1"/>
  <c r="F1280" i="1"/>
  <c r="G1298" i="1"/>
  <c r="H1298" i="1"/>
  <c r="G1302" i="1"/>
  <c r="H1302" i="1"/>
  <c r="F1302" i="1"/>
  <c r="F1315" i="1"/>
  <c r="G1315" i="1"/>
  <c r="G1322" i="1"/>
  <c r="H1322" i="1"/>
  <c r="I1439" i="1"/>
  <c r="H1439" i="1"/>
  <c r="I1455" i="1"/>
  <c r="H1455" i="1"/>
  <c r="I1522" i="1"/>
  <c r="F1522" i="1"/>
  <c r="F1544" i="1"/>
  <c r="H1544" i="1"/>
  <c r="G1544" i="1"/>
  <c r="I1593" i="1"/>
  <c r="G1593" i="1"/>
  <c r="F1593" i="1"/>
  <c r="F1600" i="1"/>
  <c r="H1600" i="1"/>
  <c r="G1600" i="1"/>
  <c r="I1693" i="1"/>
  <c r="G1693" i="1"/>
  <c r="F1693" i="1"/>
  <c r="G1711" i="1"/>
  <c r="H1711" i="1"/>
  <c r="G1735" i="1"/>
  <c r="H1735" i="1"/>
  <c r="F1740" i="1"/>
  <c r="H1740" i="1"/>
  <c r="G1740" i="1"/>
  <c r="I1780" i="1"/>
  <c r="G1780" i="1"/>
  <c r="F1780" i="1"/>
  <c r="G1878" i="1"/>
  <c r="H1878" i="1"/>
  <c r="F1887" i="1"/>
  <c r="H1887" i="1"/>
  <c r="G1887" i="1"/>
  <c r="I830" i="1"/>
  <c r="G830" i="1"/>
  <c r="F830" i="1"/>
  <c r="G884" i="1"/>
  <c r="H884" i="1"/>
  <c r="I890" i="1"/>
  <c r="G890" i="1"/>
  <c r="F890" i="1"/>
  <c r="I898" i="1"/>
  <c r="G898" i="1"/>
  <c r="F917" i="1"/>
  <c r="H917" i="1"/>
  <c r="I1018" i="1"/>
  <c r="G1018" i="1"/>
  <c r="F1018" i="1"/>
  <c r="G1048" i="1"/>
  <c r="H1048" i="1"/>
  <c r="I1102" i="1"/>
  <c r="G1102" i="1"/>
  <c r="F1102" i="1"/>
  <c r="I1184" i="1"/>
  <c r="H1184" i="1"/>
  <c r="F1184" i="1"/>
  <c r="I1237" i="1"/>
  <c r="G1237" i="1"/>
  <c r="I1272" i="1"/>
  <c r="H1272" i="1"/>
  <c r="F1272" i="1"/>
  <c r="I1447" i="1"/>
  <c r="H1447" i="1"/>
  <c r="F1688" i="1"/>
  <c r="H1688" i="1"/>
  <c r="G1688" i="1"/>
  <c r="F1775" i="1"/>
  <c r="H1775" i="1"/>
  <c r="G1775" i="1"/>
  <c r="F1995" i="1"/>
  <c r="H1995" i="1"/>
  <c r="G1995" i="1"/>
  <c r="I2202" i="1"/>
  <c r="G2202" i="1"/>
  <c r="F2202" i="1"/>
  <c r="F2241" i="1"/>
  <c r="H2241" i="1"/>
  <c r="G2241" i="1"/>
  <c r="I2274" i="1"/>
  <c r="G2274" i="1"/>
  <c r="F2274" i="1"/>
  <c r="I2286" i="1"/>
  <c r="G2286" i="1"/>
  <c r="F2286" i="1"/>
  <c r="I2408" i="1"/>
  <c r="F2408" i="1"/>
  <c r="F2514" i="1"/>
  <c r="H2514" i="1"/>
  <c r="G2514" i="1"/>
  <c r="I2596" i="1"/>
  <c r="F2596" i="1"/>
  <c r="F2615" i="1"/>
  <c r="H2615" i="1"/>
  <c r="G2615" i="1"/>
  <c r="I2637" i="1"/>
  <c r="F2637" i="1"/>
  <c r="I2656" i="1"/>
  <c r="G2656" i="1"/>
  <c r="F2656" i="1"/>
  <c r="F3072" i="1"/>
  <c r="H3072" i="1"/>
  <c r="G3072" i="1"/>
  <c r="I3363" i="1"/>
  <c r="G3363" i="1"/>
  <c r="F3363" i="1"/>
  <c r="F3908" i="1"/>
  <c r="H3908" i="1"/>
  <c r="G3908" i="1"/>
  <c r="F18" i="1"/>
  <c r="G29" i="1"/>
  <c r="H48" i="1"/>
  <c r="G53" i="1"/>
  <c r="H64" i="1"/>
  <c r="G69" i="1"/>
  <c r="H80" i="1"/>
  <c r="G85" i="1"/>
  <c r="H136" i="1"/>
  <c r="G141" i="1"/>
  <c r="F154" i="1"/>
  <c r="F161" i="1"/>
  <c r="F170" i="1"/>
  <c r="F190" i="1"/>
  <c r="G197" i="1"/>
  <c r="H204" i="1"/>
  <c r="F336" i="1"/>
  <c r="G341" i="1"/>
  <c r="G401" i="1"/>
  <c r="H17" i="1"/>
  <c r="H18" i="1"/>
  <c r="F22" i="1"/>
  <c r="H25" i="1"/>
  <c r="H26" i="1"/>
  <c r="I28" i="1"/>
  <c r="G33" i="1"/>
  <c r="G34" i="1"/>
  <c r="G41" i="1"/>
  <c r="G42" i="1"/>
  <c r="H44" i="1"/>
  <c r="G49" i="1"/>
  <c r="G50" i="1"/>
  <c r="H52" i="1"/>
  <c r="G57" i="1"/>
  <c r="G58" i="1"/>
  <c r="H60" i="1"/>
  <c r="G65" i="1"/>
  <c r="G66" i="1"/>
  <c r="H68" i="1"/>
  <c r="G73" i="1"/>
  <c r="G74" i="1"/>
  <c r="H76" i="1"/>
  <c r="G81" i="1"/>
  <c r="G82" i="1"/>
  <c r="H84" i="1"/>
  <c r="G89" i="1"/>
  <c r="G90" i="1"/>
  <c r="H92" i="1"/>
  <c r="G98" i="1"/>
  <c r="G105" i="1"/>
  <c r="G106" i="1"/>
  <c r="H108" i="1"/>
  <c r="G113" i="1"/>
  <c r="G114" i="1"/>
  <c r="H116" i="1"/>
  <c r="G121" i="1"/>
  <c r="G122" i="1"/>
  <c r="H124" i="1"/>
  <c r="G129" i="1"/>
  <c r="G130" i="1"/>
  <c r="H132" i="1"/>
  <c r="G137" i="1"/>
  <c r="G138" i="1"/>
  <c r="H140" i="1"/>
  <c r="F146" i="1"/>
  <c r="G169" i="1"/>
  <c r="G173" i="1"/>
  <c r="H196" i="1"/>
  <c r="F198" i="1"/>
  <c r="H212" i="1"/>
  <c r="G233" i="1"/>
  <c r="G234" i="1"/>
  <c r="F238" i="1"/>
  <c r="H241" i="1"/>
  <c r="G245" i="1"/>
  <c r="G246" i="1"/>
  <c r="H248" i="1"/>
  <c r="H253" i="1"/>
  <c r="H261" i="1"/>
  <c r="G265" i="1"/>
  <c r="G266" i="1"/>
  <c r="F270" i="1"/>
  <c r="H272" i="1"/>
  <c r="F278" i="1"/>
  <c r="H281" i="1"/>
  <c r="H282" i="1"/>
  <c r="F286" i="1"/>
  <c r="G293" i="1"/>
  <c r="H296" i="1"/>
  <c r="F298" i="1"/>
  <c r="F300" i="1"/>
  <c r="H306" i="1"/>
  <c r="H308" i="1"/>
  <c r="F310" i="1"/>
  <c r="G313" i="1"/>
  <c r="H318" i="1"/>
  <c r="F320" i="1"/>
  <c r="G325" i="1"/>
  <c r="H328" i="1"/>
  <c r="F330" i="1"/>
  <c r="F332" i="1"/>
  <c r="H338" i="1"/>
  <c r="H340" i="1"/>
  <c r="F342" i="1"/>
  <c r="G345" i="1"/>
  <c r="G353" i="1"/>
  <c r="F358" i="1"/>
  <c r="H360" i="1"/>
  <c r="F362" i="1"/>
  <c r="H364" i="1"/>
  <c r="F366" i="1"/>
  <c r="F370" i="1"/>
  <c r="H372" i="1"/>
  <c r="F374" i="1"/>
  <c r="H376" i="1"/>
  <c r="F378" i="1"/>
  <c r="H380" i="1"/>
  <c r="F382" i="1"/>
  <c r="H384" i="1"/>
  <c r="F386" i="1"/>
  <c r="H388" i="1"/>
  <c r="F390" i="1"/>
  <c r="H392" i="1"/>
  <c r="F394" i="1"/>
  <c r="H396" i="1"/>
  <c r="F398" i="1"/>
  <c r="H400" i="1"/>
  <c r="F402" i="1"/>
  <c r="H404" i="1"/>
  <c r="F406" i="1"/>
  <c r="H408" i="1"/>
  <c r="F410" i="1"/>
  <c r="H412" i="1"/>
  <c r="F414" i="1"/>
  <c r="H416" i="1"/>
  <c r="F418" i="1"/>
  <c r="H420" i="1"/>
  <c r="F422" i="1"/>
  <c r="H424" i="1"/>
  <c r="F426" i="1"/>
  <c r="H428" i="1"/>
  <c r="F430" i="1"/>
  <c r="H432" i="1"/>
  <c r="F434" i="1"/>
  <c r="H436" i="1"/>
  <c r="F438" i="1"/>
  <c r="H440" i="1"/>
  <c r="F442" i="1"/>
  <c r="H444" i="1"/>
  <c r="F446" i="1"/>
  <c r="H448" i="1"/>
  <c r="F450" i="1"/>
  <c r="H452" i="1"/>
  <c r="F454" i="1"/>
  <c r="H456" i="1"/>
  <c r="F458" i="1"/>
  <c r="H460" i="1"/>
  <c r="F462" i="1"/>
  <c r="H464" i="1"/>
  <c r="F466" i="1"/>
  <c r="H468" i="1"/>
  <c r="F470" i="1"/>
  <c r="H472" i="1"/>
  <c r="F474" i="1"/>
  <c r="H476" i="1"/>
  <c r="F478" i="1"/>
  <c r="H480" i="1"/>
  <c r="F482" i="1"/>
  <c r="H484" i="1"/>
  <c r="F486" i="1"/>
  <c r="H488" i="1"/>
  <c r="F490" i="1"/>
  <c r="H492" i="1"/>
  <c r="F494" i="1"/>
  <c r="H496" i="1"/>
  <c r="F498" i="1"/>
  <c r="H500" i="1"/>
  <c r="F502" i="1"/>
  <c r="H504" i="1"/>
  <c r="H509" i="1"/>
  <c r="F514" i="1"/>
  <c r="H516" i="1"/>
  <c r="G521" i="1"/>
  <c r="G522" i="1"/>
  <c r="F526" i="1"/>
  <c r="H529" i="1"/>
  <c r="G533" i="1"/>
  <c r="G534" i="1"/>
  <c r="H536" i="1"/>
  <c r="H541" i="1"/>
  <c r="F546" i="1"/>
  <c r="G553" i="1"/>
  <c r="G554" i="1"/>
  <c r="F558" i="1"/>
  <c r="H561" i="1"/>
  <c r="G565" i="1"/>
  <c r="G566" i="1"/>
  <c r="H568" i="1"/>
  <c r="H573" i="1"/>
  <c r="F578" i="1"/>
  <c r="H580" i="1"/>
  <c r="G585" i="1"/>
  <c r="G586" i="1"/>
  <c r="F590" i="1"/>
  <c r="H593" i="1"/>
  <c r="G597" i="1"/>
  <c r="G598" i="1"/>
  <c r="H600" i="1"/>
  <c r="H605" i="1"/>
  <c r="F610" i="1"/>
  <c r="H612" i="1"/>
  <c r="G617" i="1"/>
  <c r="G618" i="1"/>
  <c r="F622" i="1"/>
  <c r="H625" i="1"/>
  <c r="G629" i="1"/>
  <c r="G630" i="1"/>
  <c r="H632" i="1"/>
  <c r="H637" i="1"/>
  <c r="F642" i="1"/>
  <c r="H644" i="1"/>
  <c r="F649" i="1"/>
  <c r="F650" i="1"/>
  <c r="H652" i="1"/>
  <c r="H657" i="1"/>
  <c r="G661" i="1"/>
  <c r="G662" i="1"/>
  <c r="F666" i="1"/>
  <c r="H668" i="1"/>
  <c r="H673" i="1"/>
  <c r="G677" i="1"/>
  <c r="G678" i="1"/>
  <c r="F682" i="1"/>
  <c r="H684" i="1"/>
  <c r="H689" i="1"/>
  <c r="G693" i="1"/>
  <c r="G694" i="1"/>
  <c r="F698" i="1"/>
  <c r="H700" i="1"/>
  <c r="H705" i="1"/>
  <c r="G709" i="1"/>
  <c r="G710" i="1"/>
  <c r="F714" i="1"/>
  <c r="H716" i="1"/>
  <c r="H717" i="1"/>
  <c r="G721" i="1"/>
  <c r="G722" i="1"/>
  <c r="H724" i="1"/>
  <c r="H729" i="1"/>
  <c r="F734" i="1"/>
  <c r="H736" i="1"/>
  <c r="G741" i="1"/>
  <c r="G742" i="1"/>
  <c r="F746" i="1"/>
  <c r="H749" i="1"/>
  <c r="G753" i="1"/>
  <c r="G754" i="1"/>
  <c r="H756" i="1"/>
  <c r="H761" i="1"/>
  <c r="F766" i="1"/>
  <c r="H768" i="1"/>
  <c r="G773" i="1"/>
  <c r="G774" i="1"/>
  <c r="F778" i="1"/>
  <c r="H781" i="1"/>
  <c r="G785" i="1"/>
  <c r="G786" i="1"/>
  <c r="H788" i="1"/>
  <c r="H793" i="1"/>
  <c r="F798" i="1"/>
  <c r="H800" i="1"/>
  <c r="G805" i="1"/>
  <c r="G806" i="1"/>
  <c r="F810" i="1"/>
  <c r="H813" i="1"/>
  <c r="G817" i="1"/>
  <c r="G818" i="1"/>
  <c r="H820" i="1"/>
  <c r="H825" i="1"/>
  <c r="I862" i="1"/>
  <c r="G862" i="1"/>
  <c r="F862" i="1"/>
  <c r="I870" i="1"/>
  <c r="G870" i="1"/>
  <c r="H872" i="1"/>
  <c r="F877" i="1"/>
  <c r="H877" i="1"/>
  <c r="F881" i="1"/>
  <c r="H881" i="1"/>
  <c r="G881" i="1"/>
  <c r="H889" i="1"/>
  <c r="F897" i="1"/>
  <c r="H897" i="1"/>
  <c r="G897" i="1"/>
  <c r="I902" i="1"/>
  <c r="G902" i="1"/>
  <c r="F902" i="1"/>
  <c r="F905" i="1"/>
  <c r="H905" i="1"/>
  <c r="F909" i="1"/>
  <c r="H909" i="1"/>
  <c r="G909" i="1"/>
  <c r="H920" i="1"/>
  <c r="F930" i="1"/>
  <c r="F942" i="1"/>
  <c r="G949" i="1"/>
  <c r="F962" i="1"/>
  <c r="G968" i="1"/>
  <c r="H968" i="1"/>
  <c r="F973" i="1"/>
  <c r="H973" i="1"/>
  <c r="F977" i="1"/>
  <c r="H977" i="1"/>
  <c r="G977" i="1"/>
  <c r="I982" i="1"/>
  <c r="G982" i="1"/>
  <c r="F982" i="1"/>
  <c r="F994" i="1"/>
  <c r="G1000" i="1"/>
  <c r="H1000" i="1"/>
  <c r="I1010" i="1"/>
  <c r="G1010" i="1"/>
  <c r="H1012" i="1"/>
  <c r="I1017" i="1"/>
  <c r="H1017" i="1"/>
  <c r="G1017" i="1"/>
  <c r="F1017" i="1"/>
  <c r="I1038" i="1"/>
  <c r="G1038" i="1"/>
  <c r="F1038" i="1"/>
  <c r="I1101" i="1"/>
  <c r="H1101" i="1"/>
  <c r="G1101" i="1"/>
  <c r="F1101" i="1"/>
  <c r="I1110" i="1"/>
  <c r="G1110" i="1"/>
  <c r="F1110" i="1"/>
  <c r="I1138" i="1"/>
  <c r="G1138" i="1"/>
  <c r="F1138" i="1"/>
  <c r="I1152" i="1"/>
  <c r="H1152" i="1"/>
  <c r="F1152" i="1"/>
  <c r="I1160" i="1"/>
  <c r="H1160" i="1"/>
  <c r="F1160" i="1"/>
  <c r="I1168" i="1"/>
  <c r="H1168" i="1"/>
  <c r="F1168" i="1"/>
  <c r="I1192" i="1"/>
  <c r="H1192" i="1"/>
  <c r="F1192" i="1"/>
  <c r="I1202" i="1"/>
  <c r="H1202" i="1"/>
  <c r="G1202" i="1"/>
  <c r="F1202" i="1"/>
  <c r="I1221" i="1"/>
  <c r="G1221" i="1"/>
  <c r="I1232" i="1"/>
  <c r="H1232" i="1"/>
  <c r="F1232" i="1"/>
  <c r="I1256" i="1"/>
  <c r="H1256" i="1"/>
  <c r="F1256" i="1"/>
  <c r="I1266" i="1"/>
  <c r="H1266" i="1"/>
  <c r="G1266" i="1"/>
  <c r="F1266" i="1"/>
  <c r="I1285" i="1"/>
  <c r="G1285" i="1"/>
  <c r="G1306" i="1"/>
  <c r="H1306" i="1"/>
  <c r="I1340" i="1"/>
  <c r="F1340" i="1"/>
  <c r="I1348" i="1"/>
  <c r="F1348" i="1"/>
  <c r="I1352" i="1"/>
  <c r="F1352" i="1"/>
  <c r="I1356" i="1"/>
  <c r="F1356" i="1"/>
  <c r="I1360" i="1"/>
  <c r="F1360" i="1"/>
  <c r="I1364" i="1"/>
  <c r="F1364" i="1"/>
  <c r="I1368" i="1"/>
  <c r="F1368" i="1"/>
  <c r="I1372" i="1"/>
  <c r="F1372" i="1"/>
  <c r="I1376" i="1"/>
  <c r="F1376" i="1"/>
  <c r="I1380" i="1"/>
  <c r="F1380" i="1"/>
  <c r="I1384" i="1"/>
  <c r="F1384" i="1"/>
  <c r="I1388" i="1"/>
  <c r="F1388" i="1"/>
  <c r="I1392" i="1"/>
  <c r="F1392" i="1"/>
  <c r="I1396" i="1"/>
  <c r="F1396" i="1"/>
  <c r="I1400" i="1"/>
  <c r="F1400" i="1"/>
  <c r="I1404" i="1"/>
  <c r="F1404" i="1"/>
  <c r="I1408" i="1"/>
  <c r="F1408" i="1"/>
  <c r="I1412" i="1"/>
  <c r="F1412" i="1"/>
  <c r="I1416" i="1"/>
  <c r="F1416" i="1"/>
  <c r="I1420" i="1"/>
  <c r="F1420" i="1"/>
  <c r="I1424" i="1"/>
  <c r="F1424" i="1"/>
  <c r="I1428" i="1"/>
  <c r="F1428" i="1"/>
  <c r="I1432" i="1"/>
  <c r="F1432" i="1"/>
  <c r="I1436" i="1"/>
  <c r="F1436" i="1"/>
  <c r="I1451" i="1"/>
  <c r="H1451" i="1"/>
  <c r="I1542" i="1"/>
  <c r="F1542" i="1"/>
  <c r="G1591" i="1"/>
  <c r="H1591" i="1"/>
  <c r="G1691" i="1"/>
  <c r="H1691" i="1"/>
  <c r="I1733" i="1"/>
  <c r="G1733" i="1"/>
  <c r="F1733" i="1"/>
  <c r="G1778" i="1"/>
  <c r="H1778" i="1"/>
  <c r="G1840" i="1"/>
  <c r="H1840" i="1"/>
  <c r="F1853" i="1"/>
  <c r="H1853" i="1"/>
  <c r="G1853" i="1"/>
  <c r="F1476" i="1"/>
  <c r="H1476" i="1"/>
  <c r="F1480" i="1"/>
  <c r="G1480" i="1"/>
  <c r="F1488" i="1"/>
  <c r="G1488" i="1"/>
  <c r="I1513" i="1"/>
  <c r="G1513" i="1"/>
  <c r="I1525" i="1"/>
  <c r="G1525" i="1"/>
  <c r="F1525" i="1"/>
  <c r="F1532" i="1"/>
  <c r="H1532" i="1"/>
  <c r="I1545" i="1"/>
  <c r="G1545" i="1"/>
  <c r="I1557" i="1"/>
  <c r="G1557" i="1"/>
  <c r="F1557" i="1"/>
  <c r="F1564" i="1"/>
  <c r="H1564" i="1"/>
  <c r="I1601" i="1"/>
  <c r="G1601" i="1"/>
  <c r="F1608" i="1"/>
  <c r="H1608" i="1"/>
  <c r="I1621" i="1"/>
  <c r="G1621" i="1"/>
  <c r="F1621" i="1"/>
  <c r="F1636" i="1"/>
  <c r="H1636" i="1"/>
  <c r="F1644" i="1"/>
  <c r="H1644" i="1"/>
  <c r="G1651" i="1"/>
  <c r="H1651" i="1"/>
  <c r="I1681" i="1"/>
  <c r="G1681" i="1"/>
  <c r="F1681" i="1"/>
  <c r="I1689" i="1"/>
  <c r="G1689" i="1"/>
  <c r="F1696" i="1"/>
  <c r="H1696" i="1"/>
  <c r="F1700" i="1"/>
  <c r="H1700" i="1"/>
  <c r="G1700" i="1"/>
  <c r="F1752" i="1"/>
  <c r="H1752" i="1"/>
  <c r="G1752" i="1"/>
  <c r="F1759" i="1"/>
  <c r="H1759" i="1"/>
  <c r="F1763" i="1"/>
  <c r="H1763" i="1"/>
  <c r="G1763" i="1"/>
  <c r="I1768" i="1"/>
  <c r="G1768" i="1"/>
  <c r="F1768" i="1"/>
  <c r="I1776" i="1"/>
  <c r="G1776" i="1"/>
  <c r="I1788" i="1"/>
  <c r="G1788" i="1"/>
  <c r="G1790" i="1"/>
  <c r="H1790" i="1"/>
  <c r="F1795" i="1"/>
  <c r="H1795" i="1"/>
  <c r="G1802" i="1"/>
  <c r="H1802" i="1"/>
  <c r="I1808" i="1"/>
  <c r="G1808" i="1"/>
  <c r="F1808" i="1"/>
  <c r="F1811" i="1"/>
  <c r="H1811" i="1"/>
  <c r="I1872" i="1"/>
  <c r="H1872" i="1"/>
  <c r="G1872" i="1"/>
  <c r="F1875" i="1"/>
  <c r="H1875" i="1"/>
  <c r="F1947" i="1"/>
  <c r="H1947" i="1"/>
  <c r="G1947" i="1"/>
  <c r="I1992" i="1"/>
  <c r="G1992" i="1"/>
  <c r="F1992" i="1"/>
  <c r="H1992" i="1"/>
  <c r="I2004" i="1"/>
  <c r="H2004" i="1"/>
  <c r="G2004" i="1"/>
  <c r="F2004" i="1"/>
  <c r="F2067" i="1"/>
  <c r="H2067" i="1"/>
  <c r="G2067" i="1"/>
  <c r="G2078" i="1"/>
  <c r="H2078" i="1"/>
  <c r="I2152" i="1"/>
  <c r="H2152" i="1"/>
  <c r="G2152" i="1"/>
  <c r="F2152" i="1"/>
  <c r="G2272" i="1"/>
  <c r="H2272" i="1"/>
  <c r="I2363" i="1"/>
  <c r="G2363" i="1"/>
  <c r="F2363" i="1"/>
  <c r="I2373" i="1"/>
  <c r="H2373" i="1"/>
  <c r="I2403" i="1"/>
  <c r="G2403" i="1"/>
  <c r="F2403" i="1"/>
  <c r="I2435" i="1"/>
  <c r="G2435" i="1"/>
  <c r="F2435" i="1"/>
  <c r="I2509" i="1"/>
  <c r="H2509" i="1"/>
  <c r="I2612" i="1"/>
  <c r="G2612" i="1"/>
  <c r="F2612" i="1"/>
  <c r="I2653" i="1"/>
  <c r="F2653" i="1"/>
  <c r="I2748" i="1"/>
  <c r="G2748" i="1"/>
  <c r="F2748" i="1"/>
  <c r="F2783" i="1"/>
  <c r="H2783" i="1"/>
  <c r="G2783" i="1"/>
  <c r="I2797" i="1"/>
  <c r="G2797" i="1"/>
  <c r="F2797" i="1"/>
  <c r="I2813" i="1"/>
  <c r="G2813" i="1"/>
  <c r="F2813" i="1"/>
  <c r="I2830" i="1"/>
  <c r="G2830" i="1"/>
  <c r="F2830" i="1"/>
  <c r="I2846" i="1"/>
  <c r="G2846" i="1"/>
  <c r="F2846" i="1"/>
  <c r="I2880" i="1"/>
  <c r="H2880" i="1"/>
  <c r="I2884" i="1"/>
  <c r="H2884" i="1"/>
  <c r="I2889" i="1"/>
  <c r="H2889" i="1"/>
  <c r="I2893" i="1"/>
  <c r="H2893" i="1"/>
  <c r="I2897" i="1"/>
  <c r="H2897" i="1"/>
  <c r="I2901" i="1"/>
  <c r="H2901" i="1"/>
  <c r="I2905" i="1"/>
  <c r="H2905" i="1"/>
  <c r="I2909" i="1"/>
  <c r="H2909" i="1"/>
  <c r="I2913" i="1"/>
  <c r="H2913" i="1"/>
  <c r="I2917" i="1"/>
  <c r="G2917" i="1"/>
  <c r="F2917" i="1"/>
  <c r="I2926" i="1"/>
  <c r="F2926" i="1"/>
  <c r="F3497" i="1"/>
  <c r="H3497" i="1"/>
  <c r="G3497" i="1"/>
  <c r="I3824" i="1"/>
  <c r="G3824" i="1"/>
  <c r="F3824" i="1"/>
  <c r="H3824" i="1"/>
  <c r="I3873" i="1"/>
  <c r="H3873" i="1"/>
  <c r="G3873" i="1"/>
  <c r="I3992" i="1"/>
  <c r="F3992" i="1"/>
  <c r="H885" i="1"/>
  <c r="H1020" i="1"/>
  <c r="F1025" i="1"/>
  <c r="F1026" i="1"/>
  <c r="H1028" i="1"/>
  <c r="F1033" i="1"/>
  <c r="F1034" i="1"/>
  <c r="F1053" i="1"/>
  <c r="F1054" i="1"/>
  <c r="H1056" i="1"/>
  <c r="F1061" i="1"/>
  <c r="F1062" i="1"/>
  <c r="H1064" i="1"/>
  <c r="H1084" i="1"/>
  <c r="F1089" i="1"/>
  <c r="F1090" i="1"/>
  <c r="H1092" i="1"/>
  <c r="F1097" i="1"/>
  <c r="F1098" i="1"/>
  <c r="F1117" i="1"/>
  <c r="F1118" i="1"/>
  <c r="H1120" i="1"/>
  <c r="F1125" i="1"/>
  <c r="F1126" i="1"/>
  <c r="H1128" i="1"/>
  <c r="F1148" i="1"/>
  <c r="G1151" i="1"/>
  <c r="G1159" i="1"/>
  <c r="G1167" i="1"/>
  <c r="F1172" i="1"/>
  <c r="F1180" i="1"/>
  <c r="F1182" i="1"/>
  <c r="G1183" i="1"/>
  <c r="F1188" i="1"/>
  <c r="F1196" i="1"/>
  <c r="F1198" i="1"/>
  <c r="G1199" i="1"/>
  <c r="F1204" i="1"/>
  <c r="F1212" i="1"/>
  <c r="F1214" i="1"/>
  <c r="G1215" i="1"/>
  <c r="F1220" i="1"/>
  <c r="F1228" i="1"/>
  <c r="F1230" i="1"/>
  <c r="G1231" i="1"/>
  <c r="F1236" i="1"/>
  <c r="F1244" i="1"/>
  <c r="F1246" i="1"/>
  <c r="G1247" i="1"/>
  <c r="F1252" i="1"/>
  <c r="F1260" i="1"/>
  <c r="F1262" i="1"/>
  <c r="G1263" i="1"/>
  <c r="F1268" i="1"/>
  <c r="F1276" i="1"/>
  <c r="F1278" i="1"/>
  <c r="G1279" i="1"/>
  <c r="F1284" i="1"/>
  <c r="G1290" i="1"/>
  <c r="F1295" i="1"/>
  <c r="F1304" i="1"/>
  <c r="G1311" i="1"/>
  <c r="H1318" i="1"/>
  <c r="F1320" i="1"/>
  <c r="G1327" i="1"/>
  <c r="H1334" i="1"/>
  <c r="F1336" i="1"/>
  <c r="F1442" i="1"/>
  <c r="F1446" i="1"/>
  <c r="F1450" i="1"/>
  <c r="F1454" i="1"/>
  <c r="F1461" i="1"/>
  <c r="G1472" i="1"/>
  <c r="G1476" i="1"/>
  <c r="H1480" i="1"/>
  <c r="H1488" i="1"/>
  <c r="I1497" i="1"/>
  <c r="G1497" i="1"/>
  <c r="F1497" i="1"/>
  <c r="F1500" i="1"/>
  <c r="H1500" i="1"/>
  <c r="F1513" i="1"/>
  <c r="F1528" i="1"/>
  <c r="H1528" i="1"/>
  <c r="G1528" i="1"/>
  <c r="G1532" i="1"/>
  <c r="I1538" i="1"/>
  <c r="F1538" i="1"/>
  <c r="F1545" i="1"/>
  <c r="F1560" i="1"/>
  <c r="H1560" i="1"/>
  <c r="G1560" i="1"/>
  <c r="G1564" i="1"/>
  <c r="I1570" i="1"/>
  <c r="F1570" i="1"/>
  <c r="F1588" i="1"/>
  <c r="H1588" i="1"/>
  <c r="G1595" i="1"/>
  <c r="H1595" i="1"/>
  <c r="F1601" i="1"/>
  <c r="G1608" i="1"/>
  <c r="H1619" i="1"/>
  <c r="F1624" i="1"/>
  <c r="H1624" i="1"/>
  <c r="F1628" i="1"/>
  <c r="H1628" i="1"/>
  <c r="G1628" i="1"/>
  <c r="G1636" i="1"/>
  <c r="G1644" i="1"/>
  <c r="F1656" i="1"/>
  <c r="H1656" i="1"/>
  <c r="G1656" i="1"/>
  <c r="I1661" i="1"/>
  <c r="G1661" i="1"/>
  <c r="F1661" i="1"/>
  <c r="F1664" i="1"/>
  <c r="H1664" i="1"/>
  <c r="F1668" i="1"/>
  <c r="H1668" i="1"/>
  <c r="G1668" i="1"/>
  <c r="H1679" i="1"/>
  <c r="F1689" i="1"/>
  <c r="G1696" i="1"/>
  <c r="I1701" i="1"/>
  <c r="G1701" i="1"/>
  <c r="G1703" i="1"/>
  <c r="H1703" i="1"/>
  <c r="F1708" i="1"/>
  <c r="H1708" i="1"/>
  <c r="G1715" i="1"/>
  <c r="H1715" i="1"/>
  <c r="I1745" i="1"/>
  <c r="G1745" i="1"/>
  <c r="F1745" i="1"/>
  <c r="G1759" i="1"/>
  <c r="I1764" i="1"/>
  <c r="G1764" i="1"/>
  <c r="H1766" i="1"/>
  <c r="F1776" i="1"/>
  <c r="F1788" i="1"/>
  <c r="G1795" i="1"/>
  <c r="H1806" i="1"/>
  <c r="H1808" i="1"/>
  <c r="G1811" i="1"/>
  <c r="G1856" i="1"/>
  <c r="H1856" i="1"/>
  <c r="F1872" i="1"/>
  <c r="G1890" i="1"/>
  <c r="H1890" i="1"/>
  <c r="I1896" i="1"/>
  <c r="H1896" i="1"/>
  <c r="G1896" i="1"/>
  <c r="I1916" i="1"/>
  <c r="H1916" i="1"/>
  <c r="F1957" i="1"/>
  <c r="H1957" i="1"/>
  <c r="G1957" i="1"/>
  <c r="G1990" i="1"/>
  <c r="H1990" i="1"/>
  <c r="I2104" i="1"/>
  <c r="H2104" i="1"/>
  <c r="G2104" i="1"/>
  <c r="F2104" i="1"/>
  <c r="G2248" i="1"/>
  <c r="H2248" i="1"/>
  <c r="F2269" i="1"/>
  <c r="H2269" i="1"/>
  <c r="G2269" i="1"/>
  <c r="G2320" i="1"/>
  <c r="H2320" i="1"/>
  <c r="F2398" i="1"/>
  <c r="H2398" i="1"/>
  <c r="G2398" i="1"/>
  <c r="F2430" i="1"/>
  <c r="H2430" i="1"/>
  <c r="G2430" i="1"/>
  <c r="I2467" i="1"/>
  <c r="G2467" i="1"/>
  <c r="F2467" i="1"/>
  <c r="F2506" i="1"/>
  <c r="H2506" i="1"/>
  <c r="G2506" i="1"/>
  <c r="I2535" i="1"/>
  <c r="H2535" i="1"/>
  <c r="G2535" i="1"/>
  <c r="F2535" i="1"/>
  <c r="I2567" i="1"/>
  <c r="H2567" i="1"/>
  <c r="G2567" i="1"/>
  <c r="F2567" i="1"/>
  <c r="I2975" i="1"/>
  <c r="F2975" i="1"/>
  <c r="I2985" i="1"/>
  <c r="H2985" i="1"/>
  <c r="I2991" i="1"/>
  <c r="G2991" i="1"/>
  <c r="F2991" i="1"/>
  <c r="I3003" i="1"/>
  <c r="G3003" i="1"/>
  <c r="F3003" i="1"/>
  <c r="F3124" i="1"/>
  <c r="H3124" i="1"/>
  <c r="G3124" i="1"/>
  <c r="F3144" i="1"/>
  <c r="H3144" i="1"/>
  <c r="G3144" i="1"/>
  <c r="I3384" i="1"/>
  <c r="H3384" i="1"/>
  <c r="I3390" i="1"/>
  <c r="G3390" i="1"/>
  <c r="F3390" i="1"/>
  <c r="F3413" i="1"/>
  <c r="H3413" i="1"/>
  <c r="G3413" i="1"/>
  <c r="I3488" i="1"/>
  <c r="H3488" i="1"/>
  <c r="I3625" i="1"/>
  <c r="G3625" i="1"/>
  <c r="F3625" i="1"/>
  <c r="F3628" i="1"/>
  <c r="H3628" i="1"/>
  <c r="G3628" i="1"/>
  <c r="F3632" i="1"/>
  <c r="H3632" i="1"/>
  <c r="G3632" i="1"/>
  <c r="I3801" i="1"/>
  <c r="F3801" i="1"/>
  <c r="F3979" i="1"/>
  <c r="G3979" i="1"/>
  <c r="I3984" i="1"/>
  <c r="F3984" i="1"/>
  <c r="G3990" i="1"/>
  <c r="H3990" i="1"/>
  <c r="G829" i="1"/>
  <c r="G841" i="1"/>
  <c r="H844" i="1"/>
  <c r="F854" i="1"/>
  <c r="H856" i="1"/>
  <c r="G861" i="1"/>
  <c r="F866" i="1"/>
  <c r="G873" i="1"/>
  <c r="F894" i="1"/>
  <c r="G901" i="1"/>
  <c r="H904" i="1"/>
  <c r="F914" i="1"/>
  <c r="H916" i="1"/>
  <c r="G921" i="1"/>
  <c r="F926" i="1"/>
  <c r="G933" i="1"/>
  <c r="H936" i="1"/>
  <c r="F946" i="1"/>
  <c r="H948" i="1"/>
  <c r="F953" i="1"/>
  <c r="F954" i="1"/>
  <c r="H956" i="1"/>
  <c r="G965" i="1"/>
  <c r="F970" i="1"/>
  <c r="H972" i="1"/>
  <c r="G981" i="1"/>
  <c r="F986" i="1"/>
  <c r="H988" i="1"/>
  <c r="G997" i="1"/>
  <c r="F1005" i="1"/>
  <c r="F1006" i="1"/>
  <c r="H1008" i="1"/>
  <c r="F1013" i="1"/>
  <c r="F1014" i="1"/>
  <c r="H1016" i="1"/>
  <c r="G1025" i="1"/>
  <c r="G1026" i="1"/>
  <c r="G1033" i="1"/>
  <c r="G1034" i="1"/>
  <c r="H1036" i="1"/>
  <c r="F1041" i="1"/>
  <c r="F1042" i="1"/>
  <c r="H1044" i="1"/>
  <c r="F1049" i="1"/>
  <c r="F1050" i="1"/>
  <c r="G1053" i="1"/>
  <c r="G1054" i="1"/>
  <c r="G1061" i="1"/>
  <c r="G1062" i="1"/>
  <c r="F1069" i="1"/>
  <c r="F1070" i="1"/>
  <c r="H1072" i="1"/>
  <c r="F1077" i="1"/>
  <c r="F1078" i="1"/>
  <c r="H1080" i="1"/>
  <c r="G1089" i="1"/>
  <c r="G1090" i="1"/>
  <c r="G1097" i="1"/>
  <c r="G1098" i="1"/>
  <c r="H1100" i="1"/>
  <c r="F1105" i="1"/>
  <c r="F1106" i="1"/>
  <c r="H1108" i="1"/>
  <c r="F1113" i="1"/>
  <c r="F1114" i="1"/>
  <c r="G1117" i="1"/>
  <c r="G1118" i="1"/>
  <c r="G1125" i="1"/>
  <c r="G1126" i="1"/>
  <c r="F1133" i="1"/>
  <c r="F1134" i="1"/>
  <c r="H1136" i="1"/>
  <c r="F1141" i="1"/>
  <c r="F1142" i="1"/>
  <c r="H1144" i="1"/>
  <c r="G1148" i="1"/>
  <c r="F1150" i="1"/>
  <c r="F1156" i="1"/>
  <c r="F1158" i="1"/>
  <c r="F1164" i="1"/>
  <c r="F1166" i="1"/>
  <c r="H1172" i="1"/>
  <c r="F1178" i="1"/>
  <c r="H1180" i="1"/>
  <c r="G1182" i="1"/>
  <c r="H1188" i="1"/>
  <c r="F1194" i="1"/>
  <c r="H1196" i="1"/>
  <c r="G1198" i="1"/>
  <c r="H1204" i="1"/>
  <c r="F1210" i="1"/>
  <c r="H1212" i="1"/>
  <c r="G1214" i="1"/>
  <c r="H1220" i="1"/>
  <c r="F1226" i="1"/>
  <c r="H1228" i="1"/>
  <c r="G1230" i="1"/>
  <c r="H1236" i="1"/>
  <c r="F1242" i="1"/>
  <c r="H1244" i="1"/>
  <c r="G1246" i="1"/>
  <c r="H1252" i="1"/>
  <c r="F1258" i="1"/>
  <c r="H1260" i="1"/>
  <c r="G1262" i="1"/>
  <c r="H1268" i="1"/>
  <c r="F1274" i="1"/>
  <c r="H1276" i="1"/>
  <c r="G1278" i="1"/>
  <c r="H1284" i="1"/>
  <c r="H1290" i="1"/>
  <c r="G1294" i="1"/>
  <c r="G1295" i="1"/>
  <c r="G1299" i="1"/>
  <c r="G1307" i="1"/>
  <c r="H1314" i="1"/>
  <c r="F1316" i="1"/>
  <c r="G1323" i="1"/>
  <c r="H1330" i="1"/>
  <c r="F1332" i="1"/>
  <c r="G1339" i="1"/>
  <c r="G1343" i="1"/>
  <c r="G1347" i="1"/>
  <c r="G1351" i="1"/>
  <c r="G1355" i="1"/>
  <c r="G1359" i="1"/>
  <c r="G1363" i="1"/>
  <c r="G1367" i="1"/>
  <c r="G1371" i="1"/>
  <c r="G1375" i="1"/>
  <c r="G1379" i="1"/>
  <c r="G1383" i="1"/>
  <c r="G1387" i="1"/>
  <c r="G1391" i="1"/>
  <c r="G1395" i="1"/>
  <c r="G1399" i="1"/>
  <c r="G1403" i="1"/>
  <c r="G1407" i="1"/>
  <c r="G1411" i="1"/>
  <c r="G1415" i="1"/>
  <c r="G1419" i="1"/>
  <c r="G1423" i="1"/>
  <c r="G1427" i="1"/>
  <c r="G1431" i="1"/>
  <c r="G1435" i="1"/>
  <c r="F1441" i="1"/>
  <c r="F1445" i="1"/>
  <c r="F1449" i="1"/>
  <c r="F1453" i="1"/>
  <c r="F1457" i="1"/>
  <c r="G1460" i="1"/>
  <c r="G1461" i="1"/>
  <c r="F1465" i="1"/>
  <c r="H1472" i="1"/>
  <c r="I1481" i="1"/>
  <c r="G1481" i="1"/>
  <c r="I1489" i="1"/>
  <c r="G1489" i="1"/>
  <c r="G1500" i="1"/>
  <c r="I1512" i="1"/>
  <c r="H1512" i="1"/>
  <c r="G1512" i="1"/>
  <c r="F1516" i="1"/>
  <c r="H1516" i="1"/>
  <c r="F1526" i="1"/>
  <c r="I1529" i="1"/>
  <c r="G1529" i="1"/>
  <c r="I1541" i="1"/>
  <c r="G1541" i="1"/>
  <c r="F1541" i="1"/>
  <c r="F1548" i="1"/>
  <c r="H1548" i="1"/>
  <c r="F1558" i="1"/>
  <c r="I1561" i="1"/>
  <c r="G1561" i="1"/>
  <c r="I1573" i="1"/>
  <c r="G1573" i="1"/>
  <c r="F1573" i="1"/>
  <c r="F1576" i="1"/>
  <c r="H1576" i="1"/>
  <c r="F1580" i="1"/>
  <c r="H1580" i="1"/>
  <c r="G1580" i="1"/>
  <c r="G1588" i="1"/>
  <c r="I1613" i="1"/>
  <c r="G1613" i="1"/>
  <c r="F1613" i="1"/>
  <c r="F1616" i="1"/>
  <c r="H1616" i="1"/>
  <c r="G1624" i="1"/>
  <c r="I1629" i="1"/>
  <c r="G1629" i="1"/>
  <c r="G1631" i="1"/>
  <c r="H1631" i="1"/>
  <c r="I1649" i="1"/>
  <c r="G1649" i="1"/>
  <c r="F1649" i="1"/>
  <c r="I1657" i="1"/>
  <c r="G1657" i="1"/>
  <c r="H1659" i="1"/>
  <c r="G1664" i="1"/>
  <c r="I1669" i="1"/>
  <c r="G1669" i="1"/>
  <c r="G1671" i="1"/>
  <c r="H1671" i="1"/>
  <c r="F1676" i="1"/>
  <c r="H1676" i="1"/>
  <c r="G1683" i="1"/>
  <c r="H1683" i="1"/>
  <c r="F1701" i="1"/>
  <c r="G1708" i="1"/>
  <c r="F1720" i="1"/>
  <c r="H1720" i="1"/>
  <c r="G1720" i="1"/>
  <c r="I1725" i="1"/>
  <c r="G1725" i="1"/>
  <c r="F1725" i="1"/>
  <c r="F1728" i="1"/>
  <c r="H1728" i="1"/>
  <c r="F1732" i="1"/>
  <c r="H1732" i="1"/>
  <c r="G1732" i="1"/>
  <c r="H1743" i="1"/>
  <c r="F1764" i="1"/>
  <c r="G1770" i="1"/>
  <c r="H1770" i="1"/>
  <c r="I1800" i="1"/>
  <c r="G1800" i="1"/>
  <c r="F1800" i="1"/>
  <c r="I1846" i="1"/>
  <c r="H1846" i="1"/>
  <c r="G1846" i="1"/>
  <c r="F1896" i="1"/>
  <c r="G1916" i="1"/>
  <c r="I1936" i="1"/>
  <c r="G1936" i="1"/>
  <c r="F1936" i="1"/>
  <c r="H1936" i="1"/>
  <c r="I1954" i="1"/>
  <c r="G1954" i="1"/>
  <c r="F1954" i="1"/>
  <c r="H1954" i="1"/>
  <c r="G2050" i="1"/>
  <c r="H2050" i="1"/>
  <c r="I2056" i="1"/>
  <c r="H2056" i="1"/>
  <c r="G2056" i="1"/>
  <c r="F2056" i="1"/>
  <c r="I2128" i="1"/>
  <c r="G2128" i="1"/>
  <c r="F2128" i="1"/>
  <c r="H2128" i="1"/>
  <c r="F2191" i="1"/>
  <c r="H2191" i="1"/>
  <c r="G2191" i="1"/>
  <c r="F2245" i="1"/>
  <c r="H2245" i="1"/>
  <c r="G2245" i="1"/>
  <c r="G2260" i="1"/>
  <c r="H2260" i="1"/>
  <c r="F2265" i="1"/>
  <c r="H2265" i="1"/>
  <c r="G2265" i="1"/>
  <c r="I2317" i="1"/>
  <c r="G2317" i="1"/>
  <c r="F2317" i="1"/>
  <c r="H2317" i="1"/>
  <c r="F2462" i="1"/>
  <c r="H2462" i="1"/>
  <c r="G2462" i="1"/>
  <c r="I2504" i="1"/>
  <c r="F2504" i="1"/>
  <c r="F2582" i="1"/>
  <c r="H2582" i="1"/>
  <c r="G2582" i="1"/>
  <c r="I2599" i="1"/>
  <c r="G2599" i="1"/>
  <c r="F2599" i="1"/>
  <c r="F2619" i="1"/>
  <c r="H2619" i="1"/>
  <c r="G2619" i="1"/>
  <c r="I2640" i="1"/>
  <c r="G2640" i="1"/>
  <c r="F2640" i="1"/>
  <c r="I2710" i="1"/>
  <c r="H2710" i="1"/>
  <c r="I2716" i="1"/>
  <c r="G2716" i="1"/>
  <c r="F2716" i="1"/>
  <c r="I3106" i="1"/>
  <c r="F3106" i="1"/>
  <c r="I3109" i="1"/>
  <c r="G3109" i="1"/>
  <c r="F3109" i="1"/>
  <c r="H3109" i="1"/>
  <c r="I3122" i="1"/>
  <c r="F3122" i="1"/>
  <c r="I3371" i="1"/>
  <c r="G3371" i="1"/>
  <c r="F3371" i="1"/>
  <c r="I3613" i="1"/>
  <c r="G3613" i="1"/>
  <c r="F3613" i="1"/>
  <c r="I3968" i="1"/>
  <c r="F3968" i="1"/>
  <c r="F1939" i="1"/>
  <c r="H1939" i="1"/>
  <c r="G1939" i="1"/>
  <c r="G1942" i="1"/>
  <c r="H1942" i="1"/>
  <c r="I1948" i="1"/>
  <c r="H1948" i="1"/>
  <c r="G1948" i="1"/>
  <c r="F1971" i="1"/>
  <c r="H1971" i="1"/>
  <c r="G1971" i="1"/>
  <c r="G1977" i="1"/>
  <c r="H1977" i="1"/>
  <c r="I1984" i="1"/>
  <c r="H1984" i="1"/>
  <c r="G1984" i="1"/>
  <c r="I2028" i="1"/>
  <c r="G2028" i="1"/>
  <c r="F2028" i="1"/>
  <c r="I2044" i="1"/>
  <c r="G2044" i="1"/>
  <c r="F2044" i="1"/>
  <c r="F2047" i="1"/>
  <c r="H2047" i="1"/>
  <c r="F2083" i="1"/>
  <c r="H2083" i="1"/>
  <c r="G2083" i="1"/>
  <c r="I2092" i="1"/>
  <c r="G2092" i="1"/>
  <c r="F2092" i="1"/>
  <c r="G2098" i="1"/>
  <c r="H2098" i="1"/>
  <c r="F2111" i="1"/>
  <c r="H2111" i="1"/>
  <c r="G2111" i="1"/>
  <c r="I2120" i="1"/>
  <c r="G2120" i="1"/>
  <c r="F2120" i="1"/>
  <c r="F2123" i="1"/>
  <c r="H2123" i="1"/>
  <c r="F2131" i="1"/>
  <c r="H2131" i="1"/>
  <c r="G2131" i="1"/>
  <c r="G2146" i="1"/>
  <c r="H2146" i="1"/>
  <c r="F2159" i="1"/>
  <c r="H2159" i="1"/>
  <c r="G2159" i="1"/>
  <c r="F2171" i="1"/>
  <c r="H2171" i="1"/>
  <c r="G2171" i="1"/>
  <c r="G2174" i="1"/>
  <c r="H2174" i="1"/>
  <c r="I2180" i="1"/>
  <c r="G2180" i="1"/>
  <c r="F2180" i="1"/>
  <c r="I2192" i="1"/>
  <c r="H2192" i="1"/>
  <c r="G2192" i="1"/>
  <c r="I2198" i="1"/>
  <c r="G2198" i="1"/>
  <c r="F2229" i="1"/>
  <c r="H2229" i="1"/>
  <c r="G2229" i="1"/>
  <c r="I2234" i="1"/>
  <c r="G2234" i="1"/>
  <c r="F2234" i="1"/>
  <c r="I2246" i="1"/>
  <c r="G2246" i="1"/>
  <c r="I2253" i="1"/>
  <c r="H2253" i="1"/>
  <c r="G2253" i="1"/>
  <c r="I2270" i="1"/>
  <c r="G2270" i="1"/>
  <c r="G2292" i="1"/>
  <c r="H2292" i="1"/>
  <c r="F2297" i="1"/>
  <c r="H2297" i="1"/>
  <c r="F2301" i="1"/>
  <c r="H2301" i="1"/>
  <c r="G2301" i="1"/>
  <c r="I2306" i="1"/>
  <c r="G2306" i="1"/>
  <c r="F2306" i="1"/>
  <c r="F2325" i="1"/>
  <c r="H2325" i="1"/>
  <c r="G2325" i="1"/>
  <c r="I2330" i="1"/>
  <c r="G2330" i="1"/>
  <c r="F2330" i="1"/>
  <c r="F2345" i="1"/>
  <c r="H2345" i="1"/>
  <c r="G2352" i="1"/>
  <c r="H2352" i="1"/>
  <c r="F2374" i="1"/>
  <c r="H2374" i="1"/>
  <c r="F2386" i="1"/>
  <c r="H2386" i="1"/>
  <c r="G2386" i="1"/>
  <c r="I2391" i="1"/>
  <c r="G2391" i="1"/>
  <c r="F2391" i="1"/>
  <c r="F2426" i="1"/>
  <c r="H2426" i="1"/>
  <c r="I2431" i="1"/>
  <c r="G2431" i="1"/>
  <c r="F2458" i="1"/>
  <c r="H2458" i="1"/>
  <c r="I2463" i="1"/>
  <c r="G2463" i="1"/>
  <c r="I2495" i="1"/>
  <c r="G2495" i="1"/>
  <c r="F2495" i="1"/>
  <c r="F2502" i="1"/>
  <c r="H2502" i="1"/>
  <c r="G2502" i="1"/>
  <c r="I2507" i="1"/>
  <c r="H2507" i="1"/>
  <c r="G2507" i="1"/>
  <c r="F2510" i="1"/>
  <c r="H2510" i="1"/>
  <c r="I2515" i="1"/>
  <c r="H2515" i="1"/>
  <c r="G2515" i="1"/>
  <c r="I2527" i="1"/>
  <c r="G2527" i="1"/>
  <c r="F2527" i="1"/>
  <c r="I2559" i="1"/>
  <c r="G2559" i="1"/>
  <c r="F2559" i="1"/>
  <c r="I2592" i="1"/>
  <c r="F2592" i="1"/>
  <c r="I2604" i="1"/>
  <c r="G2604" i="1"/>
  <c r="F2604" i="1"/>
  <c r="I2616" i="1"/>
  <c r="G2616" i="1"/>
  <c r="I2628" i="1"/>
  <c r="G2628" i="1"/>
  <c r="F2628" i="1"/>
  <c r="I2644" i="1"/>
  <c r="G2644" i="1"/>
  <c r="F2644" i="1"/>
  <c r="I2660" i="1"/>
  <c r="G2660" i="1"/>
  <c r="F2660" i="1"/>
  <c r="F2679" i="1"/>
  <c r="H2679" i="1"/>
  <c r="I2692" i="1"/>
  <c r="G2692" i="1"/>
  <c r="I2704" i="1"/>
  <c r="G2704" i="1"/>
  <c r="F2704" i="1"/>
  <c r="I2707" i="1"/>
  <c r="G2707" i="1"/>
  <c r="F2707" i="1"/>
  <c r="H2707" i="1"/>
  <c r="F2743" i="1"/>
  <c r="H2743" i="1"/>
  <c r="G2743" i="1"/>
  <c r="I2949" i="1"/>
  <c r="H2949" i="1"/>
  <c r="G2949" i="1"/>
  <c r="I2954" i="1"/>
  <c r="G2954" i="1"/>
  <c r="F2954" i="1"/>
  <c r="I2969" i="1"/>
  <c r="H2969" i="1"/>
  <c r="G2969" i="1"/>
  <c r="F2969" i="1"/>
  <c r="I3049" i="1"/>
  <c r="G3049" i="1"/>
  <c r="F3049" i="1"/>
  <c r="F3052" i="1"/>
  <c r="H3052" i="1"/>
  <c r="G3052" i="1"/>
  <c r="F3068" i="1"/>
  <c r="H3068" i="1"/>
  <c r="G3068" i="1"/>
  <c r="I3078" i="1"/>
  <c r="F3078" i="1"/>
  <c r="I3125" i="1"/>
  <c r="H3125" i="1"/>
  <c r="G3125" i="1"/>
  <c r="F3125" i="1"/>
  <c r="F3140" i="1"/>
  <c r="H3140" i="1"/>
  <c r="G3140" i="1"/>
  <c r="I3169" i="1"/>
  <c r="G3169" i="1"/>
  <c r="F3169" i="1"/>
  <c r="H3169" i="1"/>
  <c r="F3192" i="1"/>
  <c r="H3192" i="1"/>
  <c r="G3192" i="1"/>
  <c r="I3239" i="1"/>
  <c r="H3239" i="1"/>
  <c r="F3267" i="1"/>
  <c r="H3267" i="1"/>
  <c r="F3283" i="1"/>
  <c r="H3283" i="1"/>
  <c r="G3283" i="1"/>
  <c r="F3319" i="1"/>
  <c r="H3319" i="1"/>
  <c r="G3319" i="1"/>
  <c r="I3340" i="1"/>
  <c r="G3340" i="1"/>
  <c r="F3340" i="1"/>
  <c r="F3385" i="1"/>
  <c r="H3385" i="1"/>
  <c r="G3385" i="1"/>
  <c r="F3485" i="1"/>
  <c r="H3485" i="1"/>
  <c r="G3485" i="1"/>
  <c r="I3504" i="1"/>
  <c r="H3504" i="1"/>
  <c r="I3510" i="1"/>
  <c r="G3510" i="1"/>
  <c r="F3510" i="1"/>
  <c r="F3529" i="1"/>
  <c r="H3529" i="1"/>
  <c r="G3529" i="1"/>
  <c r="F3596" i="1"/>
  <c r="H3596" i="1"/>
  <c r="G3596" i="1"/>
  <c r="I3606" i="1"/>
  <c r="F3606" i="1"/>
  <c r="I3626" i="1"/>
  <c r="F3626" i="1"/>
  <c r="I3767" i="1"/>
  <c r="G3767" i="1"/>
  <c r="F3767" i="1"/>
  <c r="H3767" i="1"/>
  <c r="I3808" i="1"/>
  <c r="G3808" i="1"/>
  <c r="F3808" i="1"/>
  <c r="H3808" i="1"/>
  <c r="F3868" i="1"/>
  <c r="H3868" i="1"/>
  <c r="G3868" i="1"/>
  <c r="F3904" i="1"/>
  <c r="H3904" i="1"/>
  <c r="G3904" i="1"/>
  <c r="I3909" i="1"/>
  <c r="H3909" i="1"/>
  <c r="G3909" i="1"/>
  <c r="F3909" i="1"/>
  <c r="I3948" i="1"/>
  <c r="F3948" i="1"/>
  <c r="F3971" i="1"/>
  <c r="G3971" i="1"/>
  <c r="F3995" i="1"/>
  <c r="G3995" i="1"/>
  <c r="I1816" i="1"/>
  <c r="G1816" i="1"/>
  <c r="F1816" i="1"/>
  <c r="F1819" i="1"/>
  <c r="H1819" i="1"/>
  <c r="I1824" i="1"/>
  <c r="H1824" i="1"/>
  <c r="F1824" i="1"/>
  <c r="I1834" i="1"/>
  <c r="G1834" i="1"/>
  <c r="F1834" i="1"/>
  <c r="F1837" i="1"/>
  <c r="H1837" i="1"/>
  <c r="I1862" i="1"/>
  <c r="G1862" i="1"/>
  <c r="F1862" i="1"/>
  <c r="I1928" i="1"/>
  <c r="G1928" i="1"/>
  <c r="F1928" i="1"/>
  <c r="F1931" i="1"/>
  <c r="H1931" i="1"/>
  <c r="I1940" i="1"/>
  <c r="H1940" i="1"/>
  <c r="G1940" i="1"/>
  <c r="F1948" i="1"/>
  <c r="G1966" i="1"/>
  <c r="H1966" i="1"/>
  <c r="I1972" i="1"/>
  <c r="H1972" i="1"/>
  <c r="G1972" i="1"/>
  <c r="F1984" i="1"/>
  <c r="F1987" i="1"/>
  <c r="H1987" i="1"/>
  <c r="I2000" i="1"/>
  <c r="G2000" i="1"/>
  <c r="F2000" i="1"/>
  <c r="F2011" i="1"/>
  <c r="H2011" i="1"/>
  <c r="G2011" i="1"/>
  <c r="G2014" i="1"/>
  <c r="H2014" i="1"/>
  <c r="I2020" i="1"/>
  <c r="G2020" i="1"/>
  <c r="F2020" i="1"/>
  <c r="F2023" i="1"/>
  <c r="H2023" i="1"/>
  <c r="H2026" i="1"/>
  <c r="H2028" i="1"/>
  <c r="G2031" i="1"/>
  <c r="H2042" i="1"/>
  <c r="H2044" i="1"/>
  <c r="G2047" i="1"/>
  <c r="F2063" i="1"/>
  <c r="H2063" i="1"/>
  <c r="G2063" i="1"/>
  <c r="I2072" i="1"/>
  <c r="G2072" i="1"/>
  <c r="F2072" i="1"/>
  <c r="F2075" i="1"/>
  <c r="H2075" i="1"/>
  <c r="I2084" i="1"/>
  <c r="H2084" i="1"/>
  <c r="G2084" i="1"/>
  <c r="H2090" i="1"/>
  <c r="H2092" i="1"/>
  <c r="F2095" i="1"/>
  <c r="H2095" i="1"/>
  <c r="I2112" i="1"/>
  <c r="H2112" i="1"/>
  <c r="G2112" i="1"/>
  <c r="H2118" i="1"/>
  <c r="H2120" i="1"/>
  <c r="G2123" i="1"/>
  <c r="I2132" i="1"/>
  <c r="H2132" i="1"/>
  <c r="G2132" i="1"/>
  <c r="I2140" i="1"/>
  <c r="G2140" i="1"/>
  <c r="F2140" i="1"/>
  <c r="F2143" i="1"/>
  <c r="H2143" i="1"/>
  <c r="I2160" i="1"/>
  <c r="H2160" i="1"/>
  <c r="G2160" i="1"/>
  <c r="G2166" i="1"/>
  <c r="H2166" i="1"/>
  <c r="I2172" i="1"/>
  <c r="H2172" i="1"/>
  <c r="G2172" i="1"/>
  <c r="H2178" i="1"/>
  <c r="H2180" i="1"/>
  <c r="F2183" i="1"/>
  <c r="H2183" i="1"/>
  <c r="G2183" i="1"/>
  <c r="G2186" i="1"/>
  <c r="H2186" i="1"/>
  <c r="F2192" i="1"/>
  <c r="F2195" i="1"/>
  <c r="H2195" i="1"/>
  <c r="F2198" i="1"/>
  <c r="F2213" i="1"/>
  <c r="H2213" i="1"/>
  <c r="G2213" i="1"/>
  <c r="I2218" i="1"/>
  <c r="G2218" i="1"/>
  <c r="F2218" i="1"/>
  <c r="F2225" i="1"/>
  <c r="H2225" i="1"/>
  <c r="I2230" i="1"/>
  <c r="G2230" i="1"/>
  <c r="F2246" i="1"/>
  <c r="F2253" i="1"/>
  <c r="I2258" i="1"/>
  <c r="G2258" i="1"/>
  <c r="F2258" i="1"/>
  <c r="F2270" i="1"/>
  <c r="G2276" i="1"/>
  <c r="H2276" i="1"/>
  <c r="G2297" i="1"/>
  <c r="I2302" i="1"/>
  <c r="G2302" i="1"/>
  <c r="H2304" i="1"/>
  <c r="I2318" i="1"/>
  <c r="G2318" i="1"/>
  <c r="F2318" i="1"/>
  <c r="I2326" i="1"/>
  <c r="G2326" i="1"/>
  <c r="H2328" i="1"/>
  <c r="F2333" i="1"/>
  <c r="H2333" i="1"/>
  <c r="F2337" i="1"/>
  <c r="H2337" i="1"/>
  <c r="G2337" i="1"/>
  <c r="G2345" i="1"/>
  <c r="F2357" i="1"/>
  <c r="H2357" i="1"/>
  <c r="G2357" i="1"/>
  <c r="G2360" i="1"/>
  <c r="H2360" i="1"/>
  <c r="I2365" i="1"/>
  <c r="H2365" i="1"/>
  <c r="I2371" i="1"/>
  <c r="G2371" i="1"/>
  <c r="F2371" i="1"/>
  <c r="G2374" i="1"/>
  <c r="I2387" i="1"/>
  <c r="G2387" i="1"/>
  <c r="F2414" i="1"/>
  <c r="H2414" i="1"/>
  <c r="G2414" i="1"/>
  <c r="I2419" i="1"/>
  <c r="G2419" i="1"/>
  <c r="F2419" i="1"/>
  <c r="G2426" i="1"/>
  <c r="F2431" i="1"/>
  <c r="F2446" i="1"/>
  <c r="H2446" i="1"/>
  <c r="G2446" i="1"/>
  <c r="I2451" i="1"/>
  <c r="G2451" i="1"/>
  <c r="F2451" i="1"/>
  <c r="G2458" i="1"/>
  <c r="F2463" i="1"/>
  <c r="F2478" i="1"/>
  <c r="H2478" i="1"/>
  <c r="G2478" i="1"/>
  <c r="I2483" i="1"/>
  <c r="G2483" i="1"/>
  <c r="F2483" i="1"/>
  <c r="H2495" i="1"/>
  <c r="I2503" i="1"/>
  <c r="H2503" i="1"/>
  <c r="G2503" i="1"/>
  <c r="F2507" i="1"/>
  <c r="G2510" i="1"/>
  <c r="F2515" i="1"/>
  <c r="H2527" i="1"/>
  <c r="F2538" i="1"/>
  <c r="H2538" i="1"/>
  <c r="G2538" i="1"/>
  <c r="I2541" i="1"/>
  <c r="H2541" i="1"/>
  <c r="F2546" i="1"/>
  <c r="H2546" i="1"/>
  <c r="G2546" i="1"/>
  <c r="H2559" i="1"/>
  <c r="F2570" i="1"/>
  <c r="H2570" i="1"/>
  <c r="G2570" i="1"/>
  <c r="I2573" i="1"/>
  <c r="H2573" i="1"/>
  <c r="F2578" i="1"/>
  <c r="H2578" i="1"/>
  <c r="G2578" i="1"/>
  <c r="F2580" i="1"/>
  <c r="F2586" i="1"/>
  <c r="H2586" i="1"/>
  <c r="F2601" i="1"/>
  <c r="I2608" i="1"/>
  <c r="G2608" i="1"/>
  <c r="F2608" i="1"/>
  <c r="F2616" i="1"/>
  <c r="I2632" i="1"/>
  <c r="G2632" i="1"/>
  <c r="F2632" i="1"/>
  <c r="F2641" i="1"/>
  <c r="I2648" i="1"/>
  <c r="G2648" i="1"/>
  <c r="F2648" i="1"/>
  <c r="F2657" i="1"/>
  <c r="I2664" i="1"/>
  <c r="G2664" i="1"/>
  <c r="F2664" i="1"/>
  <c r="I2672" i="1"/>
  <c r="G2672" i="1"/>
  <c r="F2672" i="1"/>
  <c r="F2675" i="1"/>
  <c r="H2675" i="1"/>
  <c r="G2675" i="1"/>
  <c r="G2679" i="1"/>
  <c r="I2685" i="1"/>
  <c r="F2685" i="1"/>
  <c r="F2692" i="1"/>
  <c r="I2705" i="1"/>
  <c r="F2705" i="1"/>
  <c r="I2728" i="1"/>
  <c r="G2728" i="1"/>
  <c r="I2731" i="1"/>
  <c r="G2731" i="1"/>
  <c r="F2731" i="1"/>
  <c r="I2744" i="1"/>
  <c r="G2744" i="1"/>
  <c r="F2744" i="1"/>
  <c r="I2929" i="1"/>
  <c r="G2929" i="1"/>
  <c r="F2929" i="1"/>
  <c r="I2937" i="1"/>
  <c r="G2937" i="1"/>
  <c r="F2937" i="1"/>
  <c r="F2940" i="1"/>
  <c r="H2940" i="1"/>
  <c r="G2940" i="1"/>
  <c r="F2949" i="1"/>
  <c r="I3050" i="1"/>
  <c r="F3050" i="1"/>
  <c r="I3066" i="1"/>
  <c r="F3066" i="1"/>
  <c r="I3159" i="1"/>
  <c r="H3159" i="1"/>
  <c r="I3193" i="1"/>
  <c r="H3193" i="1"/>
  <c r="G3193" i="1"/>
  <c r="F3193" i="1"/>
  <c r="F3236" i="1"/>
  <c r="H3236" i="1"/>
  <c r="G3267" i="1"/>
  <c r="I3312" i="1"/>
  <c r="G3312" i="1"/>
  <c r="F3312" i="1"/>
  <c r="F3315" i="1"/>
  <c r="H3315" i="1"/>
  <c r="G3315" i="1"/>
  <c r="I3332" i="1"/>
  <c r="G3332" i="1"/>
  <c r="F3332" i="1"/>
  <c r="G1496" i="1"/>
  <c r="G1504" i="1"/>
  <c r="F1509" i="1"/>
  <c r="F1521" i="1"/>
  <c r="G1524" i="1"/>
  <c r="F1537" i="1"/>
  <c r="G1540" i="1"/>
  <c r="F1553" i="1"/>
  <c r="G1556" i="1"/>
  <c r="F1569" i="1"/>
  <c r="G1572" i="1"/>
  <c r="H1575" i="1"/>
  <c r="G1592" i="1"/>
  <c r="G1604" i="1"/>
  <c r="G1612" i="1"/>
  <c r="H1615" i="1"/>
  <c r="G1620" i="1"/>
  <c r="G1648" i="1"/>
  <c r="F1653" i="1"/>
  <c r="G1660" i="1"/>
  <c r="H1663" i="1"/>
  <c r="F1673" i="1"/>
  <c r="H1675" i="1"/>
  <c r="G1680" i="1"/>
  <c r="F1685" i="1"/>
  <c r="G1692" i="1"/>
  <c r="F1705" i="1"/>
  <c r="H1707" i="1"/>
  <c r="G1712" i="1"/>
  <c r="F1717" i="1"/>
  <c r="G1724" i="1"/>
  <c r="H1727" i="1"/>
  <c r="F1737" i="1"/>
  <c r="H1739" i="1"/>
  <c r="G1744" i="1"/>
  <c r="F1749" i="1"/>
  <c r="H1758" i="1"/>
  <c r="G1767" i="1"/>
  <c r="F1772" i="1"/>
  <c r="G1779" i="1"/>
  <c r="H1782" i="1"/>
  <c r="F1792" i="1"/>
  <c r="H1794" i="1"/>
  <c r="G1799" i="1"/>
  <c r="H1814" i="1"/>
  <c r="H1816" i="1"/>
  <c r="G1819" i="1"/>
  <c r="H1832" i="1"/>
  <c r="H1834" i="1"/>
  <c r="G1837" i="1"/>
  <c r="F1845" i="1"/>
  <c r="H1845" i="1"/>
  <c r="G1845" i="1"/>
  <c r="G1848" i="1"/>
  <c r="H1848" i="1"/>
  <c r="H1862" i="1"/>
  <c r="F1869" i="1"/>
  <c r="H1869" i="1"/>
  <c r="G1869" i="1"/>
  <c r="I1880" i="1"/>
  <c r="G1880" i="1"/>
  <c r="F1883" i="1"/>
  <c r="H1883" i="1"/>
  <c r="F1895" i="1"/>
  <c r="H1895" i="1"/>
  <c r="G1895" i="1"/>
  <c r="G1898" i="1"/>
  <c r="H1898" i="1"/>
  <c r="F1907" i="1"/>
  <c r="H1907" i="1"/>
  <c r="F1915" i="1"/>
  <c r="H1915" i="1"/>
  <c r="G1915" i="1"/>
  <c r="H1926" i="1"/>
  <c r="H1928" i="1"/>
  <c r="G1931" i="1"/>
  <c r="F1940" i="1"/>
  <c r="I1960" i="1"/>
  <c r="G1960" i="1"/>
  <c r="F1960" i="1"/>
  <c r="F1963" i="1"/>
  <c r="H1963" i="1"/>
  <c r="F1972" i="1"/>
  <c r="G1987" i="1"/>
  <c r="H1998" i="1"/>
  <c r="H2000" i="1"/>
  <c r="F2003" i="1"/>
  <c r="H2003" i="1"/>
  <c r="G2003" i="1"/>
  <c r="G2006" i="1"/>
  <c r="H2006" i="1"/>
  <c r="I2012" i="1"/>
  <c r="H2012" i="1"/>
  <c r="G2012" i="1"/>
  <c r="H2018" i="1"/>
  <c r="H2020" i="1"/>
  <c r="G2023" i="1"/>
  <c r="I2036" i="1"/>
  <c r="G2036" i="1"/>
  <c r="F2036" i="1"/>
  <c r="F2039" i="1"/>
  <c r="H2039" i="1"/>
  <c r="F2055" i="1"/>
  <c r="H2055" i="1"/>
  <c r="G2055" i="1"/>
  <c r="G2058" i="1"/>
  <c r="H2058" i="1"/>
  <c r="I2064" i="1"/>
  <c r="H2064" i="1"/>
  <c r="G2064" i="1"/>
  <c r="H2070" i="1"/>
  <c r="H2072" i="1"/>
  <c r="G2075" i="1"/>
  <c r="F2084" i="1"/>
  <c r="F2087" i="1"/>
  <c r="H2087" i="1"/>
  <c r="G2095" i="1"/>
  <c r="F2103" i="1"/>
  <c r="H2103" i="1"/>
  <c r="G2103" i="1"/>
  <c r="G2106" i="1"/>
  <c r="H2106" i="1"/>
  <c r="F2112" i="1"/>
  <c r="F2115" i="1"/>
  <c r="H2115" i="1"/>
  <c r="F2132" i="1"/>
  <c r="F2135" i="1"/>
  <c r="H2135" i="1"/>
  <c r="H2138" i="1"/>
  <c r="H2140" i="1"/>
  <c r="G2143" i="1"/>
  <c r="F2151" i="1"/>
  <c r="H2151" i="1"/>
  <c r="G2151" i="1"/>
  <c r="G2154" i="1"/>
  <c r="H2154" i="1"/>
  <c r="F2160" i="1"/>
  <c r="F2163" i="1"/>
  <c r="H2163" i="1"/>
  <c r="F2172" i="1"/>
  <c r="I2184" i="1"/>
  <c r="H2184" i="1"/>
  <c r="G2184" i="1"/>
  <c r="G2195" i="1"/>
  <c r="F2209" i="1"/>
  <c r="H2209" i="1"/>
  <c r="I2214" i="1"/>
  <c r="G2214" i="1"/>
  <c r="G2225" i="1"/>
  <c r="F2230" i="1"/>
  <c r="I2254" i="1"/>
  <c r="G2254" i="1"/>
  <c r="H2256" i="1"/>
  <c r="F2281" i="1"/>
  <c r="H2281" i="1"/>
  <c r="F2285" i="1"/>
  <c r="H2285" i="1"/>
  <c r="G2285" i="1"/>
  <c r="I2290" i="1"/>
  <c r="G2290" i="1"/>
  <c r="F2290" i="1"/>
  <c r="F2302" i="1"/>
  <c r="G2308" i="1"/>
  <c r="H2308" i="1"/>
  <c r="F2326" i="1"/>
  <c r="G2333" i="1"/>
  <c r="I2338" i="1"/>
  <c r="G2338" i="1"/>
  <c r="G2340" i="1"/>
  <c r="H2340" i="1"/>
  <c r="I2350" i="1"/>
  <c r="G2350" i="1"/>
  <c r="F2350" i="1"/>
  <c r="I2358" i="1"/>
  <c r="H2358" i="1"/>
  <c r="G2358" i="1"/>
  <c r="F2366" i="1"/>
  <c r="H2366" i="1"/>
  <c r="F2387" i="1"/>
  <c r="F2402" i="1"/>
  <c r="H2402" i="1"/>
  <c r="G2402" i="1"/>
  <c r="I2407" i="1"/>
  <c r="G2407" i="1"/>
  <c r="F2407" i="1"/>
  <c r="F2410" i="1"/>
  <c r="H2410" i="1"/>
  <c r="I2415" i="1"/>
  <c r="G2415" i="1"/>
  <c r="F2442" i="1"/>
  <c r="H2442" i="1"/>
  <c r="I2447" i="1"/>
  <c r="G2447" i="1"/>
  <c r="F2474" i="1"/>
  <c r="H2474" i="1"/>
  <c r="I2479" i="1"/>
  <c r="G2479" i="1"/>
  <c r="F2503" i="1"/>
  <c r="F2534" i="1"/>
  <c r="H2534" i="1"/>
  <c r="G2534" i="1"/>
  <c r="F2536" i="1"/>
  <c r="I2539" i="1"/>
  <c r="H2539" i="1"/>
  <c r="G2539" i="1"/>
  <c r="F2542" i="1"/>
  <c r="H2542" i="1"/>
  <c r="I2547" i="1"/>
  <c r="H2547" i="1"/>
  <c r="G2547" i="1"/>
  <c r="F2566" i="1"/>
  <c r="H2566" i="1"/>
  <c r="G2566" i="1"/>
  <c r="F2568" i="1"/>
  <c r="I2571" i="1"/>
  <c r="H2571" i="1"/>
  <c r="G2571" i="1"/>
  <c r="F2574" i="1"/>
  <c r="H2574" i="1"/>
  <c r="I2579" i="1"/>
  <c r="H2579" i="1"/>
  <c r="G2579" i="1"/>
  <c r="G2586" i="1"/>
  <c r="I2595" i="1"/>
  <c r="G2595" i="1"/>
  <c r="F2595" i="1"/>
  <c r="F2605" i="1"/>
  <c r="F2611" i="1"/>
  <c r="H2611" i="1"/>
  <c r="G2611" i="1"/>
  <c r="I2625" i="1"/>
  <c r="F2625" i="1"/>
  <c r="F2629" i="1"/>
  <c r="I2636" i="1"/>
  <c r="G2636" i="1"/>
  <c r="F2636" i="1"/>
  <c r="F2645" i="1"/>
  <c r="I2652" i="1"/>
  <c r="G2652" i="1"/>
  <c r="F2652" i="1"/>
  <c r="F2661" i="1"/>
  <c r="I2673" i="1"/>
  <c r="F2673" i="1"/>
  <c r="I2712" i="1"/>
  <c r="G2712" i="1"/>
  <c r="F2715" i="1"/>
  <c r="H2715" i="1"/>
  <c r="G2715" i="1"/>
  <c r="F2719" i="1"/>
  <c r="H2719" i="1"/>
  <c r="G2719" i="1"/>
  <c r="F2728" i="1"/>
  <c r="H2731" i="1"/>
  <c r="F2739" i="1"/>
  <c r="H2739" i="1"/>
  <c r="G2739" i="1"/>
  <c r="F2763" i="1"/>
  <c r="H2763" i="1"/>
  <c r="I2768" i="1"/>
  <c r="G2768" i="1"/>
  <c r="I2793" i="1"/>
  <c r="G2793" i="1"/>
  <c r="F2793" i="1"/>
  <c r="I2809" i="1"/>
  <c r="G2809" i="1"/>
  <c r="F2809" i="1"/>
  <c r="I2826" i="1"/>
  <c r="G2826" i="1"/>
  <c r="F2826" i="1"/>
  <c r="I2842" i="1"/>
  <c r="G2842" i="1"/>
  <c r="F2842" i="1"/>
  <c r="I2858" i="1"/>
  <c r="G2858" i="1"/>
  <c r="F2858" i="1"/>
  <c r="F2861" i="1"/>
  <c r="H2861" i="1"/>
  <c r="I2922" i="1"/>
  <c r="F2922" i="1"/>
  <c r="H2929" i="1"/>
  <c r="F2932" i="1"/>
  <c r="H2932" i="1"/>
  <c r="G2932" i="1"/>
  <c r="H2937" i="1"/>
  <c r="I2941" i="1"/>
  <c r="H2941" i="1"/>
  <c r="G2941" i="1"/>
  <c r="F2941" i="1"/>
  <c r="F2994" i="1"/>
  <c r="H2994" i="1"/>
  <c r="F3002" i="1"/>
  <c r="H3002" i="1"/>
  <c r="G3002" i="1"/>
  <c r="H3005" i="1"/>
  <c r="I3037" i="1"/>
  <c r="G3037" i="1"/>
  <c r="F3037" i="1"/>
  <c r="I3149" i="1"/>
  <c r="H3149" i="1"/>
  <c r="G3149" i="1"/>
  <c r="F3149" i="1"/>
  <c r="H1812" i="1"/>
  <c r="H1828" i="1"/>
  <c r="H1838" i="1"/>
  <c r="H1854" i="1"/>
  <c r="H1888" i="1"/>
  <c r="H1924" i="1"/>
  <c r="H1932" i="1"/>
  <c r="H1964" i="1"/>
  <c r="H1988" i="1"/>
  <c r="H1996" i="1"/>
  <c r="H2040" i="1"/>
  <c r="H2048" i="1"/>
  <c r="H2068" i="1"/>
  <c r="H2076" i="1"/>
  <c r="H2088" i="1"/>
  <c r="H2096" i="1"/>
  <c r="H2116" i="1"/>
  <c r="H2144" i="1"/>
  <c r="H2164" i="1"/>
  <c r="H2382" i="1"/>
  <c r="H2511" i="1"/>
  <c r="H2543" i="1"/>
  <c r="H2575" i="1"/>
  <c r="H2583" i="1"/>
  <c r="I2676" i="1"/>
  <c r="G2676" i="1"/>
  <c r="I2688" i="1"/>
  <c r="G2688" i="1"/>
  <c r="F2688" i="1"/>
  <c r="I2701" i="1"/>
  <c r="F2701" i="1"/>
  <c r="I2711" i="1"/>
  <c r="H2711" i="1"/>
  <c r="G2711" i="1"/>
  <c r="I2720" i="1"/>
  <c r="G2720" i="1"/>
  <c r="F2723" i="1"/>
  <c r="H2723" i="1"/>
  <c r="G2723" i="1"/>
  <c r="I2732" i="1"/>
  <c r="G2732" i="1"/>
  <c r="F2732" i="1"/>
  <c r="F2779" i="1"/>
  <c r="H2779" i="1"/>
  <c r="I2784" i="1"/>
  <c r="G2784" i="1"/>
  <c r="I2801" i="1"/>
  <c r="G2801" i="1"/>
  <c r="F2801" i="1"/>
  <c r="I2818" i="1"/>
  <c r="G2818" i="1"/>
  <c r="F2818" i="1"/>
  <c r="I2834" i="1"/>
  <c r="G2834" i="1"/>
  <c r="F2834" i="1"/>
  <c r="I2850" i="1"/>
  <c r="G2850" i="1"/>
  <c r="F2850" i="1"/>
  <c r="F2865" i="1"/>
  <c r="H2865" i="1"/>
  <c r="F2873" i="1"/>
  <c r="H2873" i="1"/>
  <c r="F2881" i="1"/>
  <c r="H2881" i="1"/>
  <c r="F2885" i="1"/>
  <c r="H2885" i="1"/>
  <c r="F2890" i="1"/>
  <c r="H2890" i="1"/>
  <c r="F2894" i="1"/>
  <c r="H2894" i="1"/>
  <c r="F2898" i="1"/>
  <c r="H2898" i="1"/>
  <c r="F2902" i="1"/>
  <c r="H2902" i="1"/>
  <c r="F2906" i="1"/>
  <c r="H2906" i="1"/>
  <c r="F2910" i="1"/>
  <c r="H2910" i="1"/>
  <c r="F2914" i="1"/>
  <c r="H2914" i="1"/>
  <c r="I2921" i="1"/>
  <c r="G2921" i="1"/>
  <c r="F2921" i="1"/>
  <c r="F2924" i="1"/>
  <c r="H2924" i="1"/>
  <c r="G2924" i="1"/>
  <c r="I2933" i="1"/>
  <c r="H2933" i="1"/>
  <c r="G2933" i="1"/>
  <c r="I2938" i="1"/>
  <c r="F2938" i="1"/>
  <c r="I2945" i="1"/>
  <c r="G2945" i="1"/>
  <c r="F2945" i="1"/>
  <c r="I2953" i="1"/>
  <c r="G2953" i="1"/>
  <c r="F2953" i="1"/>
  <c r="F2986" i="1"/>
  <c r="H2986" i="1"/>
  <c r="G3020" i="1"/>
  <c r="H3020" i="1"/>
  <c r="F3056" i="1"/>
  <c r="H3056" i="1"/>
  <c r="I3069" i="1"/>
  <c r="G3069" i="1"/>
  <c r="F3069" i="1"/>
  <c r="F3120" i="1"/>
  <c r="H3120" i="1"/>
  <c r="G3120" i="1"/>
  <c r="I3173" i="1"/>
  <c r="G3173" i="1"/>
  <c r="F3173" i="1"/>
  <c r="I3177" i="1"/>
  <c r="G3177" i="1"/>
  <c r="F3177" i="1"/>
  <c r="F3188" i="1"/>
  <c r="H3188" i="1"/>
  <c r="G3188" i="1"/>
  <c r="I3233" i="1"/>
  <c r="H3233" i="1"/>
  <c r="F3255" i="1"/>
  <c r="H3255" i="1"/>
  <c r="F3287" i="1"/>
  <c r="H3287" i="1"/>
  <c r="I3313" i="1"/>
  <c r="F3313" i="1"/>
  <c r="I3325" i="1"/>
  <c r="F3325" i="1"/>
  <c r="I3350" i="1"/>
  <c r="H3350" i="1"/>
  <c r="I3359" i="1"/>
  <c r="G3359" i="1"/>
  <c r="F3359" i="1"/>
  <c r="F3425" i="1"/>
  <c r="H3425" i="1"/>
  <c r="G3425" i="1"/>
  <c r="F3477" i="1"/>
  <c r="H3477" i="1"/>
  <c r="G3477" i="1"/>
  <c r="I3594" i="1"/>
  <c r="F3594" i="1"/>
  <c r="F3751" i="1"/>
  <c r="H3751" i="1"/>
  <c r="G3751" i="1"/>
  <c r="F1804" i="1"/>
  <c r="G1807" i="1"/>
  <c r="H1810" i="1"/>
  <c r="G1815" i="1"/>
  <c r="H1818" i="1"/>
  <c r="G1833" i="1"/>
  <c r="H1836" i="1"/>
  <c r="F1842" i="1"/>
  <c r="F1858" i="1"/>
  <c r="F1866" i="1"/>
  <c r="H1874" i="1"/>
  <c r="H1876" i="1"/>
  <c r="F1904" i="1"/>
  <c r="G1927" i="1"/>
  <c r="H1930" i="1"/>
  <c r="G1935" i="1"/>
  <c r="F1952" i="1"/>
  <c r="H1956" i="1"/>
  <c r="H1962" i="1"/>
  <c r="H1986" i="1"/>
  <c r="G1991" i="1"/>
  <c r="H1994" i="1"/>
  <c r="G1999" i="1"/>
  <c r="F2016" i="1"/>
  <c r="G2019" i="1"/>
  <c r="H2022" i="1"/>
  <c r="G2027" i="1"/>
  <c r="H2030" i="1"/>
  <c r="F2032" i="1"/>
  <c r="G2035" i="1"/>
  <c r="H2038" i="1"/>
  <c r="G2043" i="1"/>
  <c r="H2046" i="1"/>
  <c r="H2066" i="1"/>
  <c r="G2071" i="1"/>
  <c r="H2074" i="1"/>
  <c r="G2079" i="1"/>
  <c r="H2086" i="1"/>
  <c r="G2091" i="1"/>
  <c r="F2100" i="1"/>
  <c r="F2108" i="1"/>
  <c r="H2114" i="1"/>
  <c r="G2119" i="1"/>
  <c r="H2122" i="1"/>
  <c r="G2127" i="1"/>
  <c r="H2134" i="1"/>
  <c r="G2139" i="1"/>
  <c r="H2142" i="1"/>
  <c r="F2148" i="1"/>
  <c r="F2156" i="1"/>
  <c r="H2162" i="1"/>
  <c r="F2176" i="1"/>
  <c r="G2179" i="1"/>
  <c r="F2188" i="1"/>
  <c r="H2194" i="1"/>
  <c r="G2201" i="1"/>
  <c r="F2206" i="1"/>
  <c r="G2217" i="1"/>
  <c r="G2233" i="1"/>
  <c r="F2238" i="1"/>
  <c r="H2240" i="1"/>
  <c r="F2249" i="1"/>
  <c r="F2250" i="1"/>
  <c r="H2252" i="1"/>
  <c r="G2257" i="1"/>
  <c r="F2262" i="1"/>
  <c r="H2264" i="1"/>
  <c r="G2273" i="1"/>
  <c r="F2278" i="1"/>
  <c r="G2289" i="1"/>
  <c r="F2294" i="1"/>
  <c r="H2296" i="1"/>
  <c r="G2305" i="1"/>
  <c r="F2310" i="1"/>
  <c r="F2322" i="1"/>
  <c r="G2329" i="1"/>
  <c r="G2349" i="1"/>
  <c r="F2354" i="1"/>
  <c r="G2362" i="1"/>
  <c r="G2370" i="1"/>
  <c r="F2378" i="1"/>
  <c r="F2379" i="1"/>
  <c r="G2390" i="1"/>
  <c r="F2395" i="1"/>
  <c r="G2406" i="1"/>
  <c r="G2418" i="1"/>
  <c r="F2423" i="1"/>
  <c r="G2434" i="1"/>
  <c r="F2439" i="1"/>
  <c r="G2450" i="1"/>
  <c r="F2455" i="1"/>
  <c r="G2466" i="1"/>
  <c r="F2471" i="1"/>
  <c r="G2482" i="1"/>
  <c r="F2487" i="1"/>
  <c r="F2499" i="1"/>
  <c r="F2519" i="1"/>
  <c r="I2669" i="1"/>
  <c r="F2669" i="1"/>
  <c r="F2691" i="1"/>
  <c r="H2691" i="1"/>
  <c r="G2691" i="1"/>
  <c r="F2695" i="1"/>
  <c r="H2695" i="1"/>
  <c r="I2708" i="1"/>
  <c r="G2708" i="1"/>
  <c r="F2708" i="1"/>
  <c r="I2724" i="1"/>
  <c r="G2724" i="1"/>
  <c r="F2727" i="1"/>
  <c r="H2727" i="1"/>
  <c r="G2727" i="1"/>
  <c r="F2755" i="1"/>
  <c r="H2755" i="1"/>
  <c r="F2767" i="1"/>
  <c r="H2767" i="1"/>
  <c r="G2767" i="1"/>
  <c r="I2772" i="1"/>
  <c r="G2772" i="1"/>
  <c r="F2772" i="1"/>
  <c r="I2805" i="1"/>
  <c r="G2805" i="1"/>
  <c r="F2805" i="1"/>
  <c r="I2822" i="1"/>
  <c r="G2822" i="1"/>
  <c r="F2822" i="1"/>
  <c r="I2838" i="1"/>
  <c r="G2838" i="1"/>
  <c r="F2838" i="1"/>
  <c r="I2854" i="1"/>
  <c r="G2854" i="1"/>
  <c r="F2854" i="1"/>
  <c r="I2925" i="1"/>
  <c r="H2925" i="1"/>
  <c r="G2925" i="1"/>
  <c r="F2948" i="1"/>
  <c r="H2948" i="1"/>
  <c r="G2948" i="1"/>
  <c r="I2970" i="1"/>
  <c r="G2970" i="1"/>
  <c r="I2983" i="1"/>
  <c r="G2983" i="1"/>
  <c r="F2983" i="1"/>
  <c r="I2993" i="1"/>
  <c r="H2993" i="1"/>
  <c r="F3017" i="1"/>
  <c r="H3017" i="1"/>
  <c r="G3017" i="1"/>
  <c r="I3062" i="1"/>
  <c r="F3062" i="1"/>
  <c r="I3085" i="1"/>
  <c r="G3085" i="1"/>
  <c r="I3095" i="1"/>
  <c r="H3095" i="1"/>
  <c r="I3113" i="1"/>
  <c r="G3113" i="1"/>
  <c r="F3113" i="1"/>
  <c r="H3113" i="1"/>
  <c r="I3129" i="1"/>
  <c r="H3129" i="1"/>
  <c r="G3129" i="1"/>
  <c r="I3186" i="1"/>
  <c r="F3186" i="1"/>
  <c r="F3204" i="1"/>
  <c r="H3204" i="1"/>
  <c r="F3208" i="1"/>
  <c r="H3208" i="1"/>
  <c r="I3213" i="1"/>
  <c r="H3213" i="1"/>
  <c r="G3213" i="1"/>
  <c r="I3223" i="1"/>
  <c r="H3223" i="1"/>
  <c r="I3245" i="1"/>
  <c r="G3245" i="1"/>
  <c r="F3245" i="1"/>
  <c r="H3245" i="1"/>
  <c r="F3351" i="1"/>
  <c r="H3351" i="1"/>
  <c r="G3351" i="1"/>
  <c r="F3393" i="1"/>
  <c r="H3393" i="1"/>
  <c r="I3402" i="1"/>
  <c r="G3402" i="1"/>
  <c r="I3410" i="1"/>
  <c r="G3410" i="1"/>
  <c r="I3412" i="1"/>
  <c r="H3412" i="1"/>
  <c r="I3426" i="1"/>
  <c r="G3426" i="1"/>
  <c r="F3426" i="1"/>
  <c r="I3454" i="1"/>
  <c r="G3454" i="1"/>
  <c r="F3454" i="1"/>
  <c r="I3585" i="1"/>
  <c r="G3585" i="1"/>
  <c r="I3673" i="1"/>
  <c r="G3673" i="1"/>
  <c r="F3673" i="1"/>
  <c r="H3673" i="1"/>
  <c r="H2866" i="1"/>
  <c r="H2874" i="1"/>
  <c r="I3009" i="1"/>
  <c r="H3009" i="1"/>
  <c r="I3018" i="1"/>
  <c r="H3018" i="1"/>
  <c r="G3018" i="1"/>
  <c r="I3025" i="1"/>
  <c r="G3025" i="1"/>
  <c r="F3025" i="1"/>
  <c r="I3029" i="1"/>
  <c r="G3029" i="1"/>
  <c r="F3029" i="1"/>
  <c r="I3033" i="1"/>
  <c r="G3033" i="1"/>
  <c r="F3033" i="1"/>
  <c r="F3040" i="1"/>
  <c r="H3040" i="1"/>
  <c r="I3053" i="1"/>
  <c r="G3053" i="1"/>
  <c r="I3081" i="1"/>
  <c r="G3081" i="1"/>
  <c r="F3081" i="1"/>
  <c r="F3088" i="1"/>
  <c r="H3088" i="1"/>
  <c r="I3105" i="1"/>
  <c r="G3105" i="1"/>
  <c r="F3105" i="1"/>
  <c r="I3121" i="1"/>
  <c r="H3121" i="1"/>
  <c r="G3121" i="1"/>
  <c r="I3133" i="1"/>
  <c r="G3133" i="1"/>
  <c r="F3133" i="1"/>
  <c r="F3136" i="1"/>
  <c r="H3136" i="1"/>
  <c r="F3184" i="1"/>
  <c r="H3184" i="1"/>
  <c r="G3184" i="1"/>
  <c r="I3189" i="1"/>
  <c r="H3189" i="1"/>
  <c r="G3189" i="1"/>
  <c r="F3259" i="1"/>
  <c r="H3259" i="1"/>
  <c r="F3275" i="1"/>
  <c r="H3275" i="1"/>
  <c r="F3295" i="1"/>
  <c r="H3295" i="1"/>
  <c r="I3302" i="1"/>
  <c r="G3302" i="1"/>
  <c r="F3302" i="1"/>
  <c r="I3309" i="1"/>
  <c r="F3309" i="1"/>
  <c r="I3316" i="1"/>
  <c r="G3316" i="1"/>
  <c r="I3328" i="1"/>
  <c r="G3328" i="1"/>
  <c r="F3328" i="1"/>
  <c r="I3338" i="1"/>
  <c r="G3338" i="1"/>
  <c r="F3343" i="1"/>
  <c r="H3343" i="1"/>
  <c r="I3348" i="1"/>
  <c r="G3348" i="1"/>
  <c r="F3348" i="1"/>
  <c r="I3382" i="1"/>
  <c r="G3382" i="1"/>
  <c r="F3382" i="1"/>
  <c r="I3442" i="1"/>
  <c r="G3442" i="1"/>
  <c r="F3442" i="1"/>
  <c r="I3468" i="1"/>
  <c r="H3468" i="1"/>
  <c r="I3474" i="1"/>
  <c r="G3474" i="1"/>
  <c r="F3474" i="1"/>
  <c r="I3486" i="1"/>
  <c r="G3486" i="1"/>
  <c r="F3486" i="1"/>
  <c r="I3550" i="1"/>
  <c r="G3550" i="1"/>
  <c r="I3552" i="1"/>
  <c r="H3552" i="1"/>
  <c r="F3570" i="1"/>
  <c r="H3570" i="1"/>
  <c r="G3570" i="1"/>
  <c r="I3575" i="1"/>
  <c r="G3575" i="1"/>
  <c r="F3575" i="1"/>
  <c r="I3597" i="1"/>
  <c r="G3597" i="1"/>
  <c r="F3597" i="1"/>
  <c r="I3641" i="1"/>
  <c r="G3641" i="1"/>
  <c r="F3641" i="1"/>
  <c r="F3652" i="1"/>
  <c r="H3652" i="1"/>
  <c r="G3652" i="1"/>
  <c r="I3655" i="1"/>
  <c r="H3655" i="1"/>
  <c r="F3660" i="1"/>
  <c r="H3660" i="1"/>
  <c r="G3660" i="1"/>
  <c r="F3763" i="1"/>
  <c r="H3763" i="1"/>
  <c r="G3763" i="1"/>
  <c r="I3785" i="1"/>
  <c r="F3785" i="1"/>
  <c r="F2668" i="1"/>
  <c r="G2671" i="1"/>
  <c r="F2684" i="1"/>
  <c r="G2687" i="1"/>
  <c r="F2736" i="1"/>
  <c r="G2747" i="1"/>
  <c r="F2752" i="1"/>
  <c r="F2760" i="1"/>
  <c r="G2771" i="1"/>
  <c r="F2776" i="1"/>
  <c r="G2787" i="1"/>
  <c r="G2792" i="1"/>
  <c r="G2796" i="1"/>
  <c r="G2800" i="1"/>
  <c r="G2804" i="1"/>
  <c r="G2808" i="1"/>
  <c r="G2812" i="1"/>
  <c r="G2817" i="1"/>
  <c r="G2821" i="1"/>
  <c r="G2825" i="1"/>
  <c r="G2829" i="1"/>
  <c r="G2833" i="1"/>
  <c r="G2837" i="1"/>
  <c r="G2841" i="1"/>
  <c r="G2845" i="1"/>
  <c r="G2849" i="1"/>
  <c r="G2853" i="1"/>
  <c r="G2857" i="1"/>
  <c r="F2870" i="1"/>
  <c r="G2916" i="1"/>
  <c r="G2920" i="1"/>
  <c r="G2928" i="1"/>
  <c r="G2936" i="1"/>
  <c r="G2944" i="1"/>
  <c r="G2952" i="1"/>
  <c r="F2973" i="1"/>
  <c r="F2974" i="1"/>
  <c r="F2977" i="1"/>
  <c r="F2978" i="1"/>
  <c r="G2982" i="1"/>
  <c r="G2990" i="1"/>
  <c r="F2999" i="1"/>
  <c r="F3007" i="1"/>
  <c r="F3010" i="1"/>
  <c r="H3010" i="1"/>
  <c r="F3018" i="1"/>
  <c r="F3036" i="1"/>
  <c r="H3036" i="1"/>
  <c r="G3036" i="1"/>
  <c r="G3040" i="1"/>
  <c r="I3046" i="1"/>
  <c r="F3046" i="1"/>
  <c r="F3053" i="1"/>
  <c r="I3065" i="1"/>
  <c r="G3065" i="1"/>
  <c r="F3065" i="1"/>
  <c r="F3084" i="1"/>
  <c r="H3084" i="1"/>
  <c r="G3084" i="1"/>
  <c r="G3088" i="1"/>
  <c r="F3100" i="1"/>
  <c r="H3100" i="1"/>
  <c r="H3105" i="1"/>
  <c r="F3121" i="1"/>
  <c r="F3128" i="1"/>
  <c r="H3128" i="1"/>
  <c r="G3128" i="1"/>
  <c r="H3133" i="1"/>
  <c r="G3136" i="1"/>
  <c r="I3143" i="1"/>
  <c r="H3143" i="1"/>
  <c r="F3148" i="1"/>
  <c r="H3148" i="1"/>
  <c r="G3148" i="1"/>
  <c r="F3164" i="1"/>
  <c r="H3164" i="1"/>
  <c r="I3170" i="1"/>
  <c r="F3170" i="1"/>
  <c r="I3185" i="1"/>
  <c r="H3185" i="1"/>
  <c r="G3185" i="1"/>
  <c r="F3189" i="1"/>
  <c r="I3197" i="1"/>
  <c r="G3197" i="1"/>
  <c r="F3197" i="1"/>
  <c r="F3200" i="1"/>
  <c r="H3200" i="1"/>
  <c r="I3207" i="1"/>
  <c r="H3207" i="1"/>
  <c r="F3212" i="1"/>
  <c r="H3212" i="1"/>
  <c r="G3212" i="1"/>
  <c r="F3228" i="1"/>
  <c r="H3228" i="1"/>
  <c r="H3240" i="1"/>
  <c r="F3271" i="1"/>
  <c r="H3271" i="1"/>
  <c r="G3275" i="1"/>
  <c r="F3291" i="1"/>
  <c r="H3291" i="1"/>
  <c r="G3295" i="1"/>
  <c r="F3303" i="1"/>
  <c r="H3303" i="1"/>
  <c r="F3316" i="1"/>
  <c r="F3331" i="1"/>
  <c r="H3331" i="1"/>
  <c r="G3331" i="1"/>
  <c r="F3335" i="1"/>
  <c r="H3335" i="1"/>
  <c r="F3338" i="1"/>
  <c r="G3343" i="1"/>
  <c r="F3362" i="1"/>
  <c r="H3362" i="1"/>
  <c r="G3362" i="1"/>
  <c r="F3370" i="1"/>
  <c r="H3370" i="1"/>
  <c r="G3370" i="1"/>
  <c r="I3392" i="1"/>
  <c r="H3392" i="1"/>
  <c r="F3401" i="1"/>
  <c r="H3401" i="1"/>
  <c r="G3401" i="1"/>
  <c r="F3409" i="1"/>
  <c r="H3409" i="1"/>
  <c r="G3409" i="1"/>
  <c r="I3435" i="1"/>
  <c r="F3435" i="1"/>
  <c r="I3438" i="1"/>
  <c r="G3438" i="1"/>
  <c r="F3438" i="1"/>
  <c r="I3448" i="1"/>
  <c r="H3448" i="1"/>
  <c r="F3533" i="1"/>
  <c r="H3533" i="1"/>
  <c r="F3550" i="1"/>
  <c r="I3553" i="1"/>
  <c r="H3553" i="1"/>
  <c r="G3553" i="1"/>
  <c r="F3553" i="1"/>
  <c r="H3641" i="1"/>
  <c r="I3650" i="1"/>
  <c r="F3650" i="1"/>
  <c r="H3092" i="1"/>
  <c r="H3137" i="1"/>
  <c r="H3141" i="1"/>
  <c r="H3145" i="1"/>
  <c r="H3165" i="1"/>
  <c r="H3201" i="1"/>
  <c r="H3205" i="1"/>
  <c r="H3209" i="1"/>
  <c r="H3229" i="1"/>
  <c r="F3417" i="1"/>
  <c r="H3417" i="1"/>
  <c r="G3417" i="1"/>
  <c r="I3441" i="1"/>
  <c r="G3441" i="1"/>
  <c r="F3441" i="1"/>
  <c r="I3444" i="1"/>
  <c r="H3444" i="1"/>
  <c r="F3469" i="1"/>
  <c r="H3469" i="1"/>
  <c r="F3493" i="1"/>
  <c r="H3493" i="1"/>
  <c r="G3493" i="1"/>
  <c r="F3505" i="1"/>
  <c r="H3505" i="1"/>
  <c r="F3513" i="1"/>
  <c r="H3513" i="1"/>
  <c r="G3513" i="1"/>
  <c r="F3566" i="1"/>
  <c r="H3566" i="1"/>
  <c r="I3571" i="1"/>
  <c r="G3571" i="1"/>
  <c r="I3609" i="1"/>
  <c r="G3609" i="1"/>
  <c r="F3609" i="1"/>
  <c r="I3622" i="1"/>
  <c r="F3622" i="1"/>
  <c r="I3629" i="1"/>
  <c r="G3629" i="1"/>
  <c r="F3648" i="1"/>
  <c r="H3648" i="1"/>
  <c r="G3648" i="1"/>
  <c r="I3653" i="1"/>
  <c r="H3653" i="1"/>
  <c r="G3653" i="1"/>
  <c r="F3656" i="1"/>
  <c r="H3656" i="1"/>
  <c r="I3661" i="1"/>
  <c r="H3661" i="1"/>
  <c r="G3661" i="1"/>
  <c r="I3677" i="1"/>
  <c r="H3677" i="1"/>
  <c r="G3677" i="1"/>
  <c r="F3677" i="1"/>
  <c r="I3792" i="1"/>
  <c r="G3792" i="1"/>
  <c r="F3792" i="1"/>
  <c r="F3795" i="1"/>
  <c r="H3795" i="1"/>
  <c r="G3795" i="1"/>
  <c r="F3844" i="1"/>
  <c r="H3844" i="1"/>
  <c r="G3844" i="1"/>
  <c r="F3884" i="1"/>
  <c r="H3884" i="1"/>
  <c r="I3902" i="1"/>
  <c r="F3902" i="1"/>
  <c r="I3952" i="1"/>
  <c r="F3952" i="1"/>
  <c r="G3024" i="1"/>
  <c r="G3028" i="1"/>
  <c r="G3032" i="1"/>
  <c r="F3045" i="1"/>
  <c r="G3048" i="1"/>
  <c r="F3061" i="1"/>
  <c r="F3077" i="1"/>
  <c r="G3080" i="1"/>
  <c r="F3097" i="1"/>
  <c r="G3104" i="1"/>
  <c r="G3108" i="1"/>
  <c r="G3112" i="1"/>
  <c r="F3117" i="1"/>
  <c r="G3132" i="1"/>
  <c r="F3161" i="1"/>
  <c r="G3168" i="1"/>
  <c r="G3172" i="1"/>
  <c r="G3176" i="1"/>
  <c r="G3196" i="1"/>
  <c r="F3217" i="1"/>
  <c r="F3221" i="1"/>
  <c r="F3225" i="1"/>
  <c r="H3237" i="1"/>
  <c r="H3241" i="1"/>
  <c r="G3244" i="1"/>
  <c r="I3418" i="1"/>
  <c r="G3418" i="1"/>
  <c r="F3429" i="1"/>
  <c r="H3429" i="1"/>
  <c r="F3445" i="1"/>
  <c r="H3445" i="1"/>
  <c r="F3453" i="1"/>
  <c r="H3453" i="1"/>
  <c r="G3453" i="1"/>
  <c r="I3466" i="1"/>
  <c r="G3466" i="1"/>
  <c r="F3466" i="1"/>
  <c r="I3476" i="1"/>
  <c r="H3476" i="1"/>
  <c r="I3494" i="1"/>
  <c r="G3494" i="1"/>
  <c r="I3496" i="1"/>
  <c r="H3496" i="1"/>
  <c r="I3502" i="1"/>
  <c r="G3502" i="1"/>
  <c r="F3502" i="1"/>
  <c r="I3514" i="1"/>
  <c r="G3514" i="1"/>
  <c r="I3537" i="1"/>
  <c r="H3537" i="1"/>
  <c r="G3537" i="1"/>
  <c r="I3543" i="1"/>
  <c r="F3543" i="1"/>
  <c r="F3549" i="1"/>
  <c r="H3549" i="1"/>
  <c r="G3549" i="1"/>
  <c r="I3554" i="1"/>
  <c r="G3554" i="1"/>
  <c r="I3584" i="1"/>
  <c r="H3584" i="1"/>
  <c r="G3584" i="1"/>
  <c r="I3593" i="1"/>
  <c r="G3593" i="1"/>
  <c r="F3593" i="1"/>
  <c r="F3612" i="1"/>
  <c r="H3612" i="1"/>
  <c r="G3612" i="1"/>
  <c r="F3616" i="1"/>
  <c r="H3616" i="1"/>
  <c r="I3649" i="1"/>
  <c r="H3649" i="1"/>
  <c r="G3649" i="1"/>
  <c r="I3776" i="1"/>
  <c r="G3776" i="1"/>
  <c r="F3776" i="1"/>
  <c r="F3779" i="1"/>
  <c r="H3779" i="1"/>
  <c r="G3779" i="1"/>
  <c r="F3840" i="1"/>
  <c r="H3840" i="1"/>
  <c r="G3840" i="1"/>
  <c r="F3872" i="1"/>
  <c r="H3872" i="1"/>
  <c r="G3872" i="1"/>
  <c r="F3876" i="1"/>
  <c r="H3876" i="1"/>
  <c r="G3876" i="1"/>
  <c r="I3889" i="1"/>
  <c r="G3889" i="1"/>
  <c r="F3889" i="1"/>
  <c r="H3889" i="1"/>
  <c r="G3926" i="1"/>
  <c r="H3926" i="1"/>
  <c r="I3932" i="1"/>
  <c r="F3932" i="1"/>
  <c r="H3657" i="1"/>
  <c r="I3689" i="1"/>
  <c r="G3689" i="1"/>
  <c r="F3689" i="1"/>
  <c r="I3697" i="1"/>
  <c r="G3697" i="1"/>
  <c r="F3697" i="1"/>
  <c r="F3759" i="1"/>
  <c r="H3759" i="1"/>
  <c r="I3816" i="1"/>
  <c r="G3816" i="1"/>
  <c r="F3816" i="1"/>
  <c r="F3819" i="1"/>
  <c r="H3819" i="1"/>
  <c r="I3845" i="1"/>
  <c r="G3845" i="1"/>
  <c r="F3848" i="1"/>
  <c r="H3848" i="1"/>
  <c r="G3848" i="1"/>
  <c r="I3857" i="1"/>
  <c r="G3857" i="1"/>
  <c r="I3877" i="1"/>
  <c r="H3877" i="1"/>
  <c r="I3893" i="1"/>
  <c r="G3893" i="1"/>
  <c r="F3893" i="1"/>
  <c r="F3900" i="1"/>
  <c r="H3900" i="1"/>
  <c r="G3900" i="1"/>
  <c r="I3905" i="1"/>
  <c r="H3905" i="1"/>
  <c r="G3905" i="1"/>
  <c r="F3955" i="1"/>
  <c r="G3955" i="1"/>
  <c r="I3964" i="1"/>
  <c r="F3964" i="1"/>
  <c r="I3978" i="1"/>
  <c r="G3978" i="1"/>
  <c r="F3978" i="1"/>
  <c r="I3983" i="1"/>
  <c r="G3983" i="1"/>
  <c r="F3983" i="1"/>
  <c r="I3988" i="1"/>
  <c r="F3988" i="1"/>
  <c r="F3422" i="1"/>
  <c r="F3424" i="1"/>
  <c r="F3434" i="1"/>
  <c r="G3437" i="1"/>
  <c r="F3450" i="1"/>
  <c r="F3458" i="1"/>
  <c r="F3462" i="1"/>
  <c r="G3465" i="1"/>
  <c r="G3473" i="1"/>
  <c r="F3482" i="1"/>
  <c r="F3490" i="1"/>
  <c r="G3501" i="1"/>
  <c r="G3509" i="1"/>
  <c r="F3518" i="1"/>
  <c r="F3522" i="1"/>
  <c r="F3526" i="1"/>
  <c r="F3541" i="1"/>
  <c r="F3542" i="1"/>
  <c r="F3545" i="1"/>
  <c r="G3574" i="1"/>
  <c r="G3592" i="1"/>
  <c r="F3605" i="1"/>
  <c r="G3608" i="1"/>
  <c r="F3676" i="1"/>
  <c r="G3676" i="1"/>
  <c r="I3701" i="1"/>
  <c r="G3701" i="1"/>
  <c r="F3701" i="1"/>
  <c r="F3755" i="1"/>
  <c r="H3755" i="1"/>
  <c r="I3768" i="1"/>
  <c r="G3768" i="1"/>
  <c r="F3768" i="1"/>
  <c r="F3771" i="1"/>
  <c r="H3771" i="1"/>
  <c r="I3784" i="1"/>
  <c r="G3784" i="1"/>
  <c r="F3784" i="1"/>
  <c r="F3787" i="1"/>
  <c r="H3787" i="1"/>
  <c r="I3800" i="1"/>
  <c r="G3800" i="1"/>
  <c r="F3800" i="1"/>
  <c r="F3803" i="1"/>
  <c r="H3803" i="1"/>
  <c r="I3809" i="1"/>
  <c r="F3809" i="1"/>
  <c r="I3825" i="1"/>
  <c r="F3825" i="1"/>
  <c r="I3832" i="1"/>
  <c r="G3832" i="1"/>
  <c r="F3832" i="1"/>
  <c r="I3849" i="1"/>
  <c r="H3849" i="1"/>
  <c r="G3849" i="1"/>
  <c r="I3886" i="1"/>
  <c r="F3886" i="1"/>
  <c r="I3901" i="1"/>
  <c r="H3901" i="1"/>
  <c r="G3901" i="1"/>
  <c r="I3913" i="1"/>
  <c r="G3913" i="1"/>
  <c r="F3913" i="1"/>
  <c r="F3916" i="1"/>
  <c r="H3916" i="1"/>
  <c r="I3928" i="1"/>
  <c r="F3928" i="1"/>
  <c r="G3962" i="1"/>
  <c r="H3962" i="1"/>
  <c r="H3820" i="1"/>
  <c r="H3917" i="1"/>
  <c r="G4003" i="1"/>
  <c r="G3688" i="1"/>
  <c r="G3696" i="1"/>
  <c r="G3700" i="1"/>
  <c r="F3705" i="1"/>
  <c r="F3713" i="1"/>
  <c r="F3717" i="1"/>
  <c r="F3720" i="1"/>
  <c r="F3724" i="1"/>
  <c r="F3732" i="1"/>
  <c r="F3736" i="1"/>
  <c r="F3740" i="1"/>
  <c r="F3744" i="1"/>
  <c r="G3775" i="1"/>
  <c r="G3783" i="1"/>
  <c r="G3791" i="1"/>
  <c r="G3799" i="1"/>
  <c r="G3807" i="1"/>
  <c r="F3812" i="1"/>
  <c r="G3815" i="1"/>
  <c r="G3831" i="1"/>
  <c r="F3836" i="1"/>
  <c r="F3853" i="1"/>
  <c r="I3870" i="1"/>
  <c r="F3881" i="1"/>
  <c r="F3897" i="1"/>
  <c r="G3912" i="1"/>
  <c r="H3922" i="1"/>
  <c r="F3924" i="1"/>
  <c r="F3936" i="1"/>
  <c r="G3943" i="1"/>
  <c r="G3951" i="1"/>
  <c r="H3958" i="1"/>
  <c r="F3960" i="1"/>
  <c r="H3974" i="1"/>
  <c r="F3976" i="1"/>
  <c r="F3987" i="1"/>
  <c r="F4004" i="1"/>
  <c r="H3520" i="1"/>
  <c r="H3521" i="1"/>
  <c r="G3719" i="1"/>
  <c r="G1903" i="1"/>
  <c r="F1912" i="1"/>
  <c r="F1920" i="1"/>
  <c r="G1923" i="1"/>
  <c r="H1903" i="1"/>
  <c r="H1904" i="1"/>
  <c r="H1906" i="1"/>
  <c r="G1911" i="1"/>
  <c r="G1912" i="1"/>
  <c r="H1914" i="1"/>
  <c r="G1919" i="1"/>
  <c r="G1920" i="1"/>
  <c r="H1923" i="1"/>
  <c r="F1908" i="1"/>
  <c r="H1911" i="1"/>
  <c r="H1912" i="1"/>
  <c r="F1916" i="1"/>
  <c r="H1919" i="1"/>
  <c r="H1920" i="1"/>
  <c r="H1922" i="1"/>
  <c r="F2756" i="1"/>
  <c r="G2756" i="1"/>
  <c r="F3559" i="1"/>
  <c r="G3558" i="1"/>
  <c r="G3559" i="1"/>
  <c r="F3563" i="1"/>
  <c r="H3558" i="1"/>
  <c r="G3562" i="1"/>
  <c r="G3563" i="1"/>
  <c r="G1879" i="1"/>
  <c r="H1882" i="1"/>
  <c r="F1876" i="1"/>
  <c r="H1879" i="1"/>
  <c r="H1880" i="1"/>
  <c r="F1884" i="1"/>
  <c r="G1875" i="1"/>
  <c r="G1876" i="1"/>
  <c r="G1883" i="1"/>
  <c r="G1884" i="1"/>
  <c r="F3233" i="1"/>
  <c r="F3234" i="1"/>
  <c r="F3237" i="1"/>
  <c r="F3241" i="1"/>
  <c r="F3252" i="1"/>
  <c r="F3256" i="1"/>
  <c r="F3260" i="1"/>
  <c r="F3264" i="1"/>
  <c r="G3232" i="1"/>
  <c r="G3233" i="1"/>
  <c r="G3236" i="1"/>
  <c r="G3237" i="1"/>
  <c r="G3240" i="1"/>
  <c r="G3241" i="1"/>
  <c r="G3251" i="1"/>
  <c r="G3252" i="1"/>
  <c r="G3255" i="1"/>
  <c r="G3256" i="1"/>
  <c r="G3259" i="1"/>
  <c r="G3260" i="1"/>
  <c r="G3264" i="1"/>
  <c r="G3939" i="1"/>
  <c r="H3946" i="1"/>
  <c r="G3935" i="1"/>
  <c r="H3942" i="1"/>
  <c r="F3944" i="1"/>
  <c r="H3938" i="1"/>
  <c r="F3940" i="1"/>
  <c r="H1820" i="1"/>
  <c r="H1822" i="1"/>
  <c r="G1827" i="1"/>
  <c r="H1827" i="1"/>
  <c r="F1820" i="1"/>
  <c r="G1823" i="1"/>
  <c r="G1824" i="1"/>
  <c r="H1826" i="1"/>
  <c r="H1852" i="1"/>
  <c r="G1861" i="1"/>
  <c r="H1864" i="1"/>
  <c r="H1861" i="1"/>
  <c r="H1860" i="1"/>
  <c r="H3460" i="1"/>
  <c r="H2031" i="1"/>
  <c r="G3276" i="1"/>
  <c r="G3856" i="1"/>
  <c r="G3860" i="1"/>
  <c r="F3865" i="1"/>
  <c r="H3875" i="1"/>
  <c r="G3880" i="1"/>
  <c r="H3856" i="1"/>
  <c r="H3857" i="1"/>
  <c r="H3859" i="1"/>
  <c r="H3860" i="1"/>
  <c r="H3861" i="1"/>
  <c r="G3864" i="1"/>
  <c r="G3865" i="1"/>
  <c r="H3880" i="1"/>
  <c r="F3885" i="1"/>
  <c r="H3864" i="1"/>
  <c r="H3865" i="1"/>
  <c r="F3869" i="1"/>
  <c r="F3873" i="1"/>
  <c r="F3877" i="1"/>
  <c r="G3884" i="1"/>
  <c r="G3885" i="1"/>
  <c r="H983" i="1"/>
  <c r="G983" i="1"/>
  <c r="F983" i="1"/>
  <c r="H1031" i="1"/>
  <c r="G1031" i="1"/>
  <c r="F1031" i="1"/>
  <c r="H1111" i="1"/>
  <c r="G1111" i="1"/>
  <c r="F1111" i="1"/>
  <c r="H1181" i="1"/>
  <c r="F1181" i="1"/>
  <c r="I1181" i="1"/>
  <c r="G1181" i="1"/>
  <c r="H1197" i="1"/>
  <c r="F1197" i="1"/>
  <c r="I1197" i="1"/>
  <c r="G1197" i="1"/>
  <c r="H1213" i="1"/>
  <c r="F1213" i="1"/>
  <c r="I1213" i="1"/>
  <c r="G1213" i="1"/>
  <c r="F1235" i="1"/>
  <c r="H1235" i="1"/>
  <c r="I1235" i="1"/>
  <c r="G1235" i="1"/>
  <c r="F1251" i="1"/>
  <c r="H1251" i="1"/>
  <c r="I1251" i="1"/>
  <c r="G1251" i="1"/>
  <c r="F1267" i="1"/>
  <c r="H1267" i="1"/>
  <c r="I1267" i="1"/>
  <c r="G1267" i="1"/>
  <c r="H1317" i="1"/>
  <c r="G1317" i="1"/>
  <c r="F1317" i="1"/>
  <c r="I1317" i="1"/>
  <c r="H1333" i="1"/>
  <c r="G1333" i="1"/>
  <c r="F1333" i="1"/>
  <c r="I1333" i="1"/>
  <c r="H1777" i="1"/>
  <c r="G1777" i="1"/>
  <c r="F1777" i="1"/>
  <c r="I1777" i="1"/>
  <c r="H1981" i="1"/>
  <c r="G1981" i="1"/>
  <c r="F1981" i="1"/>
  <c r="I1981" i="1"/>
  <c r="H2045" i="1"/>
  <c r="G2045" i="1"/>
  <c r="F2045" i="1"/>
  <c r="I2045" i="1"/>
  <c r="H2295" i="1"/>
  <c r="G2295" i="1"/>
  <c r="F2295" i="1"/>
  <c r="I2295" i="1"/>
  <c r="H2992" i="1"/>
  <c r="G2992" i="1"/>
  <c r="I2992" i="1"/>
  <c r="F2992" i="1"/>
  <c r="H3957" i="1"/>
  <c r="G3957" i="1"/>
  <c r="F3957" i="1"/>
  <c r="I3957" i="1"/>
  <c r="H3973" i="1"/>
  <c r="G3973" i="1"/>
  <c r="F3973" i="1"/>
  <c r="I3973" i="1"/>
  <c r="F11" i="1"/>
  <c r="I12" i="1"/>
  <c r="F19" i="1"/>
  <c r="I32" i="1"/>
  <c r="F35" i="1"/>
  <c r="I36" i="1"/>
  <c r="F39" i="1"/>
  <c r="I40" i="1"/>
  <c r="F43" i="1"/>
  <c r="I44" i="1"/>
  <c r="F47" i="1"/>
  <c r="I48" i="1"/>
  <c r="F51" i="1"/>
  <c r="I52" i="1"/>
  <c r="F55" i="1"/>
  <c r="I56" i="1"/>
  <c r="F59" i="1"/>
  <c r="I60" i="1"/>
  <c r="F63" i="1"/>
  <c r="I64" i="1"/>
  <c r="F67" i="1"/>
  <c r="I68" i="1"/>
  <c r="F71" i="1"/>
  <c r="I72" i="1"/>
  <c r="F75" i="1"/>
  <c r="I76" i="1"/>
  <c r="F79" i="1"/>
  <c r="I80" i="1"/>
  <c r="F83" i="1"/>
  <c r="I84" i="1"/>
  <c r="F87" i="1"/>
  <c r="I88" i="1"/>
  <c r="F91" i="1"/>
  <c r="I92" i="1"/>
  <c r="F95" i="1"/>
  <c r="I96" i="1"/>
  <c r="F99" i="1"/>
  <c r="I100" i="1"/>
  <c r="F103" i="1"/>
  <c r="I104" i="1"/>
  <c r="F107" i="1"/>
  <c r="I108" i="1"/>
  <c r="F111" i="1"/>
  <c r="I112" i="1"/>
  <c r="F115" i="1"/>
  <c r="I116" i="1"/>
  <c r="F119" i="1"/>
  <c r="I120" i="1"/>
  <c r="F123" i="1"/>
  <c r="I124" i="1"/>
  <c r="F127" i="1"/>
  <c r="I128" i="1"/>
  <c r="F131" i="1"/>
  <c r="I132" i="1"/>
  <c r="F135" i="1"/>
  <c r="I136" i="1"/>
  <c r="F139" i="1"/>
  <c r="I140" i="1"/>
  <c r="F143" i="1"/>
  <c r="G144" i="1"/>
  <c r="I144" i="1"/>
  <c r="G145" i="1"/>
  <c r="H147" i="1"/>
  <c r="G147" i="1"/>
  <c r="F147" i="1"/>
  <c r="H151" i="1"/>
  <c r="G151" i="1"/>
  <c r="F151" i="1"/>
  <c r="H155" i="1"/>
  <c r="G155" i="1"/>
  <c r="F155" i="1"/>
  <c r="H159" i="1"/>
  <c r="G159" i="1"/>
  <c r="F159" i="1"/>
  <c r="H175" i="1"/>
  <c r="G175" i="1"/>
  <c r="F175" i="1"/>
  <c r="H179" i="1"/>
  <c r="G179" i="1"/>
  <c r="F179" i="1"/>
  <c r="H183" i="1"/>
  <c r="G183" i="1"/>
  <c r="F183" i="1"/>
  <c r="H187" i="1"/>
  <c r="G187" i="1"/>
  <c r="F187" i="1"/>
  <c r="H191" i="1"/>
  <c r="G191" i="1"/>
  <c r="F191" i="1"/>
  <c r="H195" i="1"/>
  <c r="G195" i="1"/>
  <c r="F195" i="1"/>
  <c r="H199" i="1"/>
  <c r="G199" i="1"/>
  <c r="F199" i="1"/>
  <c r="H203" i="1"/>
  <c r="G203" i="1"/>
  <c r="F203" i="1"/>
  <c r="H207" i="1"/>
  <c r="G207" i="1"/>
  <c r="F207" i="1"/>
  <c r="H211" i="1"/>
  <c r="G211" i="1"/>
  <c r="F211" i="1"/>
  <c r="H215" i="1"/>
  <c r="G215" i="1"/>
  <c r="F215" i="1"/>
  <c r="H219" i="1"/>
  <c r="G219" i="1"/>
  <c r="F219" i="1"/>
  <c r="H223" i="1"/>
  <c r="G223" i="1"/>
  <c r="F223" i="1"/>
  <c r="H235" i="1"/>
  <c r="G235" i="1"/>
  <c r="F235" i="1"/>
  <c r="H243" i="1"/>
  <c r="G243" i="1"/>
  <c r="F243" i="1"/>
  <c r="H251" i="1"/>
  <c r="G251" i="1"/>
  <c r="F251" i="1"/>
  <c r="H283" i="1"/>
  <c r="G283" i="1"/>
  <c r="F283" i="1"/>
  <c r="H291" i="1"/>
  <c r="G291" i="1"/>
  <c r="F291" i="1"/>
  <c r="H299" i="1"/>
  <c r="G299" i="1"/>
  <c r="F299" i="1"/>
  <c r="H307" i="1"/>
  <c r="G307" i="1"/>
  <c r="F307" i="1"/>
  <c r="H315" i="1"/>
  <c r="G315" i="1"/>
  <c r="F315" i="1"/>
  <c r="H323" i="1"/>
  <c r="G323" i="1"/>
  <c r="F323" i="1"/>
  <c r="H331" i="1"/>
  <c r="G331" i="1"/>
  <c r="F331" i="1"/>
  <c r="H339" i="1"/>
  <c r="G339" i="1"/>
  <c r="F339" i="1"/>
  <c r="H347" i="1"/>
  <c r="G347" i="1"/>
  <c r="F347" i="1"/>
  <c r="H359" i="1"/>
  <c r="G359" i="1"/>
  <c r="F359" i="1"/>
  <c r="H507" i="1"/>
  <c r="G507" i="1"/>
  <c r="F507" i="1"/>
  <c r="H515" i="1"/>
  <c r="G515" i="1"/>
  <c r="F515" i="1"/>
  <c r="H523" i="1"/>
  <c r="G523" i="1"/>
  <c r="F523" i="1"/>
  <c r="H531" i="1"/>
  <c r="G531" i="1"/>
  <c r="F531" i="1"/>
  <c r="H539" i="1"/>
  <c r="G539" i="1"/>
  <c r="F539" i="1"/>
  <c r="H547" i="1"/>
  <c r="G547" i="1"/>
  <c r="F547" i="1"/>
  <c r="H555" i="1"/>
  <c r="G555" i="1"/>
  <c r="F555" i="1"/>
  <c r="H563" i="1"/>
  <c r="G563" i="1"/>
  <c r="F563" i="1"/>
  <c r="H571" i="1"/>
  <c r="G571" i="1"/>
  <c r="F571" i="1"/>
  <c r="H579" i="1"/>
  <c r="G579" i="1"/>
  <c r="F579" i="1"/>
  <c r="H587" i="1"/>
  <c r="G587" i="1"/>
  <c r="F587" i="1"/>
  <c r="H595" i="1"/>
  <c r="G595" i="1"/>
  <c r="F595" i="1"/>
  <c r="H603" i="1"/>
  <c r="G603" i="1"/>
  <c r="F603" i="1"/>
  <c r="H611" i="1"/>
  <c r="G611" i="1"/>
  <c r="F611" i="1"/>
  <c r="H619" i="1"/>
  <c r="G619" i="1"/>
  <c r="F619" i="1"/>
  <c r="H627" i="1"/>
  <c r="G627" i="1"/>
  <c r="F627" i="1"/>
  <c r="H635" i="1"/>
  <c r="G635" i="1"/>
  <c r="F635" i="1"/>
  <c r="H643" i="1"/>
  <c r="G643" i="1"/>
  <c r="F643" i="1"/>
  <c r="H719" i="1"/>
  <c r="G719" i="1"/>
  <c r="F719" i="1"/>
  <c r="H727" i="1"/>
  <c r="G727" i="1"/>
  <c r="F727" i="1"/>
  <c r="H735" i="1"/>
  <c r="G735" i="1"/>
  <c r="F735" i="1"/>
  <c r="H743" i="1"/>
  <c r="G743" i="1"/>
  <c r="F743" i="1"/>
  <c r="H751" i="1"/>
  <c r="G751" i="1"/>
  <c r="F751" i="1"/>
  <c r="H759" i="1"/>
  <c r="G759" i="1"/>
  <c r="F759" i="1"/>
  <c r="H767" i="1"/>
  <c r="G767" i="1"/>
  <c r="F767" i="1"/>
  <c r="H775" i="1"/>
  <c r="G775" i="1"/>
  <c r="F775" i="1"/>
  <c r="H783" i="1"/>
  <c r="G783" i="1"/>
  <c r="F783" i="1"/>
  <c r="H791" i="1"/>
  <c r="G791" i="1"/>
  <c r="F791" i="1"/>
  <c r="H799" i="1"/>
  <c r="G799" i="1"/>
  <c r="F799" i="1"/>
  <c r="H807" i="1"/>
  <c r="G807" i="1"/>
  <c r="F807" i="1"/>
  <c r="H815" i="1"/>
  <c r="G815" i="1"/>
  <c r="F815" i="1"/>
  <c r="H823" i="1"/>
  <c r="G823" i="1"/>
  <c r="F823" i="1"/>
  <c r="H831" i="1"/>
  <c r="G831" i="1"/>
  <c r="F831" i="1"/>
  <c r="H839" i="1"/>
  <c r="G839" i="1"/>
  <c r="F839" i="1"/>
  <c r="H847" i="1"/>
  <c r="G847" i="1"/>
  <c r="F847" i="1"/>
  <c r="H855" i="1"/>
  <c r="G855" i="1"/>
  <c r="F855" i="1"/>
  <c r="H863" i="1"/>
  <c r="G863" i="1"/>
  <c r="F863" i="1"/>
  <c r="H871" i="1"/>
  <c r="G871" i="1"/>
  <c r="F871" i="1"/>
  <c r="H879" i="1"/>
  <c r="G879" i="1"/>
  <c r="F879" i="1"/>
  <c r="H891" i="1"/>
  <c r="G891" i="1"/>
  <c r="F891" i="1"/>
  <c r="H899" i="1"/>
  <c r="G899" i="1"/>
  <c r="F899" i="1"/>
  <c r="H907" i="1"/>
  <c r="G907" i="1"/>
  <c r="F907" i="1"/>
  <c r="H915" i="1"/>
  <c r="G915" i="1"/>
  <c r="F915" i="1"/>
  <c r="H923" i="1"/>
  <c r="G923" i="1"/>
  <c r="F923" i="1"/>
  <c r="H931" i="1"/>
  <c r="G931" i="1"/>
  <c r="F931" i="1"/>
  <c r="H939" i="1"/>
  <c r="G939" i="1"/>
  <c r="F939" i="1"/>
  <c r="H947" i="1"/>
  <c r="G947" i="1"/>
  <c r="F947" i="1"/>
  <c r="I983" i="1"/>
  <c r="H1011" i="1"/>
  <c r="G1011" i="1"/>
  <c r="F1011" i="1"/>
  <c r="H1027" i="1"/>
  <c r="G1027" i="1"/>
  <c r="F1027" i="1"/>
  <c r="I1031" i="1"/>
  <c r="H1043" i="1"/>
  <c r="G1043" i="1"/>
  <c r="F1043" i="1"/>
  <c r="H1059" i="1"/>
  <c r="G1059" i="1"/>
  <c r="F1059" i="1"/>
  <c r="H1075" i="1"/>
  <c r="G1075" i="1"/>
  <c r="F1075" i="1"/>
  <c r="H1091" i="1"/>
  <c r="G1091" i="1"/>
  <c r="F1091" i="1"/>
  <c r="H1107" i="1"/>
  <c r="G1107" i="1"/>
  <c r="F1107" i="1"/>
  <c r="I1111" i="1"/>
  <c r="H1123" i="1"/>
  <c r="G1123" i="1"/>
  <c r="F1123" i="1"/>
  <c r="H1139" i="1"/>
  <c r="G1139" i="1"/>
  <c r="F1139" i="1"/>
  <c r="H1313" i="1"/>
  <c r="G1313" i="1"/>
  <c r="F1313" i="1"/>
  <c r="I1313" i="1"/>
  <c r="H1329" i="1"/>
  <c r="G1329" i="1"/>
  <c r="F1329" i="1"/>
  <c r="I1329" i="1"/>
  <c r="I11" i="1"/>
  <c r="I15" i="1"/>
  <c r="I23" i="1"/>
  <c r="I31" i="1"/>
  <c r="I43" i="1"/>
  <c r="I63" i="1"/>
  <c r="I71" i="1"/>
  <c r="I75" i="1"/>
  <c r="I79" i="1"/>
  <c r="I83" i="1"/>
  <c r="I87" i="1"/>
  <c r="I95" i="1"/>
  <c r="I103" i="1"/>
  <c r="I131" i="1"/>
  <c r="I135" i="1"/>
  <c r="I143" i="1"/>
  <c r="H171" i="1"/>
  <c r="G171" i="1"/>
  <c r="F171" i="1"/>
  <c r="H263" i="1"/>
  <c r="G263" i="1"/>
  <c r="F263" i="1"/>
  <c r="H271" i="1"/>
  <c r="G271" i="1"/>
  <c r="F271" i="1"/>
  <c r="H655" i="1"/>
  <c r="G655" i="1"/>
  <c r="F655" i="1"/>
  <c r="H663" i="1"/>
  <c r="G663" i="1"/>
  <c r="F663" i="1"/>
  <c r="H671" i="1"/>
  <c r="G671" i="1"/>
  <c r="F671" i="1"/>
  <c r="H679" i="1"/>
  <c r="G679" i="1"/>
  <c r="F679" i="1"/>
  <c r="H687" i="1"/>
  <c r="G687" i="1"/>
  <c r="F687" i="1"/>
  <c r="H695" i="1"/>
  <c r="G695" i="1"/>
  <c r="F695" i="1"/>
  <c r="H703" i="1"/>
  <c r="G703" i="1"/>
  <c r="F703" i="1"/>
  <c r="H711" i="1"/>
  <c r="G711" i="1"/>
  <c r="F711" i="1"/>
  <c r="H967" i="1"/>
  <c r="G967" i="1"/>
  <c r="F967" i="1"/>
  <c r="H999" i="1"/>
  <c r="G999" i="1"/>
  <c r="F999" i="1"/>
  <c r="H1047" i="1"/>
  <c r="G1047" i="1"/>
  <c r="F1047" i="1"/>
  <c r="H1079" i="1"/>
  <c r="G1079" i="1"/>
  <c r="F1079" i="1"/>
  <c r="H1095" i="1"/>
  <c r="G1095" i="1"/>
  <c r="F1095" i="1"/>
  <c r="H1127" i="1"/>
  <c r="G1127" i="1"/>
  <c r="F1127" i="1"/>
  <c r="F1187" i="1"/>
  <c r="H1187" i="1"/>
  <c r="I1187" i="1"/>
  <c r="G1187" i="1"/>
  <c r="F1203" i="1"/>
  <c r="H1203" i="1"/>
  <c r="I1203" i="1"/>
  <c r="G1203" i="1"/>
  <c r="H1229" i="1"/>
  <c r="F1229" i="1"/>
  <c r="I1229" i="1"/>
  <c r="G1229" i="1"/>
  <c r="H1261" i="1"/>
  <c r="F1261" i="1"/>
  <c r="I1261" i="1"/>
  <c r="G1261" i="1"/>
  <c r="F1283" i="1"/>
  <c r="H1283" i="1"/>
  <c r="I1283" i="1"/>
  <c r="G1283" i="1"/>
  <c r="H1851" i="1"/>
  <c r="G1851" i="1"/>
  <c r="F1851" i="1"/>
  <c r="I1851" i="1"/>
  <c r="H1917" i="1"/>
  <c r="G1917" i="1"/>
  <c r="F1917" i="1"/>
  <c r="I1917" i="1"/>
  <c r="H2263" i="1"/>
  <c r="G2263" i="1"/>
  <c r="F2263" i="1"/>
  <c r="I2263" i="1"/>
  <c r="H2311" i="1"/>
  <c r="G2311" i="1"/>
  <c r="F2311" i="1"/>
  <c r="I2311" i="1"/>
  <c r="G3099" i="1"/>
  <c r="F3099" i="1"/>
  <c r="I3099" i="1"/>
  <c r="H3099" i="1"/>
  <c r="G3163" i="1"/>
  <c r="F3163" i="1"/>
  <c r="I3163" i="1"/>
  <c r="H3163" i="1"/>
  <c r="G3227" i="1"/>
  <c r="F3227" i="1"/>
  <c r="I3227" i="1"/>
  <c r="H3227" i="1"/>
  <c r="H3941" i="1"/>
  <c r="G3941" i="1"/>
  <c r="F3941" i="1"/>
  <c r="I3941" i="1"/>
  <c r="F15" i="1"/>
  <c r="I24" i="1"/>
  <c r="G11" i="1"/>
  <c r="I13" i="1"/>
  <c r="G15" i="1"/>
  <c r="F20" i="1"/>
  <c r="F24" i="1"/>
  <c r="I25" i="1"/>
  <c r="G27" i="1"/>
  <c r="I29" i="1"/>
  <c r="F32" i="1"/>
  <c r="I33" i="1"/>
  <c r="G35" i="1"/>
  <c r="F40" i="1"/>
  <c r="I41" i="1"/>
  <c r="F44" i="1"/>
  <c r="I45" i="1"/>
  <c r="F48" i="1"/>
  <c r="I49" i="1"/>
  <c r="G51" i="1"/>
  <c r="F52" i="1"/>
  <c r="I53" i="1"/>
  <c r="G55" i="1"/>
  <c r="F56" i="1"/>
  <c r="I57" i="1"/>
  <c r="G59" i="1"/>
  <c r="F60" i="1"/>
  <c r="I61" i="1"/>
  <c r="G63" i="1"/>
  <c r="F64" i="1"/>
  <c r="I65" i="1"/>
  <c r="G67" i="1"/>
  <c r="F68" i="1"/>
  <c r="I69" i="1"/>
  <c r="G71" i="1"/>
  <c r="F72" i="1"/>
  <c r="I73" i="1"/>
  <c r="G75" i="1"/>
  <c r="F76" i="1"/>
  <c r="I77" i="1"/>
  <c r="G79" i="1"/>
  <c r="F80" i="1"/>
  <c r="I81" i="1"/>
  <c r="G83" i="1"/>
  <c r="F84" i="1"/>
  <c r="I85" i="1"/>
  <c r="G87" i="1"/>
  <c r="F88" i="1"/>
  <c r="I89" i="1"/>
  <c r="G91" i="1"/>
  <c r="F92" i="1"/>
  <c r="I93" i="1"/>
  <c r="G95" i="1"/>
  <c r="F96" i="1"/>
  <c r="I97" i="1"/>
  <c r="G99" i="1"/>
  <c r="F100" i="1"/>
  <c r="I101" i="1"/>
  <c r="G103" i="1"/>
  <c r="F104" i="1"/>
  <c r="I105" i="1"/>
  <c r="G107" i="1"/>
  <c r="F108" i="1"/>
  <c r="I109" i="1"/>
  <c r="G111" i="1"/>
  <c r="F112" i="1"/>
  <c r="I113" i="1"/>
  <c r="G115" i="1"/>
  <c r="F116" i="1"/>
  <c r="I117" i="1"/>
  <c r="G119" i="1"/>
  <c r="F120" i="1"/>
  <c r="I121" i="1"/>
  <c r="G123" i="1"/>
  <c r="F124" i="1"/>
  <c r="I125" i="1"/>
  <c r="G127" i="1"/>
  <c r="F128" i="1"/>
  <c r="I129" i="1"/>
  <c r="G131" i="1"/>
  <c r="F132" i="1"/>
  <c r="I133" i="1"/>
  <c r="G135" i="1"/>
  <c r="F136" i="1"/>
  <c r="I137" i="1"/>
  <c r="G139" i="1"/>
  <c r="F140" i="1"/>
  <c r="I141" i="1"/>
  <c r="G143" i="1"/>
  <c r="F144" i="1"/>
  <c r="I147" i="1"/>
  <c r="I151" i="1"/>
  <c r="I155" i="1"/>
  <c r="I159" i="1"/>
  <c r="H163" i="1"/>
  <c r="G163" i="1"/>
  <c r="F163" i="1"/>
  <c r="I175" i="1"/>
  <c r="I179" i="1"/>
  <c r="I183" i="1"/>
  <c r="I187" i="1"/>
  <c r="I191" i="1"/>
  <c r="I195" i="1"/>
  <c r="I199" i="1"/>
  <c r="I203" i="1"/>
  <c r="I207" i="1"/>
  <c r="I211" i="1"/>
  <c r="I215" i="1"/>
  <c r="I219" i="1"/>
  <c r="I223" i="1"/>
  <c r="H227" i="1"/>
  <c r="G227" i="1"/>
  <c r="F227" i="1"/>
  <c r="I235" i="1"/>
  <c r="I243" i="1"/>
  <c r="I251" i="1"/>
  <c r="H259" i="1"/>
  <c r="G259" i="1"/>
  <c r="F259" i="1"/>
  <c r="H267" i="1"/>
  <c r="G267" i="1"/>
  <c r="F267" i="1"/>
  <c r="H279" i="1"/>
  <c r="G279" i="1"/>
  <c r="F279" i="1"/>
  <c r="I283" i="1"/>
  <c r="I291" i="1"/>
  <c r="I299" i="1"/>
  <c r="I307" i="1"/>
  <c r="I315" i="1"/>
  <c r="I323" i="1"/>
  <c r="I331" i="1"/>
  <c r="I339" i="1"/>
  <c r="I347" i="1"/>
  <c r="H351" i="1"/>
  <c r="G351" i="1"/>
  <c r="F351" i="1"/>
  <c r="I359" i="1"/>
  <c r="H363" i="1"/>
  <c r="G363" i="1"/>
  <c r="F363" i="1"/>
  <c r="H367" i="1"/>
  <c r="G367" i="1"/>
  <c r="F367" i="1"/>
  <c r="I507" i="1"/>
  <c r="I515" i="1"/>
  <c r="I523" i="1"/>
  <c r="I531" i="1"/>
  <c r="I539" i="1"/>
  <c r="I547" i="1"/>
  <c r="I555" i="1"/>
  <c r="I563" i="1"/>
  <c r="I571" i="1"/>
  <c r="I579" i="1"/>
  <c r="I587" i="1"/>
  <c r="I595" i="1"/>
  <c r="I603" i="1"/>
  <c r="I611" i="1"/>
  <c r="I619" i="1"/>
  <c r="I627" i="1"/>
  <c r="I635" i="1"/>
  <c r="I643" i="1"/>
  <c r="H651" i="1"/>
  <c r="G651" i="1"/>
  <c r="F651" i="1"/>
  <c r="H659" i="1"/>
  <c r="G659" i="1"/>
  <c r="F659" i="1"/>
  <c r="H667" i="1"/>
  <c r="G667" i="1"/>
  <c r="F667" i="1"/>
  <c r="H675" i="1"/>
  <c r="G675" i="1"/>
  <c r="F675" i="1"/>
  <c r="H683" i="1"/>
  <c r="G683" i="1"/>
  <c r="F683" i="1"/>
  <c r="H691" i="1"/>
  <c r="G691" i="1"/>
  <c r="F691" i="1"/>
  <c r="H699" i="1"/>
  <c r="G699" i="1"/>
  <c r="F699" i="1"/>
  <c r="H707" i="1"/>
  <c r="G707" i="1"/>
  <c r="F707" i="1"/>
  <c r="H715" i="1"/>
  <c r="G715" i="1"/>
  <c r="F715" i="1"/>
  <c r="I719" i="1"/>
  <c r="I727" i="1"/>
  <c r="I735" i="1"/>
  <c r="I743" i="1"/>
  <c r="I751" i="1"/>
  <c r="I759" i="1"/>
  <c r="I767" i="1"/>
  <c r="I775" i="1"/>
  <c r="I783" i="1"/>
  <c r="I791" i="1"/>
  <c r="I799" i="1"/>
  <c r="I807" i="1"/>
  <c r="I815" i="1"/>
  <c r="I823" i="1"/>
  <c r="I831" i="1"/>
  <c r="I839" i="1"/>
  <c r="I847" i="1"/>
  <c r="I855" i="1"/>
  <c r="I863" i="1"/>
  <c r="I871" i="1"/>
  <c r="I879" i="1"/>
  <c r="H887" i="1"/>
  <c r="G887" i="1"/>
  <c r="F887" i="1"/>
  <c r="I891" i="1"/>
  <c r="I899" i="1"/>
  <c r="I907" i="1"/>
  <c r="I915" i="1"/>
  <c r="I923" i="1"/>
  <c r="I931" i="1"/>
  <c r="I939" i="1"/>
  <c r="I947" i="1"/>
  <c r="H955" i="1"/>
  <c r="G955" i="1"/>
  <c r="F955" i="1"/>
  <c r="H963" i="1"/>
  <c r="G963" i="1"/>
  <c r="F963" i="1"/>
  <c r="H971" i="1"/>
  <c r="G971" i="1"/>
  <c r="F971" i="1"/>
  <c r="H979" i="1"/>
  <c r="G979" i="1"/>
  <c r="F979" i="1"/>
  <c r="H987" i="1"/>
  <c r="G987" i="1"/>
  <c r="F987" i="1"/>
  <c r="H995" i="1"/>
  <c r="G995" i="1"/>
  <c r="F995" i="1"/>
  <c r="H1007" i="1"/>
  <c r="G1007" i="1"/>
  <c r="F1007" i="1"/>
  <c r="I1011" i="1"/>
  <c r="H1023" i="1"/>
  <c r="G1023" i="1"/>
  <c r="F1023" i="1"/>
  <c r="I1027" i="1"/>
  <c r="H1039" i="1"/>
  <c r="G1039" i="1"/>
  <c r="F1039" i="1"/>
  <c r="I1043" i="1"/>
  <c r="H1055" i="1"/>
  <c r="G1055" i="1"/>
  <c r="F1055" i="1"/>
  <c r="I1059" i="1"/>
  <c r="H1071" i="1"/>
  <c r="G1071" i="1"/>
  <c r="F1071" i="1"/>
  <c r="I1075" i="1"/>
  <c r="H1087" i="1"/>
  <c r="G1087" i="1"/>
  <c r="F1087" i="1"/>
  <c r="I1091" i="1"/>
  <c r="H1103" i="1"/>
  <c r="G1103" i="1"/>
  <c r="F1103" i="1"/>
  <c r="I1107" i="1"/>
  <c r="H1119" i="1"/>
  <c r="G1119" i="1"/>
  <c r="F1119" i="1"/>
  <c r="I1123" i="1"/>
  <c r="H1135" i="1"/>
  <c r="G1135" i="1"/>
  <c r="F1135" i="1"/>
  <c r="I1139" i="1"/>
  <c r="H1309" i="1"/>
  <c r="G1309" i="1"/>
  <c r="F1309" i="1"/>
  <c r="I1309" i="1"/>
  <c r="H1325" i="1"/>
  <c r="G1325" i="1"/>
  <c r="F1325" i="1"/>
  <c r="I1325" i="1"/>
  <c r="H1341" i="1"/>
  <c r="G1341" i="1"/>
  <c r="F1341" i="1"/>
  <c r="I1341" i="1"/>
  <c r="I19" i="1"/>
  <c r="I27" i="1"/>
  <c r="I35" i="1"/>
  <c r="I39" i="1"/>
  <c r="I47" i="1"/>
  <c r="I51" i="1"/>
  <c r="I55" i="1"/>
  <c r="I59" i="1"/>
  <c r="I67" i="1"/>
  <c r="I91" i="1"/>
  <c r="I99" i="1"/>
  <c r="I107" i="1"/>
  <c r="I111" i="1"/>
  <c r="I115" i="1"/>
  <c r="I119" i="1"/>
  <c r="I123" i="1"/>
  <c r="I127" i="1"/>
  <c r="I139" i="1"/>
  <c r="F145" i="1"/>
  <c r="H145" i="1"/>
  <c r="H287" i="1"/>
  <c r="G287" i="1"/>
  <c r="F287" i="1"/>
  <c r="H959" i="1"/>
  <c r="G959" i="1"/>
  <c r="F959" i="1"/>
  <c r="H975" i="1"/>
  <c r="G975" i="1"/>
  <c r="F975" i="1"/>
  <c r="H991" i="1"/>
  <c r="G991" i="1"/>
  <c r="F991" i="1"/>
  <c r="H1015" i="1"/>
  <c r="G1015" i="1"/>
  <c r="F1015" i="1"/>
  <c r="H1063" i="1"/>
  <c r="G1063" i="1"/>
  <c r="F1063" i="1"/>
  <c r="H1143" i="1"/>
  <c r="G1143" i="1"/>
  <c r="F1143" i="1"/>
  <c r="F1171" i="1"/>
  <c r="H1171" i="1"/>
  <c r="I1171" i="1"/>
  <c r="G1171" i="1"/>
  <c r="F1219" i="1"/>
  <c r="H1219" i="1"/>
  <c r="I1219" i="1"/>
  <c r="G1219" i="1"/>
  <c r="H1245" i="1"/>
  <c r="F1245" i="1"/>
  <c r="I1245" i="1"/>
  <c r="G1245" i="1"/>
  <c r="H1277" i="1"/>
  <c r="F1277" i="1"/>
  <c r="I1277" i="1"/>
  <c r="G1277" i="1"/>
  <c r="H2093" i="1"/>
  <c r="G2093" i="1"/>
  <c r="F2093" i="1"/>
  <c r="I2093" i="1"/>
  <c r="H2141" i="1"/>
  <c r="G2141" i="1"/>
  <c r="F2141" i="1"/>
  <c r="I2141" i="1"/>
  <c r="H2279" i="1"/>
  <c r="G2279" i="1"/>
  <c r="F2279" i="1"/>
  <c r="I2279" i="1"/>
  <c r="G3286" i="1"/>
  <c r="F3286" i="1"/>
  <c r="I3286" i="1"/>
  <c r="H3286" i="1"/>
  <c r="H3403" i="1"/>
  <c r="G3403" i="1"/>
  <c r="I3403" i="1"/>
  <c r="F3403" i="1"/>
  <c r="H3475" i="1"/>
  <c r="G3475" i="1"/>
  <c r="I3475" i="1"/>
  <c r="F3475" i="1"/>
  <c r="G3540" i="1"/>
  <c r="F3540" i="1"/>
  <c r="I3540" i="1"/>
  <c r="H3540" i="1"/>
  <c r="H3547" i="1"/>
  <c r="G3547" i="1"/>
  <c r="I3547" i="1"/>
  <c r="F3547" i="1"/>
  <c r="G3863" i="1"/>
  <c r="F3863" i="1"/>
  <c r="I3863" i="1"/>
  <c r="H3863" i="1"/>
  <c r="H3925" i="1"/>
  <c r="G3925" i="1"/>
  <c r="F3925" i="1"/>
  <c r="I3925" i="1"/>
  <c r="I16" i="1"/>
  <c r="I20" i="1"/>
  <c r="F23" i="1"/>
  <c r="F27" i="1"/>
  <c r="F31" i="1"/>
  <c r="F12" i="1"/>
  <c r="F16" i="1"/>
  <c r="I17" i="1"/>
  <c r="G19" i="1"/>
  <c r="I21" i="1"/>
  <c r="G23" i="1"/>
  <c r="F28" i="1"/>
  <c r="G31" i="1"/>
  <c r="F36" i="1"/>
  <c r="I37" i="1"/>
  <c r="G39" i="1"/>
  <c r="G43" i="1"/>
  <c r="G47" i="1"/>
  <c r="H144" i="1"/>
  <c r="I163" i="1"/>
  <c r="H167" i="1"/>
  <c r="G167" i="1"/>
  <c r="F167" i="1"/>
  <c r="I227" i="1"/>
  <c r="H231" i="1"/>
  <c r="G231" i="1"/>
  <c r="F231" i="1"/>
  <c r="H239" i="1"/>
  <c r="G239" i="1"/>
  <c r="F239" i="1"/>
  <c r="H247" i="1"/>
  <c r="G247" i="1"/>
  <c r="F247" i="1"/>
  <c r="H255" i="1"/>
  <c r="G255" i="1"/>
  <c r="F255" i="1"/>
  <c r="I259" i="1"/>
  <c r="I267" i="1"/>
  <c r="H275" i="1"/>
  <c r="G275" i="1"/>
  <c r="F275" i="1"/>
  <c r="I279" i="1"/>
  <c r="H295" i="1"/>
  <c r="G295" i="1"/>
  <c r="F295" i="1"/>
  <c r="H303" i="1"/>
  <c r="G303" i="1"/>
  <c r="F303" i="1"/>
  <c r="H311" i="1"/>
  <c r="G311" i="1"/>
  <c r="F311" i="1"/>
  <c r="H319" i="1"/>
  <c r="G319" i="1"/>
  <c r="F319" i="1"/>
  <c r="H327" i="1"/>
  <c r="G327" i="1"/>
  <c r="F327" i="1"/>
  <c r="H335" i="1"/>
  <c r="G335" i="1"/>
  <c r="F335" i="1"/>
  <c r="H343" i="1"/>
  <c r="G343" i="1"/>
  <c r="F343" i="1"/>
  <c r="I351" i="1"/>
  <c r="H355" i="1"/>
  <c r="G355" i="1"/>
  <c r="F355" i="1"/>
  <c r="I363" i="1"/>
  <c r="I367" i="1"/>
  <c r="H371" i="1"/>
  <c r="G371" i="1"/>
  <c r="F371" i="1"/>
  <c r="H375" i="1"/>
  <c r="G375" i="1"/>
  <c r="F375" i="1"/>
  <c r="H379" i="1"/>
  <c r="G379" i="1"/>
  <c r="F379" i="1"/>
  <c r="H383" i="1"/>
  <c r="G383" i="1"/>
  <c r="F383" i="1"/>
  <c r="H387" i="1"/>
  <c r="G387" i="1"/>
  <c r="F387" i="1"/>
  <c r="H391" i="1"/>
  <c r="G391" i="1"/>
  <c r="F391" i="1"/>
  <c r="H395" i="1"/>
  <c r="G395" i="1"/>
  <c r="F395" i="1"/>
  <c r="H399" i="1"/>
  <c r="G399" i="1"/>
  <c r="F399" i="1"/>
  <c r="H403" i="1"/>
  <c r="G403" i="1"/>
  <c r="F403" i="1"/>
  <c r="H407" i="1"/>
  <c r="G407" i="1"/>
  <c r="F407" i="1"/>
  <c r="H411" i="1"/>
  <c r="G411" i="1"/>
  <c r="F411" i="1"/>
  <c r="H415" i="1"/>
  <c r="G415" i="1"/>
  <c r="F415" i="1"/>
  <c r="H419" i="1"/>
  <c r="G419" i="1"/>
  <c r="F419" i="1"/>
  <c r="H423" i="1"/>
  <c r="G423" i="1"/>
  <c r="F423" i="1"/>
  <c r="H427" i="1"/>
  <c r="G427" i="1"/>
  <c r="F427" i="1"/>
  <c r="H431" i="1"/>
  <c r="G431" i="1"/>
  <c r="F431" i="1"/>
  <c r="H435" i="1"/>
  <c r="G435" i="1"/>
  <c r="F435" i="1"/>
  <c r="H439" i="1"/>
  <c r="G439" i="1"/>
  <c r="F439" i="1"/>
  <c r="H443" i="1"/>
  <c r="G443" i="1"/>
  <c r="F443" i="1"/>
  <c r="H447" i="1"/>
  <c r="G447" i="1"/>
  <c r="F447" i="1"/>
  <c r="H451" i="1"/>
  <c r="G451" i="1"/>
  <c r="F451" i="1"/>
  <c r="H455" i="1"/>
  <c r="G455" i="1"/>
  <c r="F455" i="1"/>
  <c r="H459" i="1"/>
  <c r="G459" i="1"/>
  <c r="F459" i="1"/>
  <c r="H463" i="1"/>
  <c r="G463" i="1"/>
  <c r="F463" i="1"/>
  <c r="H467" i="1"/>
  <c r="G467" i="1"/>
  <c r="F467" i="1"/>
  <c r="H471" i="1"/>
  <c r="G471" i="1"/>
  <c r="F471" i="1"/>
  <c r="H475" i="1"/>
  <c r="G475" i="1"/>
  <c r="F475" i="1"/>
  <c r="H479" i="1"/>
  <c r="G479" i="1"/>
  <c r="F479" i="1"/>
  <c r="H483" i="1"/>
  <c r="G483" i="1"/>
  <c r="F483" i="1"/>
  <c r="H487" i="1"/>
  <c r="G487" i="1"/>
  <c r="F487" i="1"/>
  <c r="H491" i="1"/>
  <c r="G491" i="1"/>
  <c r="F491" i="1"/>
  <c r="H495" i="1"/>
  <c r="G495" i="1"/>
  <c r="F495" i="1"/>
  <c r="H499" i="1"/>
  <c r="G499" i="1"/>
  <c r="F499" i="1"/>
  <c r="H503" i="1"/>
  <c r="G503" i="1"/>
  <c r="F503" i="1"/>
  <c r="H511" i="1"/>
  <c r="G511" i="1"/>
  <c r="F511" i="1"/>
  <c r="H519" i="1"/>
  <c r="G519" i="1"/>
  <c r="F519" i="1"/>
  <c r="H527" i="1"/>
  <c r="G527" i="1"/>
  <c r="F527" i="1"/>
  <c r="H535" i="1"/>
  <c r="G535" i="1"/>
  <c r="F535" i="1"/>
  <c r="H543" i="1"/>
  <c r="G543" i="1"/>
  <c r="F543" i="1"/>
  <c r="H551" i="1"/>
  <c r="G551" i="1"/>
  <c r="F551" i="1"/>
  <c r="H559" i="1"/>
  <c r="G559" i="1"/>
  <c r="F559" i="1"/>
  <c r="H567" i="1"/>
  <c r="G567" i="1"/>
  <c r="F567" i="1"/>
  <c r="H575" i="1"/>
  <c r="G575" i="1"/>
  <c r="F575" i="1"/>
  <c r="H583" i="1"/>
  <c r="G583" i="1"/>
  <c r="F583" i="1"/>
  <c r="H591" i="1"/>
  <c r="G591" i="1"/>
  <c r="F591" i="1"/>
  <c r="H599" i="1"/>
  <c r="G599" i="1"/>
  <c r="F599" i="1"/>
  <c r="H607" i="1"/>
  <c r="G607" i="1"/>
  <c r="F607" i="1"/>
  <c r="H615" i="1"/>
  <c r="G615" i="1"/>
  <c r="F615" i="1"/>
  <c r="H623" i="1"/>
  <c r="G623" i="1"/>
  <c r="F623" i="1"/>
  <c r="H631" i="1"/>
  <c r="G631" i="1"/>
  <c r="F631" i="1"/>
  <c r="H639" i="1"/>
  <c r="G639" i="1"/>
  <c r="F639" i="1"/>
  <c r="H647" i="1"/>
  <c r="G647" i="1"/>
  <c r="F647" i="1"/>
  <c r="I651" i="1"/>
  <c r="I659" i="1"/>
  <c r="I667" i="1"/>
  <c r="I675" i="1"/>
  <c r="I683" i="1"/>
  <c r="I691" i="1"/>
  <c r="I699" i="1"/>
  <c r="I707" i="1"/>
  <c r="I715" i="1"/>
  <c r="H723" i="1"/>
  <c r="G723" i="1"/>
  <c r="F723" i="1"/>
  <c r="H731" i="1"/>
  <c r="G731" i="1"/>
  <c r="F731" i="1"/>
  <c r="H739" i="1"/>
  <c r="G739" i="1"/>
  <c r="F739" i="1"/>
  <c r="H747" i="1"/>
  <c r="G747" i="1"/>
  <c r="F747" i="1"/>
  <c r="H755" i="1"/>
  <c r="G755" i="1"/>
  <c r="F755" i="1"/>
  <c r="H763" i="1"/>
  <c r="G763" i="1"/>
  <c r="F763" i="1"/>
  <c r="H771" i="1"/>
  <c r="G771" i="1"/>
  <c r="F771" i="1"/>
  <c r="H779" i="1"/>
  <c r="G779" i="1"/>
  <c r="F779" i="1"/>
  <c r="H787" i="1"/>
  <c r="G787" i="1"/>
  <c r="F787" i="1"/>
  <c r="H795" i="1"/>
  <c r="G795" i="1"/>
  <c r="F795" i="1"/>
  <c r="H803" i="1"/>
  <c r="G803" i="1"/>
  <c r="F803" i="1"/>
  <c r="H811" i="1"/>
  <c r="G811" i="1"/>
  <c r="F811" i="1"/>
  <c r="H819" i="1"/>
  <c r="G819" i="1"/>
  <c r="F819" i="1"/>
  <c r="H827" i="1"/>
  <c r="G827" i="1"/>
  <c r="F827" i="1"/>
  <c r="H835" i="1"/>
  <c r="G835" i="1"/>
  <c r="F835" i="1"/>
  <c r="H843" i="1"/>
  <c r="G843" i="1"/>
  <c r="F843" i="1"/>
  <c r="H851" i="1"/>
  <c r="G851" i="1"/>
  <c r="F851" i="1"/>
  <c r="H859" i="1"/>
  <c r="G859" i="1"/>
  <c r="F859" i="1"/>
  <c r="H867" i="1"/>
  <c r="G867" i="1"/>
  <c r="F867" i="1"/>
  <c r="H875" i="1"/>
  <c r="G875" i="1"/>
  <c r="F875" i="1"/>
  <c r="H883" i="1"/>
  <c r="G883" i="1"/>
  <c r="F883" i="1"/>
  <c r="I887" i="1"/>
  <c r="H895" i="1"/>
  <c r="G895" i="1"/>
  <c r="F895" i="1"/>
  <c r="H903" i="1"/>
  <c r="G903" i="1"/>
  <c r="F903" i="1"/>
  <c r="H911" i="1"/>
  <c r="G911" i="1"/>
  <c r="F911" i="1"/>
  <c r="H919" i="1"/>
  <c r="G919" i="1"/>
  <c r="F919" i="1"/>
  <c r="H927" i="1"/>
  <c r="G927" i="1"/>
  <c r="F927" i="1"/>
  <c r="H935" i="1"/>
  <c r="G935" i="1"/>
  <c r="F935" i="1"/>
  <c r="H943" i="1"/>
  <c r="G943" i="1"/>
  <c r="F943" i="1"/>
  <c r="H951" i="1"/>
  <c r="G951" i="1"/>
  <c r="F951" i="1"/>
  <c r="I955" i="1"/>
  <c r="I963" i="1"/>
  <c r="I971" i="1"/>
  <c r="I979" i="1"/>
  <c r="I987" i="1"/>
  <c r="I995" i="1"/>
  <c r="H1003" i="1"/>
  <c r="G1003" i="1"/>
  <c r="F1003" i="1"/>
  <c r="I1007" i="1"/>
  <c r="H1019" i="1"/>
  <c r="G1019" i="1"/>
  <c r="F1019" i="1"/>
  <c r="I1023" i="1"/>
  <c r="H1035" i="1"/>
  <c r="G1035" i="1"/>
  <c r="F1035" i="1"/>
  <c r="I1039" i="1"/>
  <c r="H1051" i="1"/>
  <c r="G1051" i="1"/>
  <c r="F1051" i="1"/>
  <c r="I1055" i="1"/>
  <c r="H1067" i="1"/>
  <c r="G1067" i="1"/>
  <c r="F1067" i="1"/>
  <c r="I1071" i="1"/>
  <c r="H1083" i="1"/>
  <c r="G1083" i="1"/>
  <c r="F1083" i="1"/>
  <c r="I1087" i="1"/>
  <c r="H1099" i="1"/>
  <c r="G1099" i="1"/>
  <c r="F1099" i="1"/>
  <c r="I1103" i="1"/>
  <c r="H1115" i="1"/>
  <c r="G1115" i="1"/>
  <c r="F1115" i="1"/>
  <c r="I1119" i="1"/>
  <c r="H1131" i="1"/>
  <c r="G1131" i="1"/>
  <c r="F1131" i="1"/>
  <c r="I1135" i="1"/>
  <c r="H1147" i="1"/>
  <c r="G1147" i="1"/>
  <c r="F1147" i="1"/>
  <c r="H1305" i="1"/>
  <c r="G1305" i="1"/>
  <c r="F1305" i="1"/>
  <c r="I1305" i="1"/>
  <c r="H1321" i="1"/>
  <c r="G1321" i="1"/>
  <c r="F1321" i="1"/>
  <c r="I1321" i="1"/>
  <c r="H1337" i="1"/>
  <c r="G1337" i="1"/>
  <c r="F1337" i="1"/>
  <c r="I1337" i="1"/>
  <c r="G146" i="1"/>
  <c r="I148" i="1"/>
  <c r="H149" i="1"/>
  <c r="G150" i="1"/>
  <c r="I152" i="1"/>
  <c r="H153" i="1"/>
  <c r="G154" i="1"/>
  <c r="I156" i="1"/>
  <c r="H157" i="1"/>
  <c r="G158" i="1"/>
  <c r="I160" i="1"/>
  <c r="H161" i="1"/>
  <c r="G162" i="1"/>
  <c r="I164" i="1"/>
  <c r="H165" i="1"/>
  <c r="G166" i="1"/>
  <c r="I168" i="1"/>
  <c r="H169" i="1"/>
  <c r="G170" i="1"/>
  <c r="I172" i="1"/>
  <c r="H173" i="1"/>
  <c r="G174" i="1"/>
  <c r="I176" i="1"/>
  <c r="H177" i="1"/>
  <c r="G178" i="1"/>
  <c r="I180" i="1"/>
  <c r="H181" i="1"/>
  <c r="G182" i="1"/>
  <c r="I184" i="1"/>
  <c r="H185" i="1"/>
  <c r="G186" i="1"/>
  <c r="I188" i="1"/>
  <c r="H189" i="1"/>
  <c r="G190" i="1"/>
  <c r="I192" i="1"/>
  <c r="H193" i="1"/>
  <c r="G194" i="1"/>
  <c r="I196" i="1"/>
  <c r="H197" i="1"/>
  <c r="G198" i="1"/>
  <c r="I200" i="1"/>
  <c r="H201" i="1"/>
  <c r="G202" i="1"/>
  <c r="I204" i="1"/>
  <c r="H205" i="1"/>
  <c r="G206" i="1"/>
  <c r="I208" i="1"/>
  <c r="H209" i="1"/>
  <c r="G210" i="1"/>
  <c r="I212" i="1"/>
  <c r="H213" i="1"/>
  <c r="G214" i="1"/>
  <c r="I216" i="1"/>
  <c r="H217" i="1"/>
  <c r="G218" i="1"/>
  <c r="I220" i="1"/>
  <c r="H221" i="1"/>
  <c r="G222" i="1"/>
  <c r="I224" i="1"/>
  <c r="H225" i="1"/>
  <c r="I228" i="1"/>
  <c r="H229" i="1"/>
  <c r="I232" i="1"/>
  <c r="I236" i="1"/>
  <c r="I240" i="1"/>
  <c r="I244" i="1"/>
  <c r="I248" i="1"/>
  <c r="I252" i="1"/>
  <c r="I256" i="1"/>
  <c r="I260" i="1"/>
  <c r="I264" i="1"/>
  <c r="I268" i="1"/>
  <c r="I272" i="1"/>
  <c r="I276" i="1"/>
  <c r="I280" i="1"/>
  <c r="I284" i="1"/>
  <c r="I288" i="1"/>
  <c r="H289" i="1"/>
  <c r="G290" i="1"/>
  <c r="I292" i="1"/>
  <c r="H293" i="1"/>
  <c r="G294" i="1"/>
  <c r="I296" i="1"/>
  <c r="H297" i="1"/>
  <c r="G298" i="1"/>
  <c r="I300" i="1"/>
  <c r="H301" i="1"/>
  <c r="G302" i="1"/>
  <c r="I304" i="1"/>
  <c r="H305" i="1"/>
  <c r="G306" i="1"/>
  <c r="I308" i="1"/>
  <c r="H309" i="1"/>
  <c r="G310" i="1"/>
  <c r="I312" i="1"/>
  <c r="H313" i="1"/>
  <c r="G314" i="1"/>
  <c r="I316" i="1"/>
  <c r="H317" i="1"/>
  <c r="G318" i="1"/>
  <c r="I320" i="1"/>
  <c r="H321" i="1"/>
  <c r="G322" i="1"/>
  <c r="I324" i="1"/>
  <c r="H325" i="1"/>
  <c r="G326" i="1"/>
  <c r="I328" i="1"/>
  <c r="H329" i="1"/>
  <c r="G330" i="1"/>
  <c r="I332" i="1"/>
  <c r="H333" i="1"/>
  <c r="G334" i="1"/>
  <c r="I336" i="1"/>
  <c r="H337" i="1"/>
  <c r="G338" i="1"/>
  <c r="I340" i="1"/>
  <c r="H341" i="1"/>
  <c r="G342" i="1"/>
  <c r="I344" i="1"/>
  <c r="H345" i="1"/>
  <c r="G346" i="1"/>
  <c r="I348" i="1"/>
  <c r="H349" i="1"/>
  <c r="G350" i="1"/>
  <c r="I352" i="1"/>
  <c r="H353" i="1"/>
  <c r="I356" i="1"/>
  <c r="I360" i="1"/>
  <c r="H361" i="1"/>
  <c r="I364" i="1"/>
  <c r="H365" i="1"/>
  <c r="G366" i="1"/>
  <c r="I368" i="1"/>
  <c r="G370" i="1"/>
  <c r="I372" i="1"/>
  <c r="H373" i="1"/>
  <c r="G374" i="1"/>
  <c r="I376" i="1"/>
  <c r="H377" i="1"/>
  <c r="G378" i="1"/>
  <c r="I380" i="1"/>
  <c r="H381" i="1"/>
  <c r="G382" i="1"/>
  <c r="I384" i="1"/>
  <c r="H385" i="1"/>
  <c r="G386" i="1"/>
  <c r="I388" i="1"/>
  <c r="H389" i="1"/>
  <c r="G390" i="1"/>
  <c r="I392" i="1"/>
  <c r="H393" i="1"/>
  <c r="G394" i="1"/>
  <c r="I396" i="1"/>
  <c r="H397" i="1"/>
  <c r="G398" i="1"/>
  <c r="I400" i="1"/>
  <c r="H401" i="1"/>
  <c r="G402" i="1"/>
  <c r="I404" i="1"/>
  <c r="H405" i="1"/>
  <c r="G406" i="1"/>
  <c r="I408" i="1"/>
  <c r="H409" i="1"/>
  <c r="G410" i="1"/>
  <c r="I412" i="1"/>
  <c r="H413" i="1"/>
  <c r="G414" i="1"/>
  <c r="I416" i="1"/>
  <c r="H417" i="1"/>
  <c r="G418" i="1"/>
  <c r="I420" i="1"/>
  <c r="H421" i="1"/>
  <c r="G422" i="1"/>
  <c r="I424" i="1"/>
  <c r="H425" i="1"/>
  <c r="G426" i="1"/>
  <c r="I428" i="1"/>
  <c r="H429" i="1"/>
  <c r="G430" i="1"/>
  <c r="I432" i="1"/>
  <c r="H433" i="1"/>
  <c r="G434" i="1"/>
  <c r="I436" i="1"/>
  <c r="H437" i="1"/>
  <c r="G438" i="1"/>
  <c r="I440" i="1"/>
  <c r="H441" i="1"/>
  <c r="G442" i="1"/>
  <c r="I444" i="1"/>
  <c r="H445" i="1"/>
  <c r="G446" i="1"/>
  <c r="I448" i="1"/>
  <c r="H449" i="1"/>
  <c r="G450" i="1"/>
  <c r="I452" i="1"/>
  <c r="H453" i="1"/>
  <c r="G454" i="1"/>
  <c r="I456" i="1"/>
  <c r="H457" i="1"/>
  <c r="G458" i="1"/>
  <c r="I460" i="1"/>
  <c r="H461" i="1"/>
  <c r="G462" i="1"/>
  <c r="I464" i="1"/>
  <c r="H465" i="1"/>
  <c r="G466" i="1"/>
  <c r="I468" i="1"/>
  <c r="H469" i="1"/>
  <c r="G470" i="1"/>
  <c r="I472" i="1"/>
  <c r="H473" i="1"/>
  <c r="G474" i="1"/>
  <c r="I476" i="1"/>
  <c r="H477" i="1"/>
  <c r="G478" i="1"/>
  <c r="I480" i="1"/>
  <c r="H481" i="1"/>
  <c r="G482" i="1"/>
  <c r="I484" i="1"/>
  <c r="H485" i="1"/>
  <c r="G486" i="1"/>
  <c r="I488" i="1"/>
  <c r="H489" i="1"/>
  <c r="G490" i="1"/>
  <c r="I492" i="1"/>
  <c r="H493" i="1"/>
  <c r="G494" i="1"/>
  <c r="I496" i="1"/>
  <c r="H497" i="1"/>
  <c r="G498" i="1"/>
  <c r="I500" i="1"/>
  <c r="H501" i="1"/>
  <c r="G502" i="1"/>
  <c r="I504" i="1"/>
  <c r="I508" i="1"/>
  <c r="I512" i="1"/>
  <c r="I516" i="1"/>
  <c r="I520" i="1"/>
  <c r="I524" i="1"/>
  <c r="I528" i="1"/>
  <c r="I532" i="1"/>
  <c r="I536" i="1"/>
  <c r="I540" i="1"/>
  <c r="I544" i="1"/>
  <c r="I548" i="1"/>
  <c r="I552" i="1"/>
  <c r="I556" i="1"/>
  <c r="I560" i="1"/>
  <c r="I564" i="1"/>
  <c r="I568" i="1"/>
  <c r="I572" i="1"/>
  <c r="I576" i="1"/>
  <c r="I580" i="1"/>
  <c r="I584" i="1"/>
  <c r="I588" i="1"/>
  <c r="I592" i="1"/>
  <c r="I596" i="1"/>
  <c r="I600" i="1"/>
  <c r="I604" i="1"/>
  <c r="I608" i="1"/>
  <c r="I612" i="1"/>
  <c r="I616" i="1"/>
  <c r="I620" i="1"/>
  <c r="I624" i="1"/>
  <c r="I628" i="1"/>
  <c r="I632" i="1"/>
  <c r="I636" i="1"/>
  <c r="I640" i="1"/>
  <c r="I644" i="1"/>
  <c r="I648" i="1"/>
  <c r="I652" i="1"/>
  <c r="I656" i="1"/>
  <c r="I660" i="1"/>
  <c r="I664" i="1"/>
  <c r="I668" i="1"/>
  <c r="I672" i="1"/>
  <c r="I676" i="1"/>
  <c r="I680" i="1"/>
  <c r="I684" i="1"/>
  <c r="I688" i="1"/>
  <c r="I692" i="1"/>
  <c r="I696" i="1"/>
  <c r="I700" i="1"/>
  <c r="I704" i="1"/>
  <c r="I708" i="1"/>
  <c r="I712" i="1"/>
  <c r="I716" i="1"/>
  <c r="I720" i="1"/>
  <c r="I724" i="1"/>
  <c r="I728" i="1"/>
  <c r="I732" i="1"/>
  <c r="I736" i="1"/>
  <c r="I740" i="1"/>
  <c r="I744" i="1"/>
  <c r="I748" i="1"/>
  <c r="I752" i="1"/>
  <c r="I756" i="1"/>
  <c r="I760" i="1"/>
  <c r="I764" i="1"/>
  <c r="I768" i="1"/>
  <c r="I772" i="1"/>
  <c r="I776" i="1"/>
  <c r="I780" i="1"/>
  <c r="I784" i="1"/>
  <c r="I788" i="1"/>
  <c r="I792" i="1"/>
  <c r="I796" i="1"/>
  <c r="I800" i="1"/>
  <c r="I804" i="1"/>
  <c r="I808" i="1"/>
  <c r="I812" i="1"/>
  <c r="I816" i="1"/>
  <c r="I820" i="1"/>
  <c r="I824" i="1"/>
  <c r="I828" i="1"/>
  <c r="I832" i="1"/>
  <c r="I836" i="1"/>
  <c r="I840" i="1"/>
  <c r="I844" i="1"/>
  <c r="I848" i="1"/>
  <c r="I852" i="1"/>
  <c r="I856" i="1"/>
  <c r="I860" i="1"/>
  <c r="I864" i="1"/>
  <c r="I868" i="1"/>
  <c r="I872" i="1"/>
  <c r="I876" i="1"/>
  <c r="I880" i="1"/>
  <c r="I884" i="1"/>
  <c r="I888" i="1"/>
  <c r="I892" i="1"/>
  <c r="I896" i="1"/>
  <c r="I900" i="1"/>
  <c r="I904" i="1"/>
  <c r="I908" i="1"/>
  <c r="I912" i="1"/>
  <c r="I916" i="1"/>
  <c r="I920" i="1"/>
  <c r="I924" i="1"/>
  <c r="I928" i="1"/>
  <c r="I932" i="1"/>
  <c r="I936" i="1"/>
  <c r="I940" i="1"/>
  <c r="I944" i="1"/>
  <c r="I948" i="1"/>
  <c r="I952" i="1"/>
  <c r="I956" i="1"/>
  <c r="I960" i="1"/>
  <c r="I964" i="1"/>
  <c r="I968" i="1"/>
  <c r="I972" i="1"/>
  <c r="I976" i="1"/>
  <c r="I980" i="1"/>
  <c r="I984" i="1"/>
  <c r="I988" i="1"/>
  <c r="I992" i="1"/>
  <c r="I996" i="1"/>
  <c r="I1000" i="1"/>
  <c r="I1004" i="1"/>
  <c r="I1008" i="1"/>
  <c r="I1012" i="1"/>
  <c r="I1016" i="1"/>
  <c r="I1020" i="1"/>
  <c r="I1024" i="1"/>
  <c r="I1028" i="1"/>
  <c r="I1032" i="1"/>
  <c r="I1036" i="1"/>
  <c r="I1040" i="1"/>
  <c r="I1044" i="1"/>
  <c r="I1048" i="1"/>
  <c r="I1052" i="1"/>
  <c r="I1056" i="1"/>
  <c r="I1060" i="1"/>
  <c r="I1064" i="1"/>
  <c r="I1068" i="1"/>
  <c r="I1072" i="1"/>
  <c r="I1076" i="1"/>
  <c r="I1080" i="1"/>
  <c r="I1084" i="1"/>
  <c r="I1088" i="1"/>
  <c r="I1092" i="1"/>
  <c r="I1096" i="1"/>
  <c r="I1100" i="1"/>
  <c r="I1104" i="1"/>
  <c r="I1108" i="1"/>
  <c r="I1112" i="1"/>
  <c r="I1116" i="1"/>
  <c r="I1120" i="1"/>
  <c r="I1124" i="1"/>
  <c r="I1128" i="1"/>
  <c r="I1132" i="1"/>
  <c r="I1136" i="1"/>
  <c r="I1140" i="1"/>
  <c r="I1144" i="1"/>
  <c r="H1149" i="1"/>
  <c r="F1149" i="1"/>
  <c r="H1153" i="1"/>
  <c r="F1153" i="1"/>
  <c r="H1157" i="1"/>
  <c r="F1157" i="1"/>
  <c r="H1161" i="1"/>
  <c r="F1161" i="1"/>
  <c r="H1165" i="1"/>
  <c r="F1165" i="1"/>
  <c r="H1169" i="1"/>
  <c r="F1169" i="1"/>
  <c r="F1175" i="1"/>
  <c r="H1175" i="1"/>
  <c r="H1185" i="1"/>
  <c r="F1185" i="1"/>
  <c r="F1191" i="1"/>
  <c r="H1191" i="1"/>
  <c r="H1201" i="1"/>
  <c r="F1201" i="1"/>
  <c r="F1207" i="1"/>
  <c r="H1207" i="1"/>
  <c r="H1217" i="1"/>
  <c r="F1217" i="1"/>
  <c r="F1223" i="1"/>
  <c r="H1223" i="1"/>
  <c r="H1233" i="1"/>
  <c r="F1233" i="1"/>
  <c r="F1239" i="1"/>
  <c r="H1239" i="1"/>
  <c r="H1249" i="1"/>
  <c r="F1249" i="1"/>
  <c r="F1255" i="1"/>
  <c r="H1255" i="1"/>
  <c r="H1265" i="1"/>
  <c r="F1265" i="1"/>
  <c r="F1271" i="1"/>
  <c r="H1271" i="1"/>
  <c r="H1281" i="1"/>
  <c r="F1281" i="1"/>
  <c r="F1287" i="1"/>
  <c r="H1287" i="1"/>
  <c r="H1293" i="1"/>
  <c r="G1293" i="1"/>
  <c r="F1293" i="1"/>
  <c r="H1345" i="1"/>
  <c r="G1345" i="1"/>
  <c r="F1345" i="1"/>
  <c r="H1769" i="1"/>
  <c r="G1769" i="1"/>
  <c r="F1769" i="1"/>
  <c r="I1769" i="1"/>
  <c r="H1801" i="1"/>
  <c r="G1801" i="1"/>
  <c r="F1801" i="1"/>
  <c r="I1801" i="1"/>
  <c r="H1867" i="1"/>
  <c r="G1867" i="1"/>
  <c r="F1867" i="1"/>
  <c r="I1867" i="1"/>
  <c r="H1933" i="1"/>
  <c r="G1933" i="1"/>
  <c r="F1933" i="1"/>
  <c r="I1933" i="1"/>
  <c r="H1997" i="1"/>
  <c r="G1997" i="1"/>
  <c r="F1997" i="1"/>
  <c r="I1997" i="1"/>
  <c r="H2061" i="1"/>
  <c r="G2061" i="1"/>
  <c r="F2061" i="1"/>
  <c r="I2061" i="1"/>
  <c r="H2109" i="1"/>
  <c r="G2109" i="1"/>
  <c r="F2109" i="1"/>
  <c r="I2109" i="1"/>
  <c r="H2157" i="1"/>
  <c r="G2157" i="1"/>
  <c r="F2157" i="1"/>
  <c r="I2157" i="1"/>
  <c r="H2189" i="1"/>
  <c r="G2189" i="1"/>
  <c r="F2189" i="1"/>
  <c r="I2189" i="1"/>
  <c r="H146" i="1"/>
  <c r="F148" i="1"/>
  <c r="I149" i="1"/>
  <c r="H150" i="1"/>
  <c r="F152" i="1"/>
  <c r="I153" i="1"/>
  <c r="H154" i="1"/>
  <c r="F156" i="1"/>
  <c r="I157" i="1"/>
  <c r="H158" i="1"/>
  <c r="F160" i="1"/>
  <c r="H162" i="1"/>
  <c r="F164" i="1"/>
  <c r="H166" i="1"/>
  <c r="F168" i="1"/>
  <c r="H170" i="1"/>
  <c r="F172" i="1"/>
  <c r="H174" i="1"/>
  <c r="F176" i="1"/>
  <c r="I177" i="1"/>
  <c r="H178" i="1"/>
  <c r="F180" i="1"/>
  <c r="I181" i="1"/>
  <c r="H182" i="1"/>
  <c r="F184" i="1"/>
  <c r="I185" i="1"/>
  <c r="H186" i="1"/>
  <c r="F188" i="1"/>
  <c r="I189" i="1"/>
  <c r="H190" i="1"/>
  <c r="F192" i="1"/>
  <c r="I193" i="1"/>
  <c r="H194" i="1"/>
  <c r="F196" i="1"/>
  <c r="I197" i="1"/>
  <c r="H198" i="1"/>
  <c r="F200" i="1"/>
  <c r="I201" i="1"/>
  <c r="H202" i="1"/>
  <c r="F204" i="1"/>
  <c r="I205" i="1"/>
  <c r="H206" i="1"/>
  <c r="F208" i="1"/>
  <c r="I209" i="1"/>
  <c r="H210" i="1"/>
  <c r="F212" i="1"/>
  <c r="I213" i="1"/>
  <c r="H214" i="1"/>
  <c r="F216" i="1"/>
  <c r="I217" i="1"/>
  <c r="H218" i="1"/>
  <c r="F220" i="1"/>
  <c r="I221" i="1"/>
  <c r="H222" i="1"/>
  <c r="F224" i="1"/>
  <c r="I225" i="1"/>
  <c r="H226" i="1"/>
  <c r="F228" i="1"/>
  <c r="I229" i="1"/>
  <c r="H230" i="1"/>
  <c r="F232" i="1"/>
  <c r="I233" i="1"/>
  <c r="H234" i="1"/>
  <c r="F236" i="1"/>
  <c r="I237" i="1"/>
  <c r="H238" i="1"/>
  <c r="F240" i="1"/>
  <c r="I241" i="1"/>
  <c r="H242" i="1"/>
  <c r="F244" i="1"/>
  <c r="I245" i="1"/>
  <c r="H246" i="1"/>
  <c r="F248" i="1"/>
  <c r="I249" i="1"/>
  <c r="H250" i="1"/>
  <c r="F252" i="1"/>
  <c r="I253" i="1"/>
  <c r="H254" i="1"/>
  <c r="F256" i="1"/>
  <c r="H258" i="1"/>
  <c r="F260" i="1"/>
  <c r="I261" i="1"/>
  <c r="H262" i="1"/>
  <c r="F264" i="1"/>
  <c r="I265" i="1"/>
  <c r="H266" i="1"/>
  <c r="F268" i="1"/>
  <c r="I269" i="1"/>
  <c r="H270" i="1"/>
  <c r="F272" i="1"/>
  <c r="I273" i="1"/>
  <c r="F276" i="1"/>
  <c r="I277" i="1"/>
  <c r="F280" i="1"/>
  <c r="I281" i="1"/>
  <c r="F284" i="1"/>
  <c r="I285" i="1"/>
  <c r="F288" i="1"/>
  <c r="I289" i="1"/>
  <c r="I293" i="1"/>
  <c r="I297" i="1"/>
  <c r="I301" i="1"/>
  <c r="I305" i="1"/>
  <c r="I309" i="1"/>
  <c r="I313" i="1"/>
  <c r="I317" i="1"/>
  <c r="I321" i="1"/>
  <c r="I325" i="1"/>
  <c r="I329" i="1"/>
  <c r="I333" i="1"/>
  <c r="I337" i="1"/>
  <c r="I341" i="1"/>
  <c r="I345" i="1"/>
  <c r="I349" i="1"/>
  <c r="H350" i="1"/>
  <c r="F352" i="1"/>
  <c r="I353" i="1"/>
  <c r="H354" i="1"/>
  <c r="F356" i="1"/>
  <c r="I357" i="1"/>
  <c r="H358" i="1"/>
  <c r="F360" i="1"/>
  <c r="I361" i="1"/>
  <c r="H362" i="1"/>
  <c r="F364" i="1"/>
  <c r="I365" i="1"/>
  <c r="H366" i="1"/>
  <c r="F368" i="1"/>
  <c r="I369" i="1"/>
  <c r="H370" i="1"/>
  <c r="F372" i="1"/>
  <c r="I373" i="1"/>
  <c r="H374" i="1"/>
  <c r="F376" i="1"/>
  <c r="I377" i="1"/>
  <c r="H378" i="1"/>
  <c r="F380" i="1"/>
  <c r="I381" i="1"/>
  <c r="H382" i="1"/>
  <c r="F384" i="1"/>
  <c r="I385" i="1"/>
  <c r="H386" i="1"/>
  <c r="F388" i="1"/>
  <c r="I389" i="1"/>
  <c r="H390" i="1"/>
  <c r="F392" i="1"/>
  <c r="I393" i="1"/>
  <c r="H394" i="1"/>
  <c r="F396" i="1"/>
  <c r="I397" i="1"/>
  <c r="H398" i="1"/>
  <c r="F400" i="1"/>
  <c r="I401" i="1"/>
  <c r="H402" i="1"/>
  <c r="F404" i="1"/>
  <c r="I405" i="1"/>
  <c r="H406" i="1"/>
  <c r="F408" i="1"/>
  <c r="I409" i="1"/>
  <c r="H410" i="1"/>
  <c r="F412" i="1"/>
  <c r="I413" i="1"/>
  <c r="H414" i="1"/>
  <c r="F416" i="1"/>
  <c r="I417" i="1"/>
  <c r="H418" i="1"/>
  <c r="F420" i="1"/>
  <c r="I421" i="1"/>
  <c r="H422" i="1"/>
  <c r="F424" i="1"/>
  <c r="I425" i="1"/>
  <c r="H426" i="1"/>
  <c r="F428" i="1"/>
  <c r="I429" i="1"/>
  <c r="H430" i="1"/>
  <c r="F432" i="1"/>
  <c r="I433" i="1"/>
  <c r="H434" i="1"/>
  <c r="F436" i="1"/>
  <c r="I437" i="1"/>
  <c r="H438" i="1"/>
  <c r="F440" i="1"/>
  <c r="I441" i="1"/>
  <c r="H442" i="1"/>
  <c r="F444" i="1"/>
  <c r="I445" i="1"/>
  <c r="H446" i="1"/>
  <c r="F448" i="1"/>
  <c r="I449" i="1"/>
  <c r="H450" i="1"/>
  <c r="F452" i="1"/>
  <c r="I453" i="1"/>
  <c r="H454" i="1"/>
  <c r="F456" i="1"/>
  <c r="I457" i="1"/>
  <c r="H458" i="1"/>
  <c r="F460" i="1"/>
  <c r="I461" i="1"/>
  <c r="H462" i="1"/>
  <c r="F464" i="1"/>
  <c r="I465" i="1"/>
  <c r="H466" i="1"/>
  <c r="F468" i="1"/>
  <c r="I469" i="1"/>
  <c r="H470" i="1"/>
  <c r="F472" i="1"/>
  <c r="I473" i="1"/>
  <c r="H474" i="1"/>
  <c r="F476" i="1"/>
  <c r="I477" i="1"/>
  <c r="H478" i="1"/>
  <c r="F480" i="1"/>
  <c r="I481" i="1"/>
  <c r="H482" i="1"/>
  <c r="F484" i="1"/>
  <c r="I485" i="1"/>
  <c r="H486" i="1"/>
  <c r="F488" i="1"/>
  <c r="I489" i="1"/>
  <c r="H490" i="1"/>
  <c r="F492" i="1"/>
  <c r="I493" i="1"/>
  <c r="H494" i="1"/>
  <c r="F496" i="1"/>
  <c r="I497" i="1"/>
  <c r="H498" i="1"/>
  <c r="F500" i="1"/>
  <c r="I501" i="1"/>
  <c r="H502" i="1"/>
  <c r="F504" i="1"/>
  <c r="I505" i="1"/>
  <c r="H506" i="1"/>
  <c r="F508" i="1"/>
  <c r="I509" i="1"/>
  <c r="H510" i="1"/>
  <c r="F512" i="1"/>
  <c r="I513" i="1"/>
  <c r="H514" i="1"/>
  <c r="F516" i="1"/>
  <c r="I517" i="1"/>
  <c r="H518" i="1"/>
  <c r="F520" i="1"/>
  <c r="I521" i="1"/>
  <c r="H522" i="1"/>
  <c r="F524" i="1"/>
  <c r="I525" i="1"/>
  <c r="H526" i="1"/>
  <c r="F528" i="1"/>
  <c r="I529" i="1"/>
  <c r="H530" i="1"/>
  <c r="F532" i="1"/>
  <c r="I533" i="1"/>
  <c r="H534" i="1"/>
  <c r="F536" i="1"/>
  <c r="I537" i="1"/>
  <c r="H538" i="1"/>
  <c r="F540" i="1"/>
  <c r="I541" i="1"/>
  <c r="H542" i="1"/>
  <c r="F544" i="1"/>
  <c r="I545" i="1"/>
  <c r="H546" i="1"/>
  <c r="F548" i="1"/>
  <c r="I549" i="1"/>
  <c r="H550" i="1"/>
  <c r="F552" i="1"/>
  <c r="I553" i="1"/>
  <c r="H554" i="1"/>
  <c r="F556" i="1"/>
  <c r="I557" i="1"/>
  <c r="H558" i="1"/>
  <c r="F560" i="1"/>
  <c r="I561" i="1"/>
  <c r="H562" i="1"/>
  <c r="F564" i="1"/>
  <c r="I565" i="1"/>
  <c r="H566" i="1"/>
  <c r="F568" i="1"/>
  <c r="I569" i="1"/>
  <c r="H570" i="1"/>
  <c r="F572" i="1"/>
  <c r="I573" i="1"/>
  <c r="H574" i="1"/>
  <c r="F576" i="1"/>
  <c r="I577" i="1"/>
  <c r="H578" i="1"/>
  <c r="F580" i="1"/>
  <c r="I581" i="1"/>
  <c r="H582" i="1"/>
  <c r="F584" i="1"/>
  <c r="I585" i="1"/>
  <c r="H586" i="1"/>
  <c r="F588" i="1"/>
  <c r="I589" i="1"/>
  <c r="H590" i="1"/>
  <c r="F592" i="1"/>
  <c r="I593" i="1"/>
  <c r="H594" i="1"/>
  <c r="F596" i="1"/>
  <c r="I597" i="1"/>
  <c r="H598" i="1"/>
  <c r="F600" i="1"/>
  <c r="I601" i="1"/>
  <c r="H602" i="1"/>
  <c r="F604" i="1"/>
  <c r="I605" i="1"/>
  <c r="H606" i="1"/>
  <c r="F608" i="1"/>
  <c r="I609" i="1"/>
  <c r="H610" i="1"/>
  <c r="F612" i="1"/>
  <c r="I613" i="1"/>
  <c r="H614" i="1"/>
  <c r="F616" i="1"/>
  <c r="I617" i="1"/>
  <c r="H618" i="1"/>
  <c r="F620" i="1"/>
  <c r="I621" i="1"/>
  <c r="H622" i="1"/>
  <c r="F624" i="1"/>
  <c r="I625" i="1"/>
  <c r="H626" i="1"/>
  <c r="F628" i="1"/>
  <c r="I629" i="1"/>
  <c r="H630" i="1"/>
  <c r="F632" i="1"/>
  <c r="I633" i="1"/>
  <c r="H634" i="1"/>
  <c r="F636" i="1"/>
  <c r="I637" i="1"/>
  <c r="H638" i="1"/>
  <c r="F640" i="1"/>
  <c r="I641" i="1"/>
  <c r="H642" i="1"/>
  <c r="F644" i="1"/>
  <c r="I645" i="1"/>
  <c r="H646" i="1"/>
  <c r="F648" i="1"/>
  <c r="H650" i="1"/>
  <c r="F652" i="1"/>
  <c r="I653" i="1"/>
  <c r="H654" i="1"/>
  <c r="F656" i="1"/>
  <c r="I657" i="1"/>
  <c r="H658" i="1"/>
  <c r="F660" i="1"/>
  <c r="I661" i="1"/>
  <c r="H662" i="1"/>
  <c r="F664" i="1"/>
  <c r="I665" i="1"/>
  <c r="H666" i="1"/>
  <c r="F668" i="1"/>
  <c r="I669" i="1"/>
  <c r="H670" i="1"/>
  <c r="F672" i="1"/>
  <c r="I673" i="1"/>
  <c r="H674" i="1"/>
  <c r="F676" i="1"/>
  <c r="I677" i="1"/>
  <c r="H678" i="1"/>
  <c r="F680" i="1"/>
  <c r="I681" i="1"/>
  <c r="H682" i="1"/>
  <c r="F684" i="1"/>
  <c r="I685" i="1"/>
  <c r="H686" i="1"/>
  <c r="F688" i="1"/>
  <c r="I689" i="1"/>
  <c r="H690" i="1"/>
  <c r="F692" i="1"/>
  <c r="I693" i="1"/>
  <c r="H694" i="1"/>
  <c r="F696" i="1"/>
  <c r="I697" i="1"/>
  <c r="H698" i="1"/>
  <c r="F700" i="1"/>
  <c r="I701" i="1"/>
  <c r="H702" i="1"/>
  <c r="F704" i="1"/>
  <c r="I705" i="1"/>
  <c r="H706" i="1"/>
  <c r="F708" i="1"/>
  <c r="I709" i="1"/>
  <c r="H710" i="1"/>
  <c r="F712" i="1"/>
  <c r="I713" i="1"/>
  <c r="H714" i="1"/>
  <c r="F716" i="1"/>
  <c r="H718" i="1"/>
  <c r="F720" i="1"/>
  <c r="I721" i="1"/>
  <c r="H722" i="1"/>
  <c r="F724" i="1"/>
  <c r="I725" i="1"/>
  <c r="H726" i="1"/>
  <c r="F728" i="1"/>
  <c r="I729" i="1"/>
  <c r="H730" i="1"/>
  <c r="F732" i="1"/>
  <c r="I733" i="1"/>
  <c r="H734" i="1"/>
  <c r="F736" i="1"/>
  <c r="I737" i="1"/>
  <c r="H738" i="1"/>
  <c r="F740" i="1"/>
  <c r="I741" i="1"/>
  <c r="H742" i="1"/>
  <c r="F744" i="1"/>
  <c r="I745" i="1"/>
  <c r="H746" i="1"/>
  <c r="F748" i="1"/>
  <c r="I749" i="1"/>
  <c r="H750" i="1"/>
  <c r="F752" i="1"/>
  <c r="I753" i="1"/>
  <c r="H754" i="1"/>
  <c r="F756" i="1"/>
  <c r="I757" i="1"/>
  <c r="H758" i="1"/>
  <c r="F760" i="1"/>
  <c r="I761" i="1"/>
  <c r="H762" i="1"/>
  <c r="F764" i="1"/>
  <c r="I765" i="1"/>
  <c r="H766" i="1"/>
  <c r="F768" i="1"/>
  <c r="I769" i="1"/>
  <c r="H770" i="1"/>
  <c r="F772" i="1"/>
  <c r="I773" i="1"/>
  <c r="H774" i="1"/>
  <c r="F776" i="1"/>
  <c r="I777" i="1"/>
  <c r="H778" i="1"/>
  <c r="F780" i="1"/>
  <c r="I781" i="1"/>
  <c r="H782" i="1"/>
  <c r="F784" i="1"/>
  <c r="I785" i="1"/>
  <c r="H786" i="1"/>
  <c r="F788" i="1"/>
  <c r="I789" i="1"/>
  <c r="H790" i="1"/>
  <c r="F792" i="1"/>
  <c r="I793" i="1"/>
  <c r="H794" i="1"/>
  <c r="F796" i="1"/>
  <c r="I797" i="1"/>
  <c r="H798" i="1"/>
  <c r="F800" i="1"/>
  <c r="I801" i="1"/>
  <c r="H802" i="1"/>
  <c r="F804" i="1"/>
  <c r="I805" i="1"/>
  <c r="H806" i="1"/>
  <c r="F808" i="1"/>
  <c r="I809" i="1"/>
  <c r="H810" i="1"/>
  <c r="F812" i="1"/>
  <c r="I813" i="1"/>
  <c r="H814" i="1"/>
  <c r="F816" i="1"/>
  <c r="I817" i="1"/>
  <c r="H818" i="1"/>
  <c r="F820" i="1"/>
  <c r="I821" i="1"/>
  <c r="H822" i="1"/>
  <c r="F824" i="1"/>
  <c r="I825" i="1"/>
  <c r="H826" i="1"/>
  <c r="F828" i="1"/>
  <c r="I829" i="1"/>
  <c r="H830" i="1"/>
  <c r="F832" i="1"/>
  <c r="I833" i="1"/>
  <c r="H834" i="1"/>
  <c r="F836" i="1"/>
  <c r="I837" i="1"/>
  <c r="H838" i="1"/>
  <c r="F840" i="1"/>
  <c r="I841" i="1"/>
  <c r="H842" i="1"/>
  <c r="F844" i="1"/>
  <c r="I845" i="1"/>
  <c r="H846" i="1"/>
  <c r="F848" i="1"/>
  <c r="I849" i="1"/>
  <c r="H850" i="1"/>
  <c r="F852" i="1"/>
  <c r="I853" i="1"/>
  <c r="H854" i="1"/>
  <c r="F856" i="1"/>
  <c r="I857" i="1"/>
  <c r="H858" i="1"/>
  <c r="F860" i="1"/>
  <c r="I861" i="1"/>
  <c r="H862" i="1"/>
  <c r="F864" i="1"/>
  <c r="I865" i="1"/>
  <c r="H866" i="1"/>
  <c r="F868" i="1"/>
  <c r="I869" i="1"/>
  <c r="H870" i="1"/>
  <c r="F872" i="1"/>
  <c r="I873" i="1"/>
  <c r="H874" i="1"/>
  <c r="F876" i="1"/>
  <c r="I877" i="1"/>
  <c r="H878" i="1"/>
  <c r="F880" i="1"/>
  <c r="I881" i="1"/>
  <c r="H882" i="1"/>
  <c r="F884" i="1"/>
  <c r="H886" i="1"/>
  <c r="F888" i="1"/>
  <c r="H890" i="1"/>
  <c r="F892" i="1"/>
  <c r="I893" i="1"/>
  <c r="H894" i="1"/>
  <c r="F896" i="1"/>
  <c r="I897" i="1"/>
  <c r="H898" i="1"/>
  <c r="F900" i="1"/>
  <c r="I901" i="1"/>
  <c r="H902" i="1"/>
  <c r="F904" i="1"/>
  <c r="I905" i="1"/>
  <c r="H906" i="1"/>
  <c r="F908" i="1"/>
  <c r="I909" i="1"/>
  <c r="H910" i="1"/>
  <c r="F912" i="1"/>
  <c r="I913" i="1"/>
  <c r="H914" i="1"/>
  <c r="F916" i="1"/>
  <c r="I917" i="1"/>
  <c r="H918" i="1"/>
  <c r="F920" i="1"/>
  <c r="I921" i="1"/>
  <c r="H922" i="1"/>
  <c r="F924" i="1"/>
  <c r="I925" i="1"/>
  <c r="H926" i="1"/>
  <c r="F928" i="1"/>
  <c r="I929" i="1"/>
  <c r="H930" i="1"/>
  <c r="F932" i="1"/>
  <c r="I933" i="1"/>
  <c r="H934" i="1"/>
  <c r="F936" i="1"/>
  <c r="I937" i="1"/>
  <c r="H938" i="1"/>
  <c r="F940" i="1"/>
  <c r="I941" i="1"/>
  <c r="H942" i="1"/>
  <c r="F944" i="1"/>
  <c r="I945" i="1"/>
  <c r="H946" i="1"/>
  <c r="F948" i="1"/>
  <c r="I949" i="1"/>
  <c r="H950" i="1"/>
  <c r="F952" i="1"/>
  <c r="H954" i="1"/>
  <c r="F956" i="1"/>
  <c r="I957" i="1"/>
  <c r="H958" i="1"/>
  <c r="F960" i="1"/>
  <c r="I961" i="1"/>
  <c r="H962" i="1"/>
  <c r="F964" i="1"/>
  <c r="I965" i="1"/>
  <c r="H966" i="1"/>
  <c r="F968" i="1"/>
  <c r="I969" i="1"/>
  <c r="H970" i="1"/>
  <c r="F972" i="1"/>
  <c r="I973" i="1"/>
  <c r="H974" i="1"/>
  <c r="F976" i="1"/>
  <c r="I977" i="1"/>
  <c r="H978" i="1"/>
  <c r="F980" i="1"/>
  <c r="I981" i="1"/>
  <c r="H982" i="1"/>
  <c r="F984" i="1"/>
  <c r="I985" i="1"/>
  <c r="H986" i="1"/>
  <c r="F988" i="1"/>
  <c r="I989" i="1"/>
  <c r="H990" i="1"/>
  <c r="F992" i="1"/>
  <c r="I993" i="1"/>
  <c r="H994" i="1"/>
  <c r="F996" i="1"/>
  <c r="I997" i="1"/>
  <c r="H998" i="1"/>
  <c r="F1000" i="1"/>
  <c r="H1002" i="1"/>
  <c r="F1004" i="1"/>
  <c r="H1006" i="1"/>
  <c r="F1008" i="1"/>
  <c r="H1010" i="1"/>
  <c r="F1012" i="1"/>
  <c r="H1014" i="1"/>
  <c r="F1016" i="1"/>
  <c r="H1018" i="1"/>
  <c r="F1020" i="1"/>
  <c r="H1022" i="1"/>
  <c r="F1024" i="1"/>
  <c r="H1026" i="1"/>
  <c r="F1028" i="1"/>
  <c r="H1030" i="1"/>
  <c r="F1032" i="1"/>
  <c r="H1034" i="1"/>
  <c r="F1036" i="1"/>
  <c r="H1038" i="1"/>
  <c r="F1040" i="1"/>
  <c r="H1042" i="1"/>
  <c r="F1044" i="1"/>
  <c r="H1046" i="1"/>
  <c r="F1048" i="1"/>
  <c r="H1050" i="1"/>
  <c r="F1052" i="1"/>
  <c r="H1054" i="1"/>
  <c r="F1056" i="1"/>
  <c r="H1058" i="1"/>
  <c r="F1060" i="1"/>
  <c r="H1062" i="1"/>
  <c r="F1064" i="1"/>
  <c r="H1066" i="1"/>
  <c r="F1068" i="1"/>
  <c r="H1070" i="1"/>
  <c r="F1072" i="1"/>
  <c r="H1074" i="1"/>
  <c r="F1076" i="1"/>
  <c r="H1078" i="1"/>
  <c r="F1080" i="1"/>
  <c r="H1082" i="1"/>
  <c r="F1084" i="1"/>
  <c r="H1086" i="1"/>
  <c r="F1088" i="1"/>
  <c r="H1090" i="1"/>
  <c r="F1092" i="1"/>
  <c r="H1094" i="1"/>
  <c r="F1096" i="1"/>
  <c r="H1098" i="1"/>
  <c r="F1100" i="1"/>
  <c r="H1102" i="1"/>
  <c r="F1104" i="1"/>
  <c r="H1106" i="1"/>
  <c r="F1108" i="1"/>
  <c r="H1110" i="1"/>
  <c r="F1112" i="1"/>
  <c r="H1114" i="1"/>
  <c r="F1116" i="1"/>
  <c r="H1118" i="1"/>
  <c r="F1120" i="1"/>
  <c r="H1122" i="1"/>
  <c r="F1124" i="1"/>
  <c r="H1126" i="1"/>
  <c r="F1128" i="1"/>
  <c r="H1130" i="1"/>
  <c r="F1132" i="1"/>
  <c r="H1134" i="1"/>
  <c r="F1136" i="1"/>
  <c r="H1138" i="1"/>
  <c r="F1140" i="1"/>
  <c r="H1142" i="1"/>
  <c r="F1144" i="1"/>
  <c r="H1146" i="1"/>
  <c r="G1149" i="1"/>
  <c r="G1153" i="1"/>
  <c r="G1157" i="1"/>
  <c r="G1161" i="1"/>
  <c r="G1165" i="1"/>
  <c r="G1169" i="1"/>
  <c r="H1173" i="1"/>
  <c r="F1173" i="1"/>
  <c r="G1175" i="1"/>
  <c r="F1179" i="1"/>
  <c r="H1179" i="1"/>
  <c r="G1185" i="1"/>
  <c r="H1189" i="1"/>
  <c r="F1189" i="1"/>
  <c r="G1191" i="1"/>
  <c r="F1195" i="1"/>
  <c r="H1195" i="1"/>
  <c r="G1201" i="1"/>
  <c r="H1205" i="1"/>
  <c r="F1205" i="1"/>
  <c r="G1207" i="1"/>
  <c r="F1211" i="1"/>
  <c r="H1211" i="1"/>
  <c r="G1217" i="1"/>
  <c r="H1221" i="1"/>
  <c r="F1221" i="1"/>
  <c r="G1223" i="1"/>
  <c r="F1227" i="1"/>
  <c r="H1227" i="1"/>
  <c r="G1233" i="1"/>
  <c r="H1237" i="1"/>
  <c r="F1237" i="1"/>
  <c r="G1239" i="1"/>
  <c r="F1243" i="1"/>
  <c r="H1243" i="1"/>
  <c r="G1249" i="1"/>
  <c r="H1253" i="1"/>
  <c r="F1253" i="1"/>
  <c r="G1255" i="1"/>
  <c r="F1259" i="1"/>
  <c r="H1259" i="1"/>
  <c r="G1265" i="1"/>
  <c r="H1269" i="1"/>
  <c r="F1269" i="1"/>
  <c r="G1271" i="1"/>
  <c r="F1275" i="1"/>
  <c r="H1275" i="1"/>
  <c r="G1281" i="1"/>
  <c r="H1285" i="1"/>
  <c r="F1285" i="1"/>
  <c r="G1287" i="1"/>
  <c r="I1293" i="1"/>
  <c r="I1345" i="1"/>
  <c r="H1349" i="1"/>
  <c r="G1349" i="1"/>
  <c r="F1349" i="1"/>
  <c r="H1353" i="1"/>
  <c r="G1353" i="1"/>
  <c r="F1353" i="1"/>
  <c r="H1357" i="1"/>
  <c r="G1357" i="1"/>
  <c r="F1357" i="1"/>
  <c r="H1361" i="1"/>
  <c r="G1361" i="1"/>
  <c r="F1361" i="1"/>
  <c r="H1365" i="1"/>
  <c r="G1365" i="1"/>
  <c r="F1365" i="1"/>
  <c r="H1369" i="1"/>
  <c r="G1369" i="1"/>
  <c r="F1369" i="1"/>
  <c r="H1373" i="1"/>
  <c r="G1373" i="1"/>
  <c r="F1373" i="1"/>
  <c r="H1377" i="1"/>
  <c r="G1377" i="1"/>
  <c r="F1377" i="1"/>
  <c r="H1381" i="1"/>
  <c r="G1381" i="1"/>
  <c r="F1381" i="1"/>
  <c r="H1385" i="1"/>
  <c r="G1385" i="1"/>
  <c r="F1385" i="1"/>
  <c r="H1389" i="1"/>
  <c r="G1389" i="1"/>
  <c r="F1389" i="1"/>
  <c r="H1393" i="1"/>
  <c r="G1393" i="1"/>
  <c r="F1393" i="1"/>
  <c r="H1397" i="1"/>
  <c r="G1397" i="1"/>
  <c r="F1397" i="1"/>
  <c r="H1401" i="1"/>
  <c r="G1401" i="1"/>
  <c r="F1401" i="1"/>
  <c r="H1405" i="1"/>
  <c r="G1405" i="1"/>
  <c r="F1405" i="1"/>
  <c r="H1409" i="1"/>
  <c r="G1409" i="1"/>
  <c r="F1409" i="1"/>
  <c r="H1413" i="1"/>
  <c r="G1413" i="1"/>
  <c r="F1413" i="1"/>
  <c r="H1417" i="1"/>
  <c r="G1417" i="1"/>
  <c r="F1417" i="1"/>
  <c r="H1421" i="1"/>
  <c r="G1421" i="1"/>
  <c r="F1421" i="1"/>
  <c r="H1425" i="1"/>
  <c r="G1425" i="1"/>
  <c r="F1425" i="1"/>
  <c r="H1429" i="1"/>
  <c r="G1429" i="1"/>
  <c r="F1429" i="1"/>
  <c r="H1433" i="1"/>
  <c r="G1433" i="1"/>
  <c r="F1433" i="1"/>
  <c r="H1437" i="1"/>
  <c r="G1437" i="1"/>
  <c r="F1437" i="1"/>
  <c r="H1793" i="1"/>
  <c r="G1793" i="1"/>
  <c r="F1793" i="1"/>
  <c r="I1793" i="1"/>
  <c r="H1817" i="1"/>
  <c r="G1817" i="1"/>
  <c r="F1817" i="1"/>
  <c r="I1817" i="1"/>
  <c r="H1885" i="1"/>
  <c r="G1885" i="1"/>
  <c r="F1885" i="1"/>
  <c r="I1885" i="1"/>
  <c r="H1949" i="1"/>
  <c r="G1949" i="1"/>
  <c r="F1949" i="1"/>
  <c r="I1949" i="1"/>
  <c r="H2013" i="1"/>
  <c r="G2013" i="1"/>
  <c r="F2013" i="1"/>
  <c r="I2013" i="1"/>
  <c r="H2077" i="1"/>
  <c r="G2077" i="1"/>
  <c r="F2077" i="1"/>
  <c r="I2077" i="1"/>
  <c r="H2125" i="1"/>
  <c r="G2125" i="1"/>
  <c r="F2125" i="1"/>
  <c r="I2125" i="1"/>
  <c r="I1149" i="1"/>
  <c r="F1151" i="1"/>
  <c r="H1151" i="1"/>
  <c r="I1153" i="1"/>
  <c r="F1155" i="1"/>
  <c r="H1155" i="1"/>
  <c r="I1157" i="1"/>
  <c r="F1159" i="1"/>
  <c r="H1159" i="1"/>
  <c r="I1161" i="1"/>
  <c r="F1163" i="1"/>
  <c r="H1163" i="1"/>
  <c r="I1165" i="1"/>
  <c r="F1167" i="1"/>
  <c r="H1167" i="1"/>
  <c r="I1169" i="1"/>
  <c r="I1175" i="1"/>
  <c r="H1177" i="1"/>
  <c r="F1177" i="1"/>
  <c r="F1183" i="1"/>
  <c r="H1183" i="1"/>
  <c r="I1185" i="1"/>
  <c r="I1191" i="1"/>
  <c r="H1193" i="1"/>
  <c r="F1193" i="1"/>
  <c r="F1199" i="1"/>
  <c r="H1199" i="1"/>
  <c r="I1201" i="1"/>
  <c r="I1207" i="1"/>
  <c r="H1209" i="1"/>
  <c r="F1209" i="1"/>
  <c r="F1215" i="1"/>
  <c r="H1215" i="1"/>
  <c r="I1217" i="1"/>
  <c r="I1223" i="1"/>
  <c r="H1225" i="1"/>
  <c r="F1225" i="1"/>
  <c r="F1231" i="1"/>
  <c r="H1231" i="1"/>
  <c r="I1233" i="1"/>
  <c r="I1239" i="1"/>
  <c r="H1241" i="1"/>
  <c r="F1241" i="1"/>
  <c r="F1247" i="1"/>
  <c r="H1247" i="1"/>
  <c r="I1249" i="1"/>
  <c r="I1255" i="1"/>
  <c r="H1257" i="1"/>
  <c r="F1257" i="1"/>
  <c r="F1263" i="1"/>
  <c r="H1263" i="1"/>
  <c r="I1265" i="1"/>
  <c r="I1271" i="1"/>
  <c r="H1273" i="1"/>
  <c r="F1273" i="1"/>
  <c r="F1279" i="1"/>
  <c r="H1279" i="1"/>
  <c r="I1281" i="1"/>
  <c r="I1287" i="1"/>
  <c r="H1289" i="1"/>
  <c r="G1289" i="1"/>
  <c r="F1289" i="1"/>
  <c r="H1297" i="1"/>
  <c r="G1297" i="1"/>
  <c r="F1297" i="1"/>
  <c r="H1301" i="1"/>
  <c r="G1301" i="1"/>
  <c r="F1301" i="1"/>
  <c r="H1761" i="1"/>
  <c r="G1761" i="1"/>
  <c r="F1761" i="1"/>
  <c r="I1761" i="1"/>
  <c r="H1785" i="1"/>
  <c r="G1785" i="1"/>
  <c r="F1785" i="1"/>
  <c r="I1785" i="1"/>
  <c r="H1835" i="1"/>
  <c r="G1835" i="1"/>
  <c r="F1835" i="1"/>
  <c r="I1835" i="1"/>
  <c r="H1901" i="1"/>
  <c r="G1901" i="1"/>
  <c r="F1901" i="1"/>
  <c r="I1901" i="1"/>
  <c r="H1961" i="1"/>
  <c r="G1961" i="1"/>
  <c r="F1961" i="1"/>
  <c r="I1961" i="1"/>
  <c r="H2029" i="1"/>
  <c r="G2029" i="1"/>
  <c r="F2029" i="1"/>
  <c r="I2029" i="1"/>
  <c r="H2173" i="1"/>
  <c r="G2173" i="1"/>
  <c r="F2173" i="1"/>
  <c r="I2173" i="1"/>
  <c r="I1150" i="1"/>
  <c r="G1152" i="1"/>
  <c r="I1154" i="1"/>
  <c r="G1156" i="1"/>
  <c r="I1158" i="1"/>
  <c r="G1160" i="1"/>
  <c r="I1162" i="1"/>
  <c r="G1164" i="1"/>
  <c r="I1166" i="1"/>
  <c r="G1168" i="1"/>
  <c r="G1172" i="1"/>
  <c r="G1176" i="1"/>
  <c r="G1180" i="1"/>
  <c r="G1184" i="1"/>
  <c r="G1188" i="1"/>
  <c r="G1192" i="1"/>
  <c r="G1196" i="1"/>
  <c r="G1200" i="1"/>
  <c r="G1204" i="1"/>
  <c r="G1208" i="1"/>
  <c r="G1212" i="1"/>
  <c r="G1216" i="1"/>
  <c r="G1220" i="1"/>
  <c r="G1224" i="1"/>
  <c r="G1228" i="1"/>
  <c r="G1232" i="1"/>
  <c r="G1236" i="1"/>
  <c r="G1240" i="1"/>
  <c r="G1244" i="1"/>
  <c r="G1248" i="1"/>
  <c r="G1252" i="1"/>
  <c r="G1256" i="1"/>
  <c r="G1260" i="1"/>
  <c r="G1264" i="1"/>
  <c r="G1268" i="1"/>
  <c r="G1272" i="1"/>
  <c r="G1276" i="1"/>
  <c r="G1280" i="1"/>
  <c r="G1284" i="1"/>
  <c r="G1288" i="1"/>
  <c r="I1290" i="1"/>
  <c r="H1291" i="1"/>
  <c r="G1292" i="1"/>
  <c r="I1294" i="1"/>
  <c r="H1295" i="1"/>
  <c r="G1296" i="1"/>
  <c r="I1298" i="1"/>
  <c r="H1299" i="1"/>
  <c r="G1300" i="1"/>
  <c r="I1302" i="1"/>
  <c r="H1303" i="1"/>
  <c r="G1304" i="1"/>
  <c r="I1306" i="1"/>
  <c r="H1307" i="1"/>
  <c r="G1308" i="1"/>
  <c r="I1310" i="1"/>
  <c r="H1311" i="1"/>
  <c r="G1312" i="1"/>
  <c r="I1314" i="1"/>
  <c r="H1315" i="1"/>
  <c r="G1316" i="1"/>
  <c r="I1318" i="1"/>
  <c r="H1319" i="1"/>
  <c r="G1320" i="1"/>
  <c r="I1322" i="1"/>
  <c r="H1323" i="1"/>
  <c r="G1324" i="1"/>
  <c r="I1326" i="1"/>
  <c r="H1327" i="1"/>
  <c r="G1328" i="1"/>
  <c r="I1330" i="1"/>
  <c r="H1331" i="1"/>
  <c r="G1332" i="1"/>
  <c r="I1334" i="1"/>
  <c r="H1335" i="1"/>
  <c r="G1336" i="1"/>
  <c r="I1338" i="1"/>
  <c r="H1339" i="1"/>
  <c r="G1340" i="1"/>
  <c r="I1342" i="1"/>
  <c r="H1343" i="1"/>
  <c r="G1344" i="1"/>
  <c r="I1346" i="1"/>
  <c r="H1347" i="1"/>
  <c r="G1348" i="1"/>
  <c r="I1350" i="1"/>
  <c r="H1351" i="1"/>
  <c r="G1352" i="1"/>
  <c r="I1354" i="1"/>
  <c r="H1355" i="1"/>
  <c r="G1356" i="1"/>
  <c r="I1358" i="1"/>
  <c r="H1359" i="1"/>
  <c r="G1360" i="1"/>
  <c r="I1362" i="1"/>
  <c r="H1363" i="1"/>
  <c r="G1364" i="1"/>
  <c r="I1366" i="1"/>
  <c r="H1367" i="1"/>
  <c r="G1368" i="1"/>
  <c r="I1370" i="1"/>
  <c r="H1371" i="1"/>
  <c r="G1372" i="1"/>
  <c r="I1374" i="1"/>
  <c r="H1375" i="1"/>
  <c r="G1376" i="1"/>
  <c r="I1378" i="1"/>
  <c r="H1379" i="1"/>
  <c r="G1380" i="1"/>
  <c r="I1382" i="1"/>
  <c r="H1383" i="1"/>
  <c r="G1384" i="1"/>
  <c r="I1386" i="1"/>
  <c r="H1387" i="1"/>
  <c r="G1388" i="1"/>
  <c r="I1390" i="1"/>
  <c r="H1391" i="1"/>
  <c r="G1392" i="1"/>
  <c r="I1394" i="1"/>
  <c r="H1395" i="1"/>
  <c r="G1396" i="1"/>
  <c r="I1398" i="1"/>
  <c r="H1399" i="1"/>
  <c r="G1400" i="1"/>
  <c r="I1402" i="1"/>
  <c r="H1403" i="1"/>
  <c r="G1404" i="1"/>
  <c r="I1406" i="1"/>
  <c r="H1407" i="1"/>
  <c r="G1408" i="1"/>
  <c r="I1410" i="1"/>
  <c r="H1411" i="1"/>
  <c r="G1412" i="1"/>
  <c r="I1414" i="1"/>
  <c r="H1415" i="1"/>
  <c r="G1416" i="1"/>
  <c r="I1418" i="1"/>
  <c r="H1419" i="1"/>
  <c r="G1420" i="1"/>
  <c r="I1422" i="1"/>
  <c r="H1423" i="1"/>
  <c r="G1424" i="1"/>
  <c r="I1426" i="1"/>
  <c r="H1427" i="1"/>
  <c r="G1428" i="1"/>
  <c r="I1430" i="1"/>
  <c r="H1431" i="1"/>
  <c r="G1432" i="1"/>
  <c r="I1434" i="1"/>
  <c r="H1435" i="1"/>
  <c r="G1436" i="1"/>
  <c r="G1439" i="1"/>
  <c r="F1439" i="1"/>
  <c r="G1443" i="1"/>
  <c r="F1443" i="1"/>
  <c r="G1447" i="1"/>
  <c r="F1447" i="1"/>
  <c r="G1451" i="1"/>
  <c r="F1451" i="1"/>
  <c r="G1455" i="1"/>
  <c r="F1455" i="1"/>
  <c r="G1459" i="1"/>
  <c r="F1459" i="1"/>
  <c r="G1463" i="1"/>
  <c r="F1463" i="1"/>
  <c r="G1467" i="1"/>
  <c r="F1467" i="1"/>
  <c r="G1471" i="1"/>
  <c r="F1471" i="1"/>
  <c r="G1475" i="1"/>
  <c r="F1475" i="1"/>
  <c r="G1479" i="1"/>
  <c r="F1479" i="1"/>
  <c r="G1483" i="1"/>
  <c r="F1483" i="1"/>
  <c r="G1487" i="1"/>
  <c r="F1487" i="1"/>
  <c r="G1491" i="1"/>
  <c r="F1491" i="1"/>
  <c r="G1495" i="1"/>
  <c r="F1495" i="1"/>
  <c r="G1499" i="1"/>
  <c r="F1499" i="1"/>
  <c r="G1503" i="1"/>
  <c r="F1503" i="1"/>
  <c r="G1507" i="1"/>
  <c r="F1507" i="1"/>
  <c r="G1511" i="1"/>
  <c r="F1511" i="1"/>
  <c r="H1578" i="1"/>
  <c r="G1578" i="1"/>
  <c r="F1578" i="1"/>
  <c r="H1586" i="1"/>
  <c r="G1586" i="1"/>
  <c r="F1586" i="1"/>
  <c r="H1594" i="1"/>
  <c r="G1594" i="1"/>
  <c r="F1594" i="1"/>
  <c r="H1602" i="1"/>
  <c r="G1602" i="1"/>
  <c r="F1602" i="1"/>
  <c r="H1610" i="1"/>
  <c r="G1610" i="1"/>
  <c r="F1610" i="1"/>
  <c r="H1618" i="1"/>
  <c r="G1618" i="1"/>
  <c r="F1618" i="1"/>
  <c r="H1626" i="1"/>
  <c r="G1626" i="1"/>
  <c r="F1626" i="1"/>
  <c r="H1634" i="1"/>
  <c r="G1634" i="1"/>
  <c r="F1634" i="1"/>
  <c r="H1642" i="1"/>
  <c r="G1642" i="1"/>
  <c r="F1642" i="1"/>
  <c r="H1650" i="1"/>
  <c r="G1650" i="1"/>
  <c r="F1650" i="1"/>
  <c r="H1658" i="1"/>
  <c r="G1658" i="1"/>
  <c r="F1658" i="1"/>
  <c r="H1666" i="1"/>
  <c r="G1666" i="1"/>
  <c r="F1666" i="1"/>
  <c r="H1674" i="1"/>
  <c r="G1674" i="1"/>
  <c r="F1674" i="1"/>
  <c r="H1682" i="1"/>
  <c r="G1682" i="1"/>
  <c r="F1682" i="1"/>
  <c r="H1690" i="1"/>
  <c r="G1690" i="1"/>
  <c r="F1690" i="1"/>
  <c r="H1698" i="1"/>
  <c r="G1698" i="1"/>
  <c r="F1698" i="1"/>
  <c r="H1706" i="1"/>
  <c r="G1706" i="1"/>
  <c r="F1706" i="1"/>
  <c r="H1714" i="1"/>
  <c r="G1714" i="1"/>
  <c r="F1714" i="1"/>
  <c r="H1722" i="1"/>
  <c r="G1722" i="1"/>
  <c r="F1722" i="1"/>
  <c r="H1730" i="1"/>
  <c r="G1730" i="1"/>
  <c r="F1730" i="1"/>
  <c r="H1738" i="1"/>
  <c r="G1738" i="1"/>
  <c r="F1738" i="1"/>
  <c r="H1746" i="1"/>
  <c r="G1746" i="1"/>
  <c r="F1746" i="1"/>
  <c r="H1813" i="1"/>
  <c r="G1813" i="1"/>
  <c r="F1813" i="1"/>
  <c r="H1831" i="1"/>
  <c r="G1831" i="1"/>
  <c r="F1831" i="1"/>
  <c r="H1847" i="1"/>
  <c r="G1847" i="1"/>
  <c r="F1847" i="1"/>
  <c r="H1863" i="1"/>
  <c r="G1863" i="1"/>
  <c r="F1863" i="1"/>
  <c r="H1881" i="1"/>
  <c r="G1881" i="1"/>
  <c r="F1881" i="1"/>
  <c r="H1897" i="1"/>
  <c r="G1897" i="1"/>
  <c r="F1897" i="1"/>
  <c r="H1913" i="1"/>
  <c r="G1913" i="1"/>
  <c r="F1913" i="1"/>
  <c r="H1929" i="1"/>
  <c r="G1929" i="1"/>
  <c r="F1929" i="1"/>
  <c r="H1945" i="1"/>
  <c r="G1945" i="1"/>
  <c r="F1945" i="1"/>
  <c r="H1958" i="1"/>
  <c r="G1958" i="1"/>
  <c r="F1958" i="1"/>
  <c r="H1976" i="1"/>
  <c r="G1976" i="1"/>
  <c r="F1976" i="1"/>
  <c r="H1993" i="1"/>
  <c r="G1993" i="1"/>
  <c r="F1993" i="1"/>
  <c r="H2009" i="1"/>
  <c r="G2009" i="1"/>
  <c r="F2009" i="1"/>
  <c r="H2025" i="1"/>
  <c r="G2025" i="1"/>
  <c r="F2025" i="1"/>
  <c r="H2041" i="1"/>
  <c r="G2041" i="1"/>
  <c r="F2041" i="1"/>
  <c r="H2057" i="1"/>
  <c r="G2057" i="1"/>
  <c r="F2057" i="1"/>
  <c r="H2073" i="1"/>
  <c r="G2073" i="1"/>
  <c r="F2073" i="1"/>
  <c r="H2089" i="1"/>
  <c r="G2089" i="1"/>
  <c r="F2089" i="1"/>
  <c r="H2105" i="1"/>
  <c r="G2105" i="1"/>
  <c r="F2105" i="1"/>
  <c r="H2121" i="1"/>
  <c r="G2121" i="1"/>
  <c r="F2121" i="1"/>
  <c r="H2137" i="1"/>
  <c r="G2137" i="1"/>
  <c r="F2137" i="1"/>
  <c r="H2153" i="1"/>
  <c r="G2153" i="1"/>
  <c r="F2153" i="1"/>
  <c r="H2169" i="1"/>
  <c r="G2169" i="1"/>
  <c r="F2169" i="1"/>
  <c r="H2185" i="1"/>
  <c r="G2185" i="1"/>
  <c r="F2185" i="1"/>
  <c r="H2243" i="1"/>
  <c r="G2243" i="1"/>
  <c r="F2243" i="1"/>
  <c r="I2243" i="1"/>
  <c r="H1292" i="1"/>
  <c r="H1296" i="1"/>
  <c r="F1298" i="1"/>
  <c r="I1299" i="1"/>
  <c r="H1300" i="1"/>
  <c r="I1303" i="1"/>
  <c r="H1304" i="1"/>
  <c r="F1306" i="1"/>
  <c r="I1307" i="1"/>
  <c r="H1308" i="1"/>
  <c r="F1310" i="1"/>
  <c r="I1311" i="1"/>
  <c r="H1312" i="1"/>
  <c r="F1314" i="1"/>
  <c r="I1315" i="1"/>
  <c r="H1316" i="1"/>
  <c r="F1318" i="1"/>
  <c r="I1319" i="1"/>
  <c r="H1320" i="1"/>
  <c r="F1322" i="1"/>
  <c r="I1323" i="1"/>
  <c r="H1324" i="1"/>
  <c r="F1326" i="1"/>
  <c r="I1327" i="1"/>
  <c r="H1328" i="1"/>
  <c r="F1330" i="1"/>
  <c r="I1331" i="1"/>
  <c r="H1332" i="1"/>
  <c r="F1334" i="1"/>
  <c r="I1335" i="1"/>
  <c r="H1336" i="1"/>
  <c r="F1338" i="1"/>
  <c r="I1339" i="1"/>
  <c r="H1340" i="1"/>
  <c r="I1343" i="1"/>
  <c r="H1344" i="1"/>
  <c r="I1347" i="1"/>
  <c r="H1348" i="1"/>
  <c r="F1350" i="1"/>
  <c r="I1351" i="1"/>
  <c r="H1352" i="1"/>
  <c r="F1354" i="1"/>
  <c r="I1355" i="1"/>
  <c r="H1356" i="1"/>
  <c r="F1358" i="1"/>
  <c r="I1359" i="1"/>
  <c r="H1360" i="1"/>
  <c r="F1362" i="1"/>
  <c r="I1363" i="1"/>
  <c r="H1364" i="1"/>
  <c r="F1366" i="1"/>
  <c r="I1367" i="1"/>
  <c r="H1368" i="1"/>
  <c r="F1370" i="1"/>
  <c r="I1371" i="1"/>
  <c r="H1372" i="1"/>
  <c r="F1374" i="1"/>
  <c r="I1375" i="1"/>
  <c r="H1376" i="1"/>
  <c r="F1378" i="1"/>
  <c r="I1379" i="1"/>
  <c r="H1380" i="1"/>
  <c r="F1382" i="1"/>
  <c r="I1383" i="1"/>
  <c r="H1384" i="1"/>
  <c r="F1386" i="1"/>
  <c r="I1387" i="1"/>
  <c r="H1388" i="1"/>
  <c r="F1390" i="1"/>
  <c r="I1391" i="1"/>
  <c r="H1392" i="1"/>
  <c r="F1394" i="1"/>
  <c r="I1395" i="1"/>
  <c r="H1396" i="1"/>
  <c r="F1398" i="1"/>
  <c r="I1399" i="1"/>
  <c r="H1400" i="1"/>
  <c r="F1402" i="1"/>
  <c r="I1403" i="1"/>
  <c r="H1404" i="1"/>
  <c r="F1406" i="1"/>
  <c r="I1407" i="1"/>
  <c r="H1408" i="1"/>
  <c r="F1410" i="1"/>
  <c r="I1411" i="1"/>
  <c r="H1412" i="1"/>
  <c r="F1414" i="1"/>
  <c r="I1415" i="1"/>
  <c r="H1416" i="1"/>
  <c r="F1418" i="1"/>
  <c r="I1419" i="1"/>
  <c r="H1420" i="1"/>
  <c r="F1422" i="1"/>
  <c r="I1423" i="1"/>
  <c r="H1424" i="1"/>
  <c r="F1426" i="1"/>
  <c r="I1427" i="1"/>
  <c r="H1428" i="1"/>
  <c r="F1430" i="1"/>
  <c r="I1431" i="1"/>
  <c r="H1432" i="1"/>
  <c r="F1434" i="1"/>
  <c r="I1435" i="1"/>
  <c r="H1436" i="1"/>
  <c r="H1442" i="1"/>
  <c r="G1442" i="1"/>
  <c r="H1446" i="1"/>
  <c r="G1446" i="1"/>
  <c r="H1450" i="1"/>
  <c r="G1450" i="1"/>
  <c r="H1454" i="1"/>
  <c r="G1454" i="1"/>
  <c r="H1458" i="1"/>
  <c r="G1458" i="1"/>
  <c r="H1462" i="1"/>
  <c r="G1462" i="1"/>
  <c r="H1463" i="1"/>
  <c r="H1466" i="1"/>
  <c r="G1466" i="1"/>
  <c r="H1467" i="1"/>
  <c r="H1470" i="1"/>
  <c r="G1470" i="1"/>
  <c r="H1471" i="1"/>
  <c r="H1474" i="1"/>
  <c r="G1474" i="1"/>
  <c r="H1475" i="1"/>
  <c r="H1478" i="1"/>
  <c r="G1478" i="1"/>
  <c r="H1479" i="1"/>
  <c r="H1482" i="1"/>
  <c r="G1482" i="1"/>
  <c r="H1486" i="1"/>
  <c r="G1486" i="1"/>
  <c r="H1490" i="1"/>
  <c r="G1490" i="1"/>
  <c r="H1494" i="1"/>
  <c r="G1494" i="1"/>
  <c r="H1498" i="1"/>
  <c r="G1498" i="1"/>
  <c r="H1502" i="1"/>
  <c r="G1502" i="1"/>
  <c r="H1506" i="1"/>
  <c r="G1506" i="1"/>
  <c r="H1507" i="1"/>
  <c r="H1510" i="1"/>
  <c r="G1510" i="1"/>
  <c r="H1511" i="1"/>
  <c r="G1515" i="1"/>
  <c r="F1515" i="1"/>
  <c r="G1519" i="1"/>
  <c r="F1519" i="1"/>
  <c r="G1523" i="1"/>
  <c r="F1523" i="1"/>
  <c r="G1527" i="1"/>
  <c r="F1527" i="1"/>
  <c r="G1531" i="1"/>
  <c r="F1531" i="1"/>
  <c r="G1535" i="1"/>
  <c r="F1535" i="1"/>
  <c r="G1539" i="1"/>
  <c r="F1539" i="1"/>
  <c r="G1543" i="1"/>
  <c r="F1543" i="1"/>
  <c r="G1547" i="1"/>
  <c r="F1547" i="1"/>
  <c r="G1551" i="1"/>
  <c r="F1551" i="1"/>
  <c r="G1555" i="1"/>
  <c r="F1555" i="1"/>
  <c r="G1559" i="1"/>
  <c r="F1559" i="1"/>
  <c r="G1563" i="1"/>
  <c r="F1563" i="1"/>
  <c r="G1567" i="1"/>
  <c r="F1567" i="1"/>
  <c r="G1571" i="1"/>
  <c r="F1571" i="1"/>
  <c r="I1578" i="1"/>
  <c r="I1586" i="1"/>
  <c r="I1594" i="1"/>
  <c r="I1602" i="1"/>
  <c r="I1626" i="1"/>
  <c r="I1634" i="1"/>
  <c r="I1650" i="1"/>
  <c r="I1658" i="1"/>
  <c r="I1666" i="1"/>
  <c r="I1674" i="1"/>
  <c r="I1682" i="1"/>
  <c r="I1690" i="1"/>
  <c r="I1698" i="1"/>
  <c r="I1706" i="1"/>
  <c r="I1714" i="1"/>
  <c r="I1722" i="1"/>
  <c r="I1730" i="1"/>
  <c r="I1738" i="1"/>
  <c r="I1746" i="1"/>
  <c r="H1757" i="1"/>
  <c r="G1757" i="1"/>
  <c r="F1757" i="1"/>
  <c r="H1765" i="1"/>
  <c r="G1765" i="1"/>
  <c r="F1765" i="1"/>
  <c r="H1773" i="1"/>
  <c r="G1773" i="1"/>
  <c r="F1773" i="1"/>
  <c r="H1781" i="1"/>
  <c r="G1781" i="1"/>
  <c r="F1781" i="1"/>
  <c r="H1789" i="1"/>
  <c r="G1789" i="1"/>
  <c r="F1789" i="1"/>
  <c r="H1797" i="1"/>
  <c r="G1797" i="1"/>
  <c r="F1797" i="1"/>
  <c r="H1809" i="1"/>
  <c r="G1809" i="1"/>
  <c r="F1809" i="1"/>
  <c r="I1813" i="1"/>
  <c r="H1825" i="1"/>
  <c r="G1825" i="1"/>
  <c r="F1825" i="1"/>
  <c r="I1831" i="1"/>
  <c r="H1843" i="1"/>
  <c r="G1843" i="1"/>
  <c r="F1843" i="1"/>
  <c r="I1847" i="1"/>
  <c r="H1859" i="1"/>
  <c r="G1859" i="1"/>
  <c r="F1859" i="1"/>
  <c r="I1863" i="1"/>
  <c r="H1877" i="1"/>
  <c r="G1877" i="1"/>
  <c r="F1877" i="1"/>
  <c r="I1881" i="1"/>
  <c r="H1893" i="1"/>
  <c r="G1893" i="1"/>
  <c r="F1893" i="1"/>
  <c r="I1897" i="1"/>
  <c r="H1909" i="1"/>
  <c r="G1909" i="1"/>
  <c r="F1909" i="1"/>
  <c r="I1913" i="1"/>
  <c r="H1925" i="1"/>
  <c r="G1925" i="1"/>
  <c r="F1925" i="1"/>
  <c r="I1929" i="1"/>
  <c r="H1941" i="1"/>
  <c r="G1941" i="1"/>
  <c r="F1941" i="1"/>
  <c r="I1945" i="1"/>
  <c r="H1955" i="1"/>
  <c r="G1955" i="1"/>
  <c r="F1955" i="1"/>
  <c r="I1958" i="1"/>
  <c r="H1969" i="1"/>
  <c r="G1969" i="1"/>
  <c r="F1969" i="1"/>
  <c r="I1976" i="1"/>
  <c r="H1989" i="1"/>
  <c r="G1989" i="1"/>
  <c r="F1989" i="1"/>
  <c r="I1993" i="1"/>
  <c r="H2005" i="1"/>
  <c r="G2005" i="1"/>
  <c r="F2005" i="1"/>
  <c r="I2009" i="1"/>
  <c r="H2021" i="1"/>
  <c r="G2021" i="1"/>
  <c r="F2021" i="1"/>
  <c r="I2025" i="1"/>
  <c r="H2037" i="1"/>
  <c r="G2037" i="1"/>
  <c r="F2037" i="1"/>
  <c r="I2041" i="1"/>
  <c r="H2053" i="1"/>
  <c r="G2053" i="1"/>
  <c r="F2053" i="1"/>
  <c r="I2057" i="1"/>
  <c r="H2069" i="1"/>
  <c r="G2069" i="1"/>
  <c r="F2069" i="1"/>
  <c r="I2073" i="1"/>
  <c r="H2085" i="1"/>
  <c r="G2085" i="1"/>
  <c r="F2085" i="1"/>
  <c r="I2089" i="1"/>
  <c r="H2101" i="1"/>
  <c r="G2101" i="1"/>
  <c r="F2101" i="1"/>
  <c r="I2105" i="1"/>
  <c r="H2117" i="1"/>
  <c r="G2117" i="1"/>
  <c r="F2117" i="1"/>
  <c r="I2121" i="1"/>
  <c r="H2133" i="1"/>
  <c r="G2133" i="1"/>
  <c r="F2133" i="1"/>
  <c r="I2137" i="1"/>
  <c r="H2149" i="1"/>
  <c r="G2149" i="1"/>
  <c r="F2149" i="1"/>
  <c r="I2153" i="1"/>
  <c r="H2165" i="1"/>
  <c r="G2165" i="1"/>
  <c r="F2165" i="1"/>
  <c r="I2169" i="1"/>
  <c r="H2181" i="1"/>
  <c r="G2181" i="1"/>
  <c r="F2181" i="1"/>
  <c r="I2185" i="1"/>
  <c r="F2197" i="1"/>
  <c r="I2197" i="1"/>
  <c r="H2197" i="1"/>
  <c r="G2197" i="1"/>
  <c r="H2255" i="1"/>
  <c r="G2255" i="1"/>
  <c r="F2255" i="1"/>
  <c r="I2255" i="1"/>
  <c r="H2271" i="1"/>
  <c r="G2271" i="1"/>
  <c r="F2271" i="1"/>
  <c r="I2271" i="1"/>
  <c r="H2287" i="1"/>
  <c r="G2287" i="1"/>
  <c r="F2287" i="1"/>
  <c r="I2287" i="1"/>
  <c r="H2303" i="1"/>
  <c r="G2303" i="1"/>
  <c r="F2303" i="1"/>
  <c r="I2303" i="1"/>
  <c r="F1458" i="1"/>
  <c r="F1462" i="1"/>
  <c r="I1463" i="1"/>
  <c r="F1466" i="1"/>
  <c r="I1467" i="1"/>
  <c r="F1470" i="1"/>
  <c r="I1471" i="1"/>
  <c r="F1474" i="1"/>
  <c r="I1475" i="1"/>
  <c r="F1478" i="1"/>
  <c r="I1479" i="1"/>
  <c r="F1482" i="1"/>
  <c r="I1483" i="1"/>
  <c r="F1486" i="1"/>
  <c r="I1487" i="1"/>
  <c r="F1490" i="1"/>
  <c r="I1491" i="1"/>
  <c r="F1494" i="1"/>
  <c r="I1495" i="1"/>
  <c r="F1498" i="1"/>
  <c r="I1499" i="1"/>
  <c r="F1502" i="1"/>
  <c r="I1503" i="1"/>
  <c r="F1506" i="1"/>
  <c r="I1507" i="1"/>
  <c r="F1510" i="1"/>
  <c r="I1511" i="1"/>
  <c r="H1514" i="1"/>
  <c r="G1514" i="1"/>
  <c r="H1515" i="1"/>
  <c r="H1518" i="1"/>
  <c r="G1518" i="1"/>
  <c r="H1519" i="1"/>
  <c r="H1522" i="1"/>
  <c r="G1522" i="1"/>
  <c r="H1523" i="1"/>
  <c r="H1526" i="1"/>
  <c r="G1526" i="1"/>
  <c r="H1527" i="1"/>
  <c r="H1530" i="1"/>
  <c r="G1530" i="1"/>
  <c r="H1531" i="1"/>
  <c r="H1534" i="1"/>
  <c r="G1534" i="1"/>
  <c r="H1535" i="1"/>
  <c r="H1538" i="1"/>
  <c r="G1538" i="1"/>
  <c r="H1539" i="1"/>
  <c r="H1542" i="1"/>
  <c r="G1542" i="1"/>
  <c r="H1543" i="1"/>
  <c r="H1546" i="1"/>
  <c r="G1546" i="1"/>
  <c r="H1547" i="1"/>
  <c r="H1550" i="1"/>
  <c r="G1550" i="1"/>
  <c r="H1551" i="1"/>
  <c r="H1554" i="1"/>
  <c r="G1554" i="1"/>
  <c r="H1555" i="1"/>
  <c r="H1558" i="1"/>
  <c r="G1558" i="1"/>
  <c r="H1559" i="1"/>
  <c r="H1562" i="1"/>
  <c r="G1562" i="1"/>
  <c r="H1563" i="1"/>
  <c r="H1566" i="1"/>
  <c r="G1566" i="1"/>
  <c r="H1567" i="1"/>
  <c r="H1570" i="1"/>
  <c r="G1570" i="1"/>
  <c r="H1571" i="1"/>
  <c r="H1574" i="1"/>
  <c r="G1574" i="1"/>
  <c r="F1574" i="1"/>
  <c r="H1582" i="1"/>
  <c r="G1582" i="1"/>
  <c r="F1582" i="1"/>
  <c r="H1590" i="1"/>
  <c r="G1590" i="1"/>
  <c r="F1590" i="1"/>
  <c r="H1598" i="1"/>
  <c r="G1598" i="1"/>
  <c r="F1598" i="1"/>
  <c r="H1606" i="1"/>
  <c r="G1606" i="1"/>
  <c r="F1606" i="1"/>
  <c r="H1614" i="1"/>
  <c r="G1614" i="1"/>
  <c r="F1614" i="1"/>
  <c r="H1622" i="1"/>
  <c r="G1622" i="1"/>
  <c r="F1622" i="1"/>
  <c r="H1630" i="1"/>
  <c r="G1630" i="1"/>
  <c r="F1630" i="1"/>
  <c r="H1638" i="1"/>
  <c r="G1638" i="1"/>
  <c r="F1638" i="1"/>
  <c r="H1646" i="1"/>
  <c r="G1646" i="1"/>
  <c r="F1646" i="1"/>
  <c r="H1654" i="1"/>
  <c r="G1654" i="1"/>
  <c r="F1654" i="1"/>
  <c r="H1662" i="1"/>
  <c r="G1662" i="1"/>
  <c r="F1662" i="1"/>
  <c r="H1670" i="1"/>
  <c r="G1670" i="1"/>
  <c r="F1670" i="1"/>
  <c r="H1678" i="1"/>
  <c r="G1678" i="1"/>
  <c r="F1678" i="1"/>
  <c r="H1686" i="1"/>
  <c r="G1686" i="1"/>
  <c r="F1686" i="1"/>
  <c r="H1694" i="1"/>
  <c r="G1694" i="1"/>
  <c r="F1694" i="1"/>
  <c r="H1702" i="1"/>
  <c r="G1702" i="1"/>
  <c r="F1702" i="1"/>
  <c r="H1710" i="1"/>
  <c r="G1710" i="1"/>
  <c r="F1710" i="1"/>
  <c r="H1718" i="1"/>
  <c r="G1718" i="1"/>
  <c r="F1718" i="1"/>
  <c r="H1726" i="1"/>
  <c r="G1726" i="1"/>
  <c r="F1726" i="1"/>
  <c r="H1734" i="1"/>
  <c r="G1734" i="1"/>
  <c r="F1734" i="1"/>
  <c r="H1742" i="1"/>
  <c r="G1742" i="1"/>
  <c r="F1742" i="1"/>
  <c r="H1750" i="1"/>
  <c r="G1750" i="1"/>
  <c r="F1750" i="1"/>
  <c r="I1765" i="1"/>
  <c r="H1805" i="1"/>
  <c r="G1805" i="1"/>
  <c r="F1805" i="1"/>
  <c r="I1809" i="1"/>
  <c r="H1821" i="1"/>
  <c r="G1821" i="1"/>
  <c r="F1821" i="1"/>
  <c r="I1825" i="1"/>
  <c r="H1839" i="1"/>
  <c r="G1839" i="1"/>
  <c r="F1839" i="1"/>
  <c r="I1843" i="1"/>
  <c r="H1855" i="1"/>
  <c r="G1855" i="1"/>
  <c r="F1855" i="1"/>
  <c r="I1859" i="1"/>
  <c r="H1873" i="1"/>
  <c r="G1873" i="1"/>
  <c r="F1873" i="1"/>
  <c r="I1877" i="1"/>
  <c r="H1889" i="1"/>
  <c r="G1889" i="1"/>
  <c r="F1889" i="1"/>
  <c r="I1893" i="1"/>
  <c r="H1905" i="1"/>
  <c r="G1905" i="1"/>
  <c r="F1905" i="1"/>
  <c r="I1909" i="1"/>
  <c r="H1921" i="1"/>
  <c r="G1921" i="1"/>
  <c r="F1921" i="1"/>
  <c r="I1925" i="1"/>
  <c r="H1937" i="1"/>
  <c r="G1937" i="1"/>
  <c r="F1937" i="1"/>
  <c r="I1941" i="1"/>
  <c r="H1953" i="1"/>
  <c r="G1953" i="1"/>
  <c r="F1953" i="1"/>
  <c r="I1955" i="1"/>
  <c r="H1965" i="1"/>
  <c r="G1965" i="1"/>
  <c r="F1965" i="1"/>
  <c r="I1969" i="1"/>
  <c r="H1985" i="1"/>
  <c r="G1985" i="1"/>
  <c r="F1985" i="1"/>
  <c r="I1989" i="1"/>
  <c r="H2001" i="1"/>
  <c r="G2001" i="1"/>
  <c r="F2001" i="1"/>
  <c r="I2005" i="1"/>
  <c r="H2017" i="1"/>
  <c r="G2017" i="1"/>
  <c r="F2017" i="1"/>
  <c r="I2021" i="1"/>
  <c r="H2033" i="1"/>
  <c r="G2033" i="1"/>
  <c r="F2033" i="1"/>
  <c r="I2037" i="1"/>
  <c r="H2049" i="1"/>
  <c r="G2049" i="1"/>
  <c r="F2049" i="1"/>
  <c r="I2053" i="1"/>
  <c r="H2065" i="1"/>
  <c r="G2065" i="1"/>
  <c r="F2065" i="1"/>
  <c r="I2069" i="1"/>
  <c r="H2081" i="1"/>
  <c r="G2081" i="1"/>
  <c r="F2081" i="1"/>
  <c r="H2097" i="1"/>
  <c r="G2097" i="1"/>
  <c r="F2097" i="1"/>
  <c r="I2101" i="1"/>
  <c r="H2113" i="1"/>
  <c r="G2113" i="1"/>
  <c r="F2113" i="1"/>
  <c r="I2117" i="1"/>
  <c r="H2129" i="1"/>
  <c r="G2129" i="1"/>
  <c r="F2129" i="1"/>
  <c r="H2145" i="1"/>
  <c r="G2145" i="1"/>
  <c r="F2145" i="1"/>
  <c r="I2149" i="1"/>
  <c r="H2161" i="1"/>
  <c r="G2161" i="1"/>
  <c r="F2161" i="1"/>
  <c r="H2177" i="1"/>
  <c r="G2177" i="1"/>
  <c r="F2177" i="1"/>
  <c r="H2193" i="1"/>
  <c r="G2193" i="1"/>
  <c r="F2193" i="1"/>
  <c r="I1575" i="1"/>
  <c r="I1579" i="1"/>
  <c r="I1583" i="1"/>
  <c r="I1587" i="1"/>
  <c r="I1591" i="1"/>
  <c r="I1595" i="1"/>
  <c r="I1599" i="1"/>
  <c r="I1603" i="1"/>
  <c r="I1607" i="1"/>
  <c r="I1611" i="1"/>
  <c r="I1615" i="1"/>
  <c r="I1619" i="1"/>
  <c r="I1623" i="1"/>
  <c r="I1627" i="1"/>
  <c r="I1631" i="1"/>
  <c r="I1635" i="1"/>
  <c r="I1639" i="1"/>
  <c r="I1643" i="1"/>
  <c r="I1647" i="1"/>
  <c r="I1651" i="1"/>
  <c r="I1655" i="1"/>
  <c r="I1659" i="1"/>
  <c r="I1663" i="1"/>
  <c r="I1667" i="1"/>
  <c r="I1671" i="1"/>
  <c r="I1675" i="1"/>
  <c r="I1679" i="1"/>
  <c r="I1683" i="1"/>
  <c r="I1687" i="1"/>
  <c r="I1691" i="1"/>
  <c r="I1695" i="1"/>
  <c r="I1699" i="1"/>
  <c r="I1703" i="1"/>
  <c r="I1707" i="1"/>
  <c r="I1711" i="1"/>
  <c r="I1715" i="1"/>
  <c r="I1719" i="1"/>
  <c r="I1723" i="1"/>
  <c r="I1727" i="1"/>
  <c r="I1731" i="1"/>
  <c r="I1735" i="1"/>
  <c r="I1739" i="1"/>
  <c r="I1743" i="1"/>
  <c r="I1747" i="1"/>
  <c r="I1751" i="1"/>
  <c r="I1758" i="1"/>
  <c r="I1762" i="1"/>
  <c r="I1766" i="1"/>
  <c r="I1770" i="1"/>
  <c r="I1774" i="1"/>
  <c r="I1778" i="1"/>
  <c r="I1782" i="1"/>
  <c r="I1786" i="1"/>
  <c r="I1790" i="1"/>
  <c r="I1794" i="1"/>
  <c r="I1798" i="1"/>
  <c r="I1802" i="1"/>
  <c r="I1806" i="1"/>
  <c r="I1810" i="1"/>
  <c r="I1814" i="1"/>
  <c r="I1818" i="1"/>
  <c r="I1822" i="1"/>
  <c r="I1826" i="1"/>
  <c r="I1832" i="1"/>
  <c r="I1836" i="1"/>
  <c r="I1840" i="1"/>
  <c r="I1844" i="1"/>
  <c r="I1848" i="1"/>
  <c r="I1852" i="1"/>
  <c r="I1856" i="1"/>
  <c r="I1860" i="1"/>
  <c r="I1864" i="1"/>
  <c r="I1868" i="1"/>
  <c r="I1874" i="1"/>
  <c r="I1878" i="1"/>
  <c r="I1882" i="1"/>
  <c r="I1886" i="1"/>
  <c r="I1890" i="1"/>
  <c r="I1894" i="1"/>
  <c r="I1898" i="1"/>
  <c r="I1902" i="1"/>
  <c r="I1906" i="1"/>
  <c r="I1910" i="1"/>
  <c r="I1914" i="1"/>
  <c r="I1918" i="1"/>
  <c r="I1922" i="1"/>
  <c r="I1926" i="1"/>
  <c r="I1930" i="1"/>
  <c r="I1934" i="1"/>
  <c r="I1938" i="1"/>
  <c r="I1942" i="1"/>
  <c r="I1946" i="1"/>
  <c r="I1956" i="1"/>
  <c r="I1959" i="1"/>
  <c r="I1962" i="1"/>
  <c r="I1966" i="1"/>
  <c r="I1970" i="1"/>
  <c r="I1977" i="1"/>
  <c r="I1982" i="1"/>
  <c r="I1986" i="1"/>
  <c r="I1990" i="1"/>
  <c r="I1994" i="1"/>
  <c r="I1998" i="1"/>
  <c r="I2002" i="1"/>
  <c r="I2006" i="1"/>
  <c r="I2010" i="1"/>
  <c r="I2014" i="1"/>
  <c r="I2018" i="1"/>
  <c r="I2022" i="1"/>
  <c r="I2026" i="1"/>
  <c r="I2030" i="1"/>
  <c r="I2034" i="1"/>
  <c r="I2038" i="1"/>
  <c r="I2042" i="1"/>
  <c r="I2046" i="1"/>
  <c r="I2050" i="1"/>
  <c r="I2054" i="1"/>
  <c r="I2058" i="1"/>
  <c r="I2062" i="1"/>
  <c r="I2066" i="1"/>
  <c r="I2070" i="1"/>
  <c r="I2074" i="1"/>
  <c r="I2078" i="1"/>
  <c r="I2082" i="1"/>
  <c r="I2086" i="1"/>
  <c r="I2090" i="1"/>
  <c r="I2094" i="1"/>
  <c r="I2098" i="1"/>
  <c r="I2102" i="1"/>
  <c r="I2106" i="1"/>
  <c r="I2110" i="1"/>
  <c r="I2114" i="1"/>
  <c r="I2118" i="1"/>
  <c r="I2122" i="1"/>
  <c r="I2126" i="1"/>
  <c r="I2130" i="1"/>
  <c r="I2134" i="1"/>
  <c r="I2138" i="1"/>
  <c r="I2142" i="1"/>
  <c r="I2146" i="1"/>
  <c r="I2150" i="1"/>
  <c r="I2154" i="1"/>
  <c r="I2158" i="1"/>
  <c r="I2162" i="1"/>
  <c r="I2166" i="1"/>
  <c r="I2170" i="1"/>
  <c r="I2174" i="1"/>
  <c r="I2178" i="1"/>
  <c r="I2182" i="1"/>
  <c r="I2186" i="1"/>
  <c r="I2190" i="1"/>
  <c r="I2194" i="1"/>
  <c r="G2200" i="1"/>
  <c r="F2200" i="1"/>
  <c r="G2204" i="1"/>
  <c r="F2204" i="1"/>
  <c r="G2208" i="1"/>
  <c r="F2208" i="1"/>
  <c r="G2212" i="1"/>
  <c r="F2212" i="1"/>
  <c r="G2216" i="1"/>
  <c r="F2216" i="1"/>
  <c r="G2220" i="1"/>
  <c r="F2220" i="1"/>
  <c r="G2224" i="1"/>
  <c r="F2224" i="1"/>
  <c r="G2228" i="1"/>
  <c r="F2228" i="1"/>
  <c r="G2232" i="1"/>
  <c r="F2232" i="1"/>
  <c r="G2236" i="1"/>
  <c r="F2236" i="1"/>
  <c r="H2251" i="1"/>
  <c r="G2251" i="1"/>
  <c r="F2251" i="1"/>
  <c r="H2319" i="1"/>
  <c r="G2319" i="1"/>
  <c r="F2319" i="1"/>
  <c r="H2327" i="1"/>
  <c r="G2327" i="1"/>
  <c r="F2327" i="1"/>
  <c r="H2335" i="1"/>
  <c r="G2335" i="1"/>
  <c r="F2335" i="1"/>
  <c r="H2343" i="1"/>
  <c r="G2343" i="1"/>
  <c r="F2343" i="1"/>
  <c r="H2351" i="1"/>
  <c r="G2351" i="1"/>
  <c r="F2351" i="1"/>
  <c r="H2368" i="1"/>
  <c r="G2368" i="1"/>
  <c r="I2368" i="1"/>
  <c r="F2368" i="1"/>
  <c r="H2376" i="1"/>
  <c r="G2376" i="1"/>
  <c r="I2376" i="1"/>
  <c r="F2376" i="1"/>
  <c r="G2381" i="1"/>
  <c r="F2381" i="1"/>
  <c r="I2381" i="1"/>
  <c r="H2381" i="1"/>
  <c r="H2492" i="1"/>
  <c r="G2492" i="1"/>
  <c r="I2492" i="1"/>
  <c r="F2492" i="1"/>
  <c r="G2497" i="1"/>
  <c r="F2497" i="1"/>
  <c r="I2497" i="1"/>
  <c r="H2497" i="1"/>
  <c r="H2524" i="1"/>
  <c r="G2524" i="1"/>
  <c r="I2524" i="1"/>
  <c r="F2524" i="1"/>
  <c r="G2529" i="1"/>
  <c r="F2529" i="1"/>
  <c r="I2529" i="1"/>
  <c r="H2529" i="1"/>
  <c r="H2556" i="1"/>
  <c r="G2556" i="1"/>
  <c r="I2556" i="1"/>
  <c r="F2556" i="1"/>
  <c r="G2561" i="1"/>
  <c r="F2561" i="1"/>
  <c r="I2561" i="1"/>
  <c r="H2561" i="1"/>
  <c r="G2791" i="1"/>
  <c r="F2791" i="1"/>
  <c r="I2791" i="1"/>
  <c r="H2791" i="1"/>
  <c r="G2795" i="1"/>
  <c r="F2795" i="1"/>
  <c r="I2795" i="1"/>
  <c r="H2795" i="1"/>
  <c r="G2799" i="1"/>
  <c r="F2799" i="1"/>
  <c r="I2799" i="1"/>
  <c r="H2799" i="1"/>
  <c r="G2803" i="1"/>
  <c r="F2803" i="1"/>
  <c r="I2803" i="1"/>
  <c r="H2803" i="1"/>
  <c r="G2807" i="1"/>
  <c r="F2807" i="1"/>
  <c r="I2807" i="1"/>
  <c r="H2807" i="1"/>
  <c r="G2811" i="1"/>
  <c r="F2811" i="1"/>
  <c r="I2811" i="1"/>
  <c r="H2811" i="1"/>
  <c r="G2816" i="1"/>
  <c r="F2816" i="1"/>
  <c r="I2816" i="1"/>
  <c r="H2816" i="1"/>
  <c r="G2820" i="1"/>
  <c r="F2820" i="1"/>
  <c r="I2820" i="1"/>
  <c r="H2820" i="1"/>
  <c r="G2824" i="1"/>
  <c r="F2824" i="1"/>
  <c r="I2824" i="1"/>
  <c r="H2824" i="1"/>
  <c r="G2828" i="1"/>
  <c r="F2828" i="1"/>
  <c r="I2828" i="1"/>
  <c r="H2828" i="1"/>
  <c r="G2832" i="1"/>
  <c r="F2832" i="1"/>
  <c r="I2832" i="1"/>
  <c r="H2832" i="1"/>
  <c r="G2836" i="1"/>
  <c r="F2836" i="1"/>
  <c r="I2836" i="1"/>
  <c r="H2836" i="1"/>
  <c r="G2840" i="1"/>
  <c r="F2840" i="1"/>
  <c r="I2840" i="1"/>
  <c r="H2840" i="1"/>
  <c r="G2844" i="1"/>
  <c r="F2844" i="1"/>
  <c r="I2844" i="1"/>
  <c r="H2844" i="1"/>
  <c r="G2848" i="1"/>
  <c r="F2848" i="1"/>
  <c r="I2848" i="1"/>
  <c r="H2848" i="1"/>
  <c r="G2852" i="1"/>
  <c r="F2852" i="1"/>
  <c r="I2852" i="1"/>
  <c r="H2852" i="1"/>
  <c r="G2856" i="1"/>
  <c r="F2856" i="1"/>
  <c r="I2856" i="1"/>
  <c r="H2856" i="1"/>
  <c r="G2919" i="1"/>
  <c r="F2919" i="1"/>
  <c r="I2919" i="1"/>
  <c r="H2919" i="1"/>
  <c r="H2930" i="1"/>
  <c r="G2930" i="1"/>
  <c r="I2930" i="1"/>
  <c r="F2930" i="1"/>
  <c r="G2935" i="1"/>
  <c r="F2935" i="1"/>
  <c r="I2935" i="1"/>
  <c r="H2935" i="1"/>
  <c r="H2946" i="1"/>
  <c r="G2946" i="1"/>
  <c r="I2946" i="1"/>
  <c r="F2946" i="1"/>
  <c r="G2951" i="1"/>
  <c r="F2951" i="1"/>
  <c r="I2951" i="1"/>
  <c r="H2951" i="1"/>
  <c r="H3008" i="1"/>
  <c r="G3008" i="1"/>
  <c r="I3008" i="1"/>
  <c r="F3008" i="1"/>
  <c r="G3147" i="1"/>
  <c r="F3147" i="1"/>
  <c r="I3147" i="1"/>
  <c r="H3147" i="1"/>
  <c r="G3211" i="1"/>
  <c r="F3211" i="1"/>
  <c r="I3211" i="1"/>
  <c r="H3211" i="1"/>
  <c r="H3257" i="1"/>
  <c r="G3257" i="1"/>
  <c r="I3257" i="1"/>
  <c r="F3257" i="1"/>
  <c r="H3261" i="1"/>
  <c r="G3261" i="1"/>
  <c r="I3261" i="1"/>
  <c r="F3261" i="1"/>
  <c r="H3391" i="1"/>
  <c r="G3391" i="1"/>
  <c r="I3391" i="1"/>
  <c r="F3391" i="1"/>
  <c r="H3455" i="1"/>
  <c r="G3455" i="1"/>
  <c r="I3455" i="1"/>
  <c r="F3455" i="1"/>
  <c r="H3519" i="1"/>
  <c r="G3519" i="1"/>
  <c r="I3519" i="1"/>
  <c r="F3519" i="1"/>
  <c r="G3847" i="1"/>
  <c r="F3847" i="1"/>
  <c r="I3847" i="1"/>
  <c r="H3847" i="1"/>
  <c r="G3911" i="1"/>
  <c r="F3911" i="1"/>
  <c r="I3911" i="1"/>
  <c r="H3911" i="1"/>
  <c r="I1440" i="1"/>
  <c r="H1441" i="1"/>
  <c r="I1444" i="1"/>
  <c r="H1445" i="1"/>
  <c r="I1448" i="1"/>
  <c r="H1449" i="1"/>
  <c r="I1452" i="1"/>
  <c r="H1453" i="1"/>
  <c r="I1456" i="1"/>
  <c r="H1457" i="1"/>
  <c r="I1460" i="1"/>
  <c r="H1461" i="1"/>
  <c r="I1464" i="1"/>
  <c r="H1465" i="1"/>
  <c r="I1468" i="1"/>
  <c r="H1469" i="1"/>
  <c r="I1472" i="1"/>
  <c r="H1473" i="1"/>
  <c r="I1476" i="1"/>
  <c r="H1477" i="1"/>
  <c r="I1480" i="1"/>
  <c r="H1481" i="1"/>
  <c r="I1484" i="1"/>
  <c r="H1485" i="1"/>
  <c r="I1488" i="1"/>
  <c r="H1489" i="1"/>
  <c r="I1492" i="1"/>
  <c r="H1493" i="1"/>
  <c r="I1496" i="1"/>
  <c r="H1497" i="1"/>
  <c r="I1500" i="1"/>
  <c r="H1501" i="1"/>
  <c r="I1504" i="1"/>
  <c r="H1505" i="1"/>
  <c r="I1508" i="1"/>
  <c r="H1509" i="1"/>
  <c r="H1513" i="1"/>
  <c r="I1516" i="1"/>
  <c r="H1517" i="1"/>
  <c r="I1520" i="1"/>
  <c r="H1521" i="1"/>
  <c r="I1524" i="1"/>
  <c r="H1525" i="1"/>
  <c r="I1528" i="1"/>
  <c r="H1529" i="1"/>
  <c r="I1532" i="1"/>
  <c r="H1533" i="1"/>
  <c r="I1536" i="1"/>
  <c r="H1537" i="1"/>
  <c r="I1540" i="1"/>
  <c r="H1541" i="1"/>
  <c r="I1544" i="1"/>
  <c r="H1545" i="1"/>
  <c r="I1548" i="1"/>
  <c r="H1549" i="1"/>
  <c r="I1552" i="1"/>
  <c r="H1553" i="1"/>
  <c r="I1556" i="1"/>
  <c r="H1557" i="1"/>
  <c r="I1560" i="1"/>
  <c r="H1561" i="1"/>
  <c r="I1564" i="1"/>
  <c r="H1565" i="1"/>
  <c r="I1568" i="1"/>
  <c r="H1569" i="1"/>
  <c r="I1572" i="1"/>
  <c r="H1573" i="1"/>
  <c r="F1575" i="1"/>
  <c r="I1576" i="1"/>
  <c r="H1577" i="1"/>
  <c r="F1579" i="1"/>
  <c r="I1580" i="1"/>
  <c r="H1581" i="1"/>
  <c r="F1583" i="1"/>
  <c r="I1584" i="1"/>
  <c r="H1585" i="1"/>
  <c r="F1587" i="1"/>
  <c r="I1588" i="1"/>
  <c r="H1589" i="1"/>
  <c r="F1591" i="1"/>
  <c r="I1592" i="1"/>
  <c r="H1593" i="1"/>
  <c r="F1595" i="1"/>
  <c r="I1596" i="1"/>
  <c r="H1597" i="1"/>
  <c r="F1599" i="1"/>
  <c r="I1600" i="1"/>
  <c r="H1601" i="1"/>
  <c r="F1603" i="1"/>
  <c r="I1604" i="1"/>
  <c r="H1605" i="1"/>
  <c r="F1607" i="1"/>
  <c r="I1608" i="1"/>
  <c r="H1609" i="1"/>
  <c r="F1611" i="1"/>
  <c r="I1612" i="1"/>
  <c r="H1613" i="1"/>
  <c r="F1615" i="1"/>
  <c r="I1616" i="1"/>
  <c r="H1617" i="1"/>
  <c r="F1619" i="1"/>
  <c r="I1620" i="1"/>
  <c r="H1621" i="1"/>
  <c r="F1623" i="1"/>
  <c r="I1624" i="1"/>
  <c r="H1625" i="1"/>
  <c r="F1627" i="1"/>
  <c r="I1628" i="1"/>
  <c r="H1629" i="1"/>
  <c r="F1631" i="1"/>
  <c r="I1632" i="1"/>
  <c r="H1633" i="1"/>
  <c r="F1635" i="1"/>
  <c r="I1636" i="1"/>
  <c r="H1637" i="1"/>
  <c r="F1639" i="1"/>
  <c r="I1640" i="1"/>
  <c r="H1641" i="1"/>
  <c r="F1643" i="1"/>
  <c r="I1644" i="1"/>
  <c r="H1645" i="1"/>
  <c r="F1647" i="1"/>
  <c r="I1648" i="1"/>
  <c r="H1649" i="1"/>
  <c r="F1651" i="1"/>
  <c r="I1652" i="1"/>
  <c r="H1653" i="1"/>
  <c r="F1655" i="1"/>
  <c r="I1656" i="1"/>
  <c r="H1657" i="1"/>
  <c r="F1659" i="1"/>
  <c r="I1660" i="1"/>
  <c r="H1661" i="1"/>
  <c r="F1663" i="1"/>
  <c r="I1664" i="1"/>
  <c r="H1665" i="1"/>
  <c r="F1667" i="1"/>
  <c r="I1668" i="1"/>
  <c r="H1669" i="1"/>
  <c r="F1671" i="1"/>
  <c r="I1672" i="1"/>
  <c r="H1673" i="1"/>
  <c r="F1675" i="1"/>
  <c r="I1676" i="1"/>
  <c r="H1677" i="1"/>
  <c r="F1679" i="1"/>
  <c r="I1680" i="1"/>
  <c r="H1681" i="1"/>
  <c r="F1683" i="1"/>
  <c r="I1684" i="1"/>
  <c r="H1685" i="1"/>
  <c r="F1687" i="1"/>
  <c r="I1688" i="1"/>
  <c r="H1689" i="1"/>
  <c r="F1691" i="1"/>
  <c r="I1692" i="1"/>
  <c r="H1693" i="1"/>
  <c r="F1695" i="1"/>
  <c r="I1696" i="1"/>
  <c r="H1697" i="1"/>
  <c r="F1699" i="1"/>
  <c r="I1700" i="1"/>
  <c r="H1701" i="1"/>
  <c r="F1703" i="1"/>
  <c r="I1704" i="1"/>
  <c r="H1705" i="1"/>
  <c r="F1707" i="1"/>
  <c r="I1708" i="1"/>
  <c r="H1709" i="1"/>
  <c r="F1711" i="1"/>
  <c r="I1712" i="1"/>
  <c r="H1713" i="1"/>
  <c r="F1715" i="1"/>
  <c r="I1716" i="1"/>
  <c r="H1717" i="1"/>
  <c r="F1719" i="1"/>
  <c r="I1720" i="1"/>
  <c r="H1721" i="1"/>
  <c r="F1723" i="1"/>
  <c r="I1724" i="1"/>
  <c r="H1725" i="1"/>
  <c r="F1727" i="1"/>
  <c r="I1728" i="1"/>
  <c r="H1729" i="1"/>
  <c r="F1731" i="1"/>
  <c r="I1732" i="1"/>
  <c r="H1733" i="1"/>
  <c r="F1735" i="1"/>
  <c r="I1736" i="1"/>
  <c r="H1737" i="1"/>
  <c r="F1739" i="1"/>
  <c r="I1740" i="1"/>
  <c r="H1741" i="1"/>
  <c r="F1743" i="1"/>
  <c r="I1744" i="1"/>
  <c r="H1745" i="1"/>
  <c r="F1747" i="1"/>
  <c r="I1748" i="1"/>
  <c r="H1749" i="1"/>
  <c r="F1751" i="1"/>
  <c r="I1752" i="1"/>
  <c r="F1758" i="1"/>
  <c r="I1759" i="1"/>
  <c r="H1760" i="1"/>
  <c r="F1762" i="1"/>
  <c r="I1763" i="1"/>
  <c r="H1764" i="1"/>
  <c r="F1766" i="1"/>
  <c r="I1767" i="1"/>
  <c r="H1768" i="1"/>
  <c r="F1770" i="1"/>
  <c r="I1771" i="1"/>
  <c r="H1772" i="1"/>
  <c r="F1774" i="1"/>
  <c r="I1775" i="1"/>
  <c r="H1776" i="1"/>
  <c r="F1778" i="1"/>
  <c r="I1779" i="1"/>
  <c r="H1780" i="1"/>
  <c r="F1782" i="1"/>
  <c r="I1783" i="1"/>
  <c r="H1784" i="1"/>
  <c r="F1786" i="1"/>
  <c r="I1787" i="1"/>
  <c r="H1788" i="1"/>
  <c r="F1790" i="1"/>
  <c r="I1791" i="1"/>
  <c r="H1792" i="1"/>
  <c r="F1794" i="1"/>
  <c r="I1795" i="1"/>
  <c r="H1796" i="1"/>
  <c r="F1798" i="1"/>
  <c r="I1799" i="1"/>
  <c r="H1800" i="1"/>
  <c r="F1802" i="1"/>
  <c r="I1803" i="1"/>
  <c r="F1806" i="1"/>
  <c r="I1807" i="1"/>
  <c r="F1810" i="1"/>
  <c r="I1811" i="1"/>
  <c r="F1814" i="1"/>
  <c r="I1815" i="1"/>
  <c r="F1818" i="1"/>
  <c r="I1819" i="1"/>
  <c r="F1822" i="1"/>
  <c r="I1823" i="1"/>
  <c r="F1826" i="1"/>
  <c r="I1827" i="1"/>
  <c r="F1832" i="1"/>
  <c r="I1833" i="1"/>
  <c r="F1836" i="1"/>
  <c r="I1837" i="1"/>
  <c r="F1840" i="1"/>
  <c r="I1841" i="1"/>
  <c r="F1844" i="1"/>
  <c r="I1845" i="1"/>
  <c r="F1848" i="1"/>
  <c r="I1849" i="1"/>
  <c r="F1852" i="1"/>
  <c r="I1853" i="1"/>
  <c r="F1856" i="1"/>
  <c r="I1857" i="1"/>
  <c r="F1860" i="1"/>
  <c r="I1861" i="1"/>
  <c r="F1864" i="1"/>
  <c r="I1865" i="1"/>
  <c r="F1868" i="1"/>
  <c r="I1869" i="1"/>
  <c r="F1874" i="1"/>
  <c r="I1875" i="1"/>
  <c r="F1878" i="1"/>
  <c r="I1879" i="1"/>
  <c r="F1882" i="1"/>
  <c r="I1883" i="1"/>
  <c r="F1886" i="1"/>
  <c r="I1887" i="1"/>
  <c r="F1890" i="1"/>
  <c r="I1891" i="1"/>
  <c r="F1894" i="1"/>
  <c r="I1895" i="1"/>
  <c r="F1898" i="1"/>
  <c r="I1899" i="1"/>
  <c r="F1902" i="1"/>
  <c r="I1903" i="1"/>
  <c r="F1906" i="1"/>
  <c r="I1907" i="1"/>
  <c r="F1910" i="1"/>
  <c r="I1911" i="1"/>
  <c r="F1914" i="1"/>
  <c r="I1915" i="1"/>
  <c r="F1918" i="1"/>
  <c r="I1919" i="1"/>
  <c r="F1922" i="1"/>
  <c r="I1923" i="1"/>
  <c r="F1926" i="1"/>
  <c r="I1927" i="1"/>
  <c r="F1930" i="1"/>
  <c r="I1931" i="1"/>
  <c r="F1934" i="1"/>
  <c r="I1935" i="1"/>
  <c r="F1938" i="1"/>
  <c r="I1939" i="1"/>
  <c r="F1942" i="1"/>
  <c r="I1943" i="1"/>
  <c r="F1946" i="1"/>
  <c r="I1947" i="1"/>
  <c r="I1951" i="1"/>
  <c r="F1956" i="1"/>
  <c r="I1957" i="1"/>
  <c r="F1959" i="1"/>
  <c r="F1962" i="1"/>
  <c r="I1963" i="1"/>
  <c r="F1966" i="1"/>
  <c r="I1967" i="1"/>
  <c r="F1970" i="1"/>
  <c r="I1971" i="1"/>
  <c r="F1977" i="1"/>
  <c r="I1979" i="1"/>
  <c r="F1982" i="1"/>
  <c r="I1983" i="1"/>
  <c r="F1986" i="1"/>
  <c r="I1987" i="1"/>
  <c r="F1990" i="1"/>
  <c r="I1991" i="1"/>
  <c r="F1994" i="1"/>
  <c r="I1995" i="1"/>
  <c r="F1998" i="1"/>
  <c r="I1999" i="1"/>
  <c r="F2002" i="1"/>
  <c r="I2003" i="1"/>
  <c r="F2006" i="1"/>
  <c r="I2007" i="1"/>
  <c r="F2010" i="1"/>
  <c r="I2011" i="1"/>
  <c r="F2014" i="1"/>
  <c r="I2015" i="1"/>
  <c r="F2018" i="1"/>
  <c r="I2019" i="1"/>
  <c r="F2022" i="1"/>
  <c r="I2023" i="1"/>
  <c r="F2026" i="1"/>
  <c r="I2027" i="1"/>
  <c r="F2030" i="1"/>
  <c r="I2031" i="1"/>
  <c r="F2034" i="1"/>
  <c r="I2035" i="1"/>
  <c r="F2038" i="1"/>
  <c r="I2039" i="1"/>
  <c r="F2042" i="1"/>
  <c r="I2043" i="1"/>
  <c r="F2046" i="1"/>
  <c r="I2047" i="1"/>
  <c r="F2050" i="1"/>
  <c r="I2051" i="1"/>
  <c r="F2054" i="1"/>
  <c r="I2055" i="1"/>
  <c r="F2058" i="1"/>
  <c r="I2059" i="1"/>
  <c r="F2062" i="1"/>
  <c r="I2063" i="1"/>
  <c r="F2066" i="1"/>
  <c r="I2067" i="1"/>
  <c r="F2070" i="1"/>
  <c r="I2071" i="1"/>
  <c r="F2074" i="1"/>
  <c r="I2075" i="1"/>
  <c r="F2078" i="1"/>
  <c r="I2079" i="1"/>
  <c r="F2082" i="1"/>
  <c r="I2083" i="1"/>
  <c r="F2086" i="1"/>
  <c r="I2087" i="1"/>
  <c r="F2090" i="1"/>
  <c r="I2091" i="1"/>
  <c r="F2094" i="1"/>
  <c r="I2095" i="1"/>
  <c r="F2098" i="1"/>
  <c r="I2099" i="1"/>
  <c r="F2102" i="1"/>
  <c r="I2103" i="1"/>
  <c r="F2106" i="1"/>
  <c r="I2107" i="1"/>
  <c r="F2110" i="1"/>
  <c r="I2111" i="1"/>
  <c r="F2114" i="1"/>
  <c r="I2115" i="1"/>
  <c r="F2118" i="1"/>
  <c r="I2119" i="1"/>
  <c r="F2122" i="1"/>
  <c r="I2123" i="1"/>
  <c r="F2126" i="1"/>
  <c r="I2127" i="1"/>
  <c r="F2130" i="1"/>
  <c r="I2131" i="1"/>
  <c r="F2134" i="1"/>
  <c r="I2135" i="1"/>
  <c r="F2138" i="1"/>
  <c r="I2139" i="1"/>
  <c r="F2142" i="1"/>
  <c r="I2143" i="1"/>
  <c r="F2146" i="1"/>
  <c r="I2147" i="1"/>
  <c r="F2150" i="1"/>
  <c r="I2151" i="1"/>
  <c r="F2154" i="1"/>
  <c r="I2155" i="1"/>
  <c r="F2158" i="1"/>
  <c r="I2159" i="1"/>
  <c r="F2162" i="1"/>
  <c r="I2163" i="1"/>
  <c r="F2166" i="1"/>
  <c r="I2167" i="1"/>
  <c r="F2170" i="1"/>
  <c r="I2171" i="1"/>
  <c r="F2174" i="1"/>
  <c r="I2175" i="1"/>
  <c r="F2178" i="1"/>
  <c r="I2179" i="1"/>
  <c r="F2182" i="1"/>
  <c r="I2183" i="1"/>
  <c r="F2186" i="1"/>
  <c r="I2187" i="1"/>
  <c r="F2190" i="1"/>
  <c r="I2191" i="1"/>
  <c r="F2194" i="1"/>
  <c r="I2195" i="1"/>
  <c r="H2199" i="1"/>
  <c r="G2199" i="1"/>
  <c r="H2200" i="1"/>
  <c r="H2203" i="1"/>
  <c r="G2203" i="1"/>
  <c r="H2204" i="1"/>
  <c r="H2207" i="1"/>
  <c r="G2207" i="1"/>
  <c r="H2208" i="1"/>
  <c r="H2211" i="1"/>
  <c r="G2211" i="1"/>
  <c r="H2212" i="1"/>
  <c r="H2215" i="1"/>
  <c r="G2215" i="1"/>
  <c r="H2216" i="1"/>
  <c r="H2219" i="1"/>
  <c r="G2219" i="1"/>
  <c r="H2220" i="1"/>
  <c r="H2223" i="1"/>
  <c r="G2223" i="1"/>
  <c r="H2224" i="1"/>
  <c r="H2227" i="1"/>
  <c r="G2227" i="1"/>
  <c r="H2228" i="1"/>
  <c r="H2231" i="1"/>
  <c r="G2231" i="1"/>
  <c r="H2232" i="1"/>
  <c r="H2235" i="1"/>
  <c r="G2235" i="1"/>
  <c r="H2236" i="1"/>
  <c r="H2239" i="1"/>
  <c r="G2239" i="1"/>
  <c r="F2239" i="1"/>
  <c r="H2247" i="1"/>
  <c r="G2247" i="1"/>
  <c r="F2247" i="1"/>
  <c r="I2251" i="1"/>
  <c r="H2259" i="1"/>
  <c r="G2259" i="1"/>
  <c r="F2259" i="1"/>
  <c r="H2267" i="1"/>
  <c r="G2267" i="1"/>
  <c r="F2267" i="1"/>
  <c r="H2275" i="1"/>
  <c r="G2275" i="1"/>
  <c r="F2275" i="1"/>
  <c r="H2283" i="1"/>
  <c r="G2283" i="1"/>
  <c r="F2283" i="1"/>
  <c r="H2291" i="1"/>
  <c r="G2291" i="1"/>
  <c r="F2291" i="1"/>
  <c r="H2299" i="1"/>
  <c r="G2299" i="1"/>
  <c r="F2299" i="1"/>
  <c r="H2307" i="1"/>
  <c r="G2307" i="1"/>
  <c r="F2307" i="1"/>
  <c r="H2315" i="1"/>
  <c r="G2315" i="1"/>
  <c r="F2315" i="1"/>
  <c r="I2319" i="1"/>
  <c r="I2327" i="1"/>
  <c r="I2335" i="1"/>
  <c r="I2343" i="1"/>
  <c r="I2351" i="1"/>
  <c r="H2359" i="1"/>
  <c r="G2359" i="1"/>
  <c r="F2359" i="1"/>
  <c r="H2709" i="1"/>
  <c r="G2709" i="1"/>
  <c r="I2709" i="1"/>
  <c r="F2709" i="1"/>
  <c r="G2714" i="1"/>
  <c r="F2714" i="1"/>
  <c r="I2714" i="1"/>
  <c r="H2714" i="1"/>
  <c r="G2718" i="1"/>
  <c r="F2718" i="1"/>
  <c r="I2718" i="1"/>
  <c r="H2718" i="1"/>
  <c r="G2722" i="1"/>
  <c r="F2722" i="1"/>
  <c r="I2722" i="1"/>
  <c r="H2722" i="1"/>
  <c r="G2726" i="1"/>
  <c r="F2726" i="1"/>
  <c r="I2726" i="1"/>
  <c r="H2726" i="1"/>
  <c r="G2730" i="1"/>
  <c r="F2730" i="1"/>
  <c r="I2730" i="1"/>
  <c r="H2730" i="1"/>
  <c r="G2789" i="1"/>
  <c r="H2789" i="1"/>
  <c r="G3131" i="1"/>
  <c r="F3131" i="1"/>
  <c r="I3131" i="1"/>
  <c r="H3131" i="1"/>
  <c r="G3195" i="1"/>
  <c r="F3195" i="1"/>
  <c r="I3195" i="1"/>
  <c r="H3195" i="1"/>
  <c r="G3254" i="1"/>
  <c r="F3254" i="1"/>
  <c r="I3254" i="1"/>
  <c r="H3254" i="1"/>
  <c r="H3368" i="1"/>
  <c r="G3368" i="1"/>
  <c r="I3368" i="1"/>
  <c r="F3368" i="1"/>
  <c r="H3443" i="1"/>
  <c r="G3443" i="1"/>
  <c r="I3443" i="1"/>
  <c r="F3443" i="1"/>
  <c r="H3507" i="1"/>
  <c r="G3507" i="1"/>
  <c r="I3507" i="1"/>
  <c r="F3507" i="1"/>
  <c r="G3565" i="1"/>
  <c r="F3565" i="1"/>
  <c r="I3565" i="1"/>
  <c r="H3565" i="1"/>
  <c r="G3643" i="1"/>
  <c r="F3643" i="1"/>
  <c r="I3643" i="1"/>
  <c r="H3643" i="1"/>
  <c r="G3663" i="1"/>
  <c r="F3663" i="1"/>
  <c r="I3663" i="1"/>
  <c r="H3663" i="1"/>
  <c r="H3670" i="1"/>
  <c r="G3670" i="1"/>
  <c r="I3670" i="1"/>
  <c r="F3670" i="1"/>
  <c r="G3895" i="1"/>
  <c r="F3895" i="1"/>
  <c r="I3895" i="1"/>
  <c r="H3895" i="1"/>
  <c r="H1756" i="1"/>
  <c r="F2199" i="1"/>
  <c r="I2200" i="1"/>
  <c r="F2203" i="1"/>
  <c r="I2204" i="1"/>
  <c r="F2207" i="1"/>
  <c r="I2208" i="1"/>
  <c r="F2211" i="1"/>
  <c r="I2212" i="1"/>
  <c r="F2215" i="1"/>
  <c r="I2216" i="1"/>
  <c r="F2219" i="1"/>
  <c r="I2220" i="1"/>
  <c r="F2223" i="1"/>
  <c r="I2224" i="1"/>
  <c r="F2227" i="1"/>
  <c r="I2228" i="1"/>
  <c r="F2231" i="1"/>
  <c r="I2232" i="1"/>
  <c r="F2235" i="1"/>
  <c r="I2236" i="1"/>
  <c r="I2239" i="1"/>
  <c r="I2247" i="1"/>
  <c r="I2259" i="1"/>
  <c r="I2267" i="1"/>
  <c r="I2275" i="1"/>
  <c r="I2283" i="1"/>
  <c r="I2291" i="1"/>
  <c r="I2299" i="1"/>
  <c r="I2307" i="1"/>
  <c r="I2315" i="1"/>
  <c r="H2323" i="1"/>
  <c r="G2323" i="1"/>
  <c r="F2323" i="1"/>
  <c r="H2331" i="1"/>
  <c r="G2331" i="1"/>
  <c r="F2331" i="1"/>
  <c r="H2339" i="1"/>
  <c r="G2339" i="1"/>
  <c r="F2339" i="1"/>
  <c r="H2347" i="1"/>
  <c r="G2347" i="1"/>
  <c r="F2347" i="1"/>
  <c r="H2355" i="1"/>
  <c r="G2355" i="1"/>
  <c r="F2355" i="1"/>
  <c r="I2359" i="1"/>
  <c r="H2364" i="1"/>
  <c r="G2364" i="1"/>
  <c r="I2364" i="1"/>
  <c r="F2364" i="1"/>
  <c r="H2372" i="1"/>
  <c r="G2372" i="1"/>
  <c r="I2372" i="1"/>
  <c r="F2372" i="1"/>
  <c r="H2508" i="1"/>
  <c r="G2508" i="1"/>
  <c r="I2508" i="1"/>
  <c r="F2508" i="1"/>
  <c r="G2513" i="1"/>
  <c r="F2513" i="1"/>
  <c r="I2513" i="1"/>
  <c r="H2513" i="1"/>
  <c r="H2540" i="1"/>
  <c r="G2540" i="1"/>
  <c r="I2540" i="1"/>
  <c r="F2540" i="1"/>
  <c r="G2545" i="1"/>
  <c r="F2545" i="1"/>
  <c r="I2545" i="1"/>
  <c r="H2545" i="1"/>
  <c r="H2572" i="1"/>
  <c r="G2572" i="1"/>
  <c r="I2572" i="1"/>
  <c r="F2572" i="1"/>
  <c r="G2577" i="1"/>
  <c r="F2577" i="1"/>
  <c r="I2577" i="1"/>
  <c r="H2577" i="1"/>
  <c r="H2867" i="1"/>
  <c r="G2867" i="1"/>
  <c r="I2867" i="1"/>
  <c r="F2867" i="1"/>
  <c r="G2872" i="1"/>
  <c r="F2872" i="1"/>
  <c r="I2872" i="1"/>
  <c r="H2872" i="1"/>
  <c r="G2968" i="1"/>
  <c r="F2968" i="1"/>
  <c r="I2968" i="1"/>
  <c r="H2968" i="1"/>
  <c r="G3115" i="1"/>
  <c r="F3115" i="1"/>
  <c r="I3115" i="1"/>
  <c r="H3115" i="1"/>
  <c r="G3179" i="1"/>
  <c r="F3179" i="1"/>
  <c r="I3179" i="1"/>
  <c r="H3179" i="1"/>
  <c r="G3243" i="1"/>
  <c r="F3243" i="1"/>
  <c r="I3243" i="1"/>
  <c r="H3243" i="1"/>
  <c r="H3289" i="1"/>
  <c r="G3289" i="1"/>
  <c r="I3289" i="1"/>
  <c r="F3289" i="1"/>
  <c r="H3293" i="1"/>
  <c r="G3293" i="1"/>
  <c r="I3293" i="1"/>
  <c r="F3293" i="1"/>
  <c r="H3356" i="1"/>
  <c r="G3356" i="1"/>
  <c r="I3356" i="1"/>
  <c r="F3356" i="1"/>
  <c r="F3423" i="1"/>
  <c r="H3423" i="1"/>
  <c r="G3423" i="1"/>
  <c r="H3487" i="1"/>
  <c r="G3487" i="1"/>
  <c r="I3487" i="1"/>
  <c r="F3487" i="1"/>
  <c r="H3556" i="1"/>
  <c r="G3556" i="1"/>
  <c r="F3556" i="1"/>
  <c r="I3556" i="1"/>
  <c r="G3879" i="1"/>
  <c r="F3879" i="1"/>
  <c r="I3879" i="1"/>
  <c r="H3879" i="1"/>
  <c r="I2240" i="1"/>
  <c r="I2244" i="1"/>
  <c r="I2248" i="1"/>
  <c r="I2252" i="1"/>
  <c r="I2256" i="1"/>
  <c r="I2260" i="1"/>
  <c r="I2264" i="1"/>
  <c r="I2268" i="1"/>
  <c r="I2272" i="1"/>
  <c r="I2276" i="1"/>
  <c r="I2280" i="1"/>
  <c r="I2284" i="1"/>
  <c r="I2288" i="1"/>
  <c r="I2292" i="1"/>
  <c r="I2296" i="1"/>
  <c r="I2300" i="1"/>
  <c r="I2304" i="1"/>
  <c r="I2308" i="1"/>
  <c r="I2312" i="1"/>
  <c r="I2316" i="1"/>
  <c r="I2320" i="1"/>
  <c r="I2324" i="1"/>
  <c r="I2328" i="1"/>
  <c r="I2332" i="1"/>
  <c r="I2336" i="1"/>
  <c r="I2340" i="1"/>
  <c r="I2344" i="1"/>
  <c r="I2348" i="1"/>
  <c r="I2352" i="1"/>
  <c r="I2356" i="1"/>
  <c r="I2360" i="1"/>
  <c r="H2380" i="1"/>
  <c r="G2380" i="1"/>
  <c r="G2385" i="1"/>
  <c r="F2385" i="1"/>
  <c r="G2389" i="1"/>
  <c r="F2389" i="1"/>
  <c r="G2393" i="1"/>
  <c r="F2393" i="1"/>
  <c r="G2397" i="1"/>
  <c r="F2397" i="1"/>
  <c r="G2401" i="1"/>
  <c r="F2401" i="1"/>
  <c r="G2405" i="1"/>
  <c r="F2405" i="1"/>
  <c r="G2409" i="1"/>
  <c r="F2409" i="1"/>
  <c r="G2413" i="1"/>
  <c r="F2413" i="1"/>
  <c r="G2417" i="1"/>
  <c r="F2417" i="1"/>
  <c r="G2421" i="1"/>
  <c r="F2421" i="1"/>
  <c r="G2425" i="1"/>
  <c r="F2425" i="1"/>
  <c r="G2429" i="1"/>
  <c r="F2429" i="1"/>
  <c r="G2433" i="1"/>
  <c r="F2433" i="1"/>
  <c r="G2437" i="1"/>
  <c r="F2437" i="1"/>
  <c r="G2441" i="1"/>
  <c r="F2441" i="1"/>
  <c r="G2445" i="1"/>
  <c r="F2445" i="1"/>
  <c r="G2449" i="1"/>
  <c r="F2449" i="1"/>
  <c r="G2453" i="1"/>
  <c r="F2453" i="1"/>
  <c r="G2457" i="1"/>
  <c r="F2457" i="1"/>
  <c r="G2461" i="1"/>
  <c r="F2461" i="1"/>
  <c r="G2465" i="1"/>
  <c r="F2465" i="1"/>
  <c r="G2469" i="1"/>
  <c r="F2469" i="1"/>
  <c r="G2473" i="1"/>
  <c r="F2473" i="1"/>
  <c r="G2477" i="1"/>
  <c r="F2477" i="1"/>
  <c r="G2481" i="1"/>
  <c r="F2481" i="1"/>
  <c r="G2485" i="1"/>
  <c r="F2485" i="1"/>
  <c r="H2496" i="1"/>
  <c r="G2496" i="1"/>
  <c r="G2501" i="1"/>
  <c r="F2501" i="1"/>
  <c r="H2512" i="1"/>
  <c r="G2512" i="1"/>
  <c r="G2517" i="1"/>
  <c r="F2517" i="1"/>
  <c r="H2528" i="1"/>
  <c r="G2528" i="1"/>
  <c r="G2533" i="1"/>
  <c r="F2533" i="1"/>
  <c r="H2544" i="1"/>
  <c r="G2544" i="1"/>
  <c r="G2549" i="1"/>
  <c r="F2549" i="1"/>
  <c r="H2560" i="1"/>
  <c r="G2560" i="1"/>
  <c r="G2565" i="1"/>
  <c r="F2565" i="1"/>
  <c r="H2576" i="1"/>
  <c r="G2576" i="1"/>
  <c r="G2581" i="1"/>
  <c r="F2581" i="1"/>
  <c r="H2713" i="1"/>
  <c r="G2713" i="1"/>
  <c r="H2717" i="1"/>
  <c r="G2717" i="1"/>
  <c r="H2721" i="1"/>
  <c r="G2721" i="1"/>
  <c r="H2725" i="1"/>
  <c r="G2725" i="1"/>
  <c r="H2729" i="1"/>
  <c r="G2729" i="1"/>
  <c r="G2734" i="1"/>
  <c r="F2734" i="1"/>
  <c r="G2738" i="1"/>
  <c r="F2738" i="1"/>
  <c r="G2742" i="1"/>
  <c r="F2742" i="1"/>
  <c r="G2746" i="1"/>
  <c r="F2746" i="1"/>
  <c r="G2750" i="1"/>
  <c r="F2750" i="1"/>
  <c r="G2754" i="1"/>
  <c r="F2754" i="1"/>
  <c r="G2758" i="1"/>
  <c r="F2758" i="1"/>
  <c r="G2762" i="1"/>
  <c r="F2762" i="1"/>
  <c r="G2766" i="1"/>
  <c r="F2766" i="1"/>
  <c r="G2770" i="1"/>
  <c r="F2770" i="1"/>
  <c r="G2774" i="1"/>
  <c r="F2774" i="1"/>
  <c r="G2778" i="1"/>
  <c r="F2778" i="1"/>
  <c r="G2782" i="1"/>
  <c r="F2782" i="1"/>
  <c r="G2786" i="1"/>
  <c r="F2786" i="1"/>
  <c r="H2794" i="1"/>
  <c r="G2794" i="1"/>
  <c r="H2798" i="1"/>
  <c r="G2798" i="1"/>
  <c r="H2802" i="1"/>
  <c r="G2802" i="1"/>
  <c r="H2806" i="1"/>
  <c r="G2806" i="1"/>
  <c r="H2810" i="1"/>
  <c r="G2810" i="1"/>
  <c r="H2815" i="1"/>
  <c r="G2815" i="1"/>
  <c r="H2819" i="1"/>
  <c r="G2819" i="1"/>
  <c r="H2823" i="1"/>
  <c r="G2823" i="1"/>
  <c r="H2827" i="1"/>
  <c r="G2827" i="1"/>
  <c r="H2831" i="1"/>
  <c r="G2831" i="1"/>
  <c r="H2835" i="1"/>
  <c r="G2835" i="1"/>
  <c r="H2839" i="1"/>
  <c r="G2839" i="1"/>
  <c r="H2843" i="1"/>
  <c r="G2843" i="1"/>
  <c r="H2847" i="1"/>
  <c r="G2847" i="1"/>
  <c r="H2851" i="1"/>
  <c r="G2851" i="1"/>
  <c r="H2855" i="1"/>
  <c r="G2855" i="1"/>
  <c r="G2860" i="1"/>
  <c r="F2860" i="1"/>
  <c r="H2871" i="1"/>
  <c r="G2871" i="1"/>
  <c r="G2876" i="1"/>
  <c r="F2876" i="1"/>
  <c r="H2918" i="1"/>
  <c r="G2918" i="1"/>
  <c r="G2923" i="1"/>
  <c r="F2923" i="1"/>
  <c r="H2934" i="1"/>
  <c r="G2934" i="1"/>
  <c r="G2939" i="1"/>
  <c r="F2939" i="1"/>
  <c r="H2950" i="1"/>
  <c r="G2950" i="1"/>
  <c r="H2988" i="1"/>
  <c r="G2988" i="1"/>
  <c r="I2988" i="1"/>
  <c r="H3004" i="1"/>
  <c r="G3004" i="1"/>
  <c r="I3004" i="1"/>
  <c r="G3258" i="1"/>
  <c r="F3258" i="1"/>
  <c r="I3258" i="1"/>
  <c r="H3258" i="1"/>
  <c r="G3290" i="1"/>
  <c r="F3290" i="1"/>
  <c r="I3290" i="1"/>
  <c r="H3290" i="1"/>
  <c r="G3532" i="1"/>
  <c r="F3532" i="1"/>
  <c r="I3532" i="1"/>
  <c r="H3535" i="1"/>
  <c r="G3535" i="1"/>
  <c r="I3535" i="1"/>
  <c r="F3535" i="1"/>
  <c r="G3569" i="1"/>
  <c r="F3569" i="1"/>
  <c r="I3569" i="1"/>
  <c r="H3569" i="1"/>
  <c r="H3757" i="1"/>
  <c r="G3757" i="1"/>
  <c r="I3757" i="1"/>
  <c r="F3757" i="1"/>
  <c r="H3761" i="1"/>
  <c r="G3761" i="1"/>
  <c r="I3761" i="1"/>
  <c r="F3761" i="1"/>
  <c r="H3833" i="1"/>
  <c r="G3833" i="1"/>
  <c r="I3833" i="1"/>
  <c r="F3833" i="1"/>
  <c r="H3838" i="1"/>
  <c r="G3838" i="1"/>
  <c r="I3838" i="1"/>
  <c r="F3838" i="1"/>
  <c r="H3921" i="1"/>
  <c r="G3921" i="1"/>
  <c r="F3921" i="1"/>
  <c r="I3921" i="1"/>
  <c r="H3937" i="1"/>
  <c r="G3937" i="1"/>
  <c r="F3937" i="1"/>
  <c r="I3937" i="1"/>
  <c r="H3953" i="1"/>
  <c r="G3953" i="1"/>
  <c r="F3953" i="1"/>
  <c r="I3953" i="1"/>
  <c r="H3969" i="1"/>
  <c r="G3969" i="1"/>
  <c r="F3969" i="1"/>
  <c r="I3969" i="1"/>
  <c r="H2198" i="1"/>
  <c r="I2201" i="1"/>
  <c r="H2202" i="1"/>
  <c r="I2205" i="1"/>
  <c r="H2206" i="1"/>
  <c r="I2209" i="1"/>
  <c r="H2210" i="1"/>
  <c r="I2213" i="1"/>
  <c r="H2214" i="1"/>
  <c r="I2217" i="1"/>
  <c r="H2218" i="1"/>
  <c r="I2221" i="1"/>
  <c r="H2222" i="1"/>
  <c r="I2225" i="1"/>
  <c r="H2226" i="1"/>
  <c r="I2229" i="1"/>
  <c r="H2230" i="1"/>
  <c r="I2233" i="1"/>
  <c r="H2234" i="1"/>
  <c r="I2237" i="1"/>
  <c r="H2238" i="1"/>
  <c r="F2240" i="1"/>
  <c r="I2241" i="1"/>
  <c r="H2242" i="1"/>
  <c r="F2244" i="1"/>
  <c r="I2245" i="1"/>
  <c r="H2246" i="1"/>
  <c r="F2248" i="1"/>
  <c r="H2250" i="1"/>
  <c r="F2252" i="1"/>
  <c r="H2254" i="1"/>
  <c r="F2256" i="1"/>
  <c r="I2257" i="1"/>
  <c r="H2258" i="1"/>
  <c r="F2260" i="1"/>
  <c r="I2261" i="1"/>
  <c r="H2262" i="1"/>
  <c r="F2264" i="1"/>
  <c r="I2265" i="1"/>
  <c r="H2266" i="1"/>
  <c r="F2268" i="1"/>
  <c r="I2269" i="1"/>
  <c r="H2270" i="1"/>
  <c r="F2272" i="1"/>
  <c r="I2273" i="1"/>
  <c r="H2274" i="1"/>
  <c r="F2276" i="1"/>
  <c r="I2277" i="1"/>
  <c r="H2278" i="1"/>
  <c r="F2280" i="1"/>
  <c r="I2281" i="1"/>
  <c r="H2282" i="1"/>
  <c r="F2284" i="1"/>
  <c r="I2285" i="1"/>
  <c r="H2286" i="1"/>
  <c r="F2288" i="1"/>
  <c r="I2289" i="1"/>
  <c r="H2290" i="1"/>
  <c r="F2292" i="1"/>
  <c r="I2293" i="1"/>
  <c r="H2294" i="1"/>
  <c r="F2296" i="1"/>
  <c r="I2297" i="1"/>
  <c r="H2298" i="1"/>
  <c r="F2300" i="1"/>
  <c r="I2301" i="1"/>
  <c r="H2302" i="1"/>
  <c r="F2304" i="1"/>
  <c r="I2305" i="1"/>
  <c r="H2306" i="1"/>
  <c r="F2308" i="1"/>
  <c r="I2309" i="1"/>
  <c r="H2310" i="1"/>
  <c r="F2312" i="1"/>
  <c r="I2313" i="1"/>
  <c r="H2314" i="1"/>
  <c r="F2316" i="1"/>
  <c r="H2318" i="1"/>
  <c r="F2320" i="1"/>
  <c r="I2321" i="1"/>
  <c r="H2322" i="1"/>
  <c r="F2324" i="1"/>
  <c r="I2325" i="1"/>
  <c r="H2326" i="1"/>
  <c r="F2328" i="1"/>
  <c r="I2329" i="1"/>
  <c r="H2330" i="1"/>
  <c r="F2332" i="1"/>
  <c r="I2333" i="1"/>
  <c r="H2334" i="1"/>
  <c r="F2336" i="1"/>
  <c r="I2337" i="1"/>
  <c r="H2338" i="1"/>
  <c r="F2340" i="1"/>
  <c r="I2341" i="1"/>
  <c r="H2342" i="1"/>
  <c r="F2344" i="1"/>
  <c r="I2345" i="1"/>
  <c r="H2346" i="1"/>
  <c r="F2348" i="1"/>
  <c r="I2349" i="1"/>
  <c r="H2350" i="1"/>
  <c r="F2352" i="1"/>
  <c r="I2353" i="1"/>
  <c r="H2354" i="1"/>
  <c r="F2356" i="1"/>
  <c r="I2357" i="1"/>
  <c r="F2360" i="1"/>
  <c r="F2380" i="1"/>
  <c r="H2384" i="1"/>
  <c r="G2384" i="1"/>
  <c r="H2385" i="1"/>
  <c r="H2388" i="1"/>
  <c r="G2388" i="1"/>
  <c r="H2389" i="1"/>
  <c r="H2392" i="1"/>
  <c r="G2392" i="1"/>
  <c r="H2393" i="1"/>
  <c r="H2396" i="1"/>
  <c r="G2396" i="1"/>
  <c r="H2397" i="1"/>
  <c r="H2400" i="1"/>
  <c r="G2400" i="1"/>
  <c r="H2401" i="1"/>
  <c r="H2404" i="1"/>
  <c r="G2404" i="1"/>
  <c r="H2405" i="1"/>
  <c r="H2408" i="1"/>
  <c r="G2408" i="1"/>
  <c r="H2409" i="1"/>
  <c r="H2412" i="1"/>
  <c r="G2412" i="1"/>
  <c r="H2413" i="1"/>
  <c r="H2416" i="1"/>
  <c r="G2416" i="1"/>
  <c r="H2417" i="1"/>
  <c r="H2420" i="1"/>
  <c r="G2420" i="1"/>
  <c r="H2421" i="1"/>
  <c r="H2424" i="1"/>
  <c r="G2424" i="1"/>
  <c r="H2425" i="1"/>
  <c r="H2428" i="1"/>
  <c r="G2428" i="1"/>
  <c r="H2429" i="1"/>
  <c r="H2432" i="1"/>
  <c r="G2432" i="1"/>
  <c r="H2433" i="1"/>
  <c r="H2436" i="1"/>
  <c r="G2436" i="1"/>
  <c r="H2437" i="1"/>
  <c r="H2440" i="1"/>
  <c r="G2440" i="1"/>
  <c r="H2441" i="1"/>
  <c r="H2444" i="1"/>
  <c r="G2444" i="1"/>
  <c r="H2445" i="1"/>
  <c r="H2448" i="1"/>
  <c r="G2448" i="1"/>
  <c r="H2449" i="1"/>
  <c r="H2452" i="1"/>
  <c r="G2452" i="1"/>
  <c r="H2453" i="1"/>
  <c r="H2456" i="1"/>
  <c r="G2456" i="1"/>
  <c r="H2457" i="1"/>
  <c r="H2460" i="1"/>
  <c r="G2460" i="1"/>
  <c r="H2461" i="1"/>
  <c r="H2464" i="1"/>
  <c r="G2464" i="1"/>
  <c r="H2465" i="1"/>
  <c r="H2468" i="1"/>
  <c r="G2468" i="1"/>
  <c r="H2469" i="1"/>
  <c r="H2472" i="1"/>
  <c r="G2472" i="1"/>
  <c r="H2473" i="1"/>
  <c r="H2476" i="1"/>
  <c r="G2476" i="1"/>
  <c r="H2477" i="1"/>
  <c r="H2480" i="1"/>
  <c r="G2480" i="1"/>
  <c r="H2481" i="1"/>
  <c r="H2484" i="1"/>
  <c r="G2484" i="1"/>
  <c r="H2485" i="1"/>
  <c r="G2489" i="1"/>
  <c r="F2489" i="1"/>
  <c r="F2496" i="1"/>
  <c r="H2500" i="1"/>
  <c r="G2500" i="1"/>
  <c r="H2501" i="1"/>
  <c r="G2505" i="1"/>
  <c r="F2505" i="1"/>
  <c r="F2512" i="1"/>
  <c r="H2516" i="1"/>
  <c r="G2516" i="1"/>
  <c r="H2517" i="1"/>
  <c r="G2521" i="1"/>
  <c r="F2521" i="1"/>
  <c r="F2528" i="1"/>
  <c r="H2532" i="1"/>
  <c r="G2532" i="1"/>
  <c r="H2533" i="1"/>
  <c r="G2537" i="1"/>
  <c r="F2537" i="1"/>
  <c r="F2544" i="1"/>
  <c r="H2548" i="1"/>
  <c r="G2548" i="1"/>
  <c r="H2549" i="1"/>
  <c r="G2553" i="1"/>
  <c r="F2553" i="1"/>
  <c r="F2560" i="1"/>
  <c r="H2564" i="1"/>
  <c r="G2564" i="1"/>
  <c r="H2565" i="1"/>
  <c r="G2569" i="1"/>
  <c r="F2569" i="1"/>
  <c r="F2576" i="1"/>
  <c r="H2580" i="1"/>
  <c r="G2580" i="1"/>
  <c r="H2581" i="1"/>
  <c r="G2585" i="1"/>
  <c r="F2585" i="1"/>
  <c r="G2589" i="1"/>
  <c r="F2589" i="1"/>
  <c r="G2593" i="1"/>
  <c r="F2593" i="1"/>
  <c r="G2597" i="1"/>
  <c r="F2597" i="1"/>
  <c r="G2602" i="1"/>
  <c r="F2602" i="1"/>
  <c r="G2606" i="1"/>
  <c r="F2606" i="1"/>
  <c r="G2610" i="1"/>
  <c r="F2610" i="1"/>
  <c r="G2614" i="1"/>
  <c r="F2614" i="1"/>
  <c r="G2618" i="1"/>
  <c r="F2618" i="1"/>
  <c r="G2622" i="1"/>
  <c r="F2622" i="1"/>
  <c r="G2626" i="1"/>
  <c r="F2626" i="1"/>
  <c r="G2630" i="1"/>
  <c r="F2630" i="1"/>
  <c r="G2634" i="1"/>
  <c r="F2634" i="1"/>
  <c r="G2638" i="1"/>
  <c r="F2638" i="1"/>
  <c r="G2642" i="1"/>
  <c r="F2642" i="1"/>
  <c r="G2646" i="1"/>
  <c r="F2646" i="1"/>
  <c r="G2650" i="1"/>
  <c r="F2650" i="1"/>
  <c r="G2654" i="1"/>
  <c r="F2654" i="1"/>
  <c r="G2658" i="1"/>
  <c r="F2658" i="1"/>
  <c r="G2662" i="1"/>
  <c r="F2662" i="1"/>
  <c r="G2666" i="1"/>
  <c r="F2666" i="1"/>
  <c r="G2670" i="1"/>
  <c r="F2670" i="1"/>
  <c r="G2674" i="1"/>
  <c r="F2674" i="1"/>
  <c r="G2678" i="1"/>
  <c r="F2678" i="1"/>
  <c r="G2682" i="1"/>
  <c r="F2682" i="1"/>
  <c r="G2686" i="1"/>
  <c r="F2686" i="1"/>
  <c r="G2690" i="1"/>
  <c r="F2690" i="1"/>
  <c r="G2694" i="1"/>
  <c r="F2694" i="1"/>
  <c r="G2698" i="1"/>
  <c r="F2698" i="1"/>
  <c r="G2702" i="1"/>
  <c r="F2702" i="1"/>
  <c r="G2706" i="1"/>
  <c r="F2706" i="1"/>
  <c r="F2713" i="1"/>
  <c r="F2717" i="1"/>
  <c r="F2721" i="1"/>
  <c r="F2725" i="1"/>
  <c r="F2729" i="1"/>
  <c r="H2733" i="1"/>
  <c r="G2733" i="1"/>
  <c r="H2734" i="1"/>
  <c r="H2737" i="1"/>
  <c r="G2737" i="1"/>
  <c r="H2738" i="1"/>
  <c r="H2741" i="1"/>
  <c r="G2741" i="1"/>
  <c r="H2742" i="1"/>
  <c r="H2745" i="1"/>
  <c r="G2745" i="1"/>
  <c r="H2746" i="1"/>
  <c r="H2749" i="1"/>
  <c r="G2749" i="1"/>
  <c r="H2750" i="1"/>
  <c r="H2753" i="1"/>
  <c r="G2753" i="1"/>
  <c r="H2754" i="1"/>
  <c r="H2757" i="1"/>
  <c r="G2757" i="1"/>
  <c r="H2758" i="1"/>
  <c r="H2761" i="1"/>
  <c r="G2761" i="1"/>
  <c r="H2762" i="1"/>
  <c r="H2765" i="1"/>
  <c r="G2765" i="1"/>
  <c r="H2766" i="1"/>
  <c r="H2769" i="1"/>
  <c r="G2769" i="1"/>
  <c r="H2770" i="1"/>
  <c r="H2773" i="1"/>
  <c r="G2773" i="1"/>
  <c r="H2774" i="1"/>
  <c r="H2777" i="1"/>
  <c r="G2777" i="1"/>
  <c r="H2778" i="1"/>
  <c r="H2781" i="1"/>
  <c r="G2781" i="1"/>
  <c r="H2782" i="1"/>
  <c r="H2785" i="1"/>
  <c r="G2785" i="1"/>
  <c r="H2786" i="1"/>
  <c r="F2794" i="1"/>
  <c r="F2798" i="1"/>
  <c r="F2802" i="1"/>
  <c r="F2806" i="1"/>
  <c r="F2810" i="1"/>
  <c r="F2815" i="1"/>
  <c r="F2819" i="1"/>
  <c r="F2823" i="1"/>
  <c r="F2827" i="1"/>
  <c r="F2831" i="1"/>
  <c r="F2835" i="1"/>
  <c r="F2839" i="1"/>
  <c r="F2843" i="1"/>
  <c r="F2847" i="1"/>
  <c r="F2851" i="1"/>
  <c r="F2855" i="1"/>
  <c r="H2859" i="1"/>
  <c r="G2859" i="1"/>
  <c r="H2860" i="1"/>
  <c r="G2864" i="1"/>
  <c r="F2864" i="1"/>
  <c r="F2871" i="1"/>
  <c r="H2875" i="1"/>
  <c r="G2875" i="1"/>
  <c r="H2876" i="1"/>
  <c r="G2880" i="1"/>
  <c r="F2880" i="1"/>
  <c r="G2884" i="1"/>
  <c r="F2884" i="1"/>
  <c r="G2889" i="1"/>
  <c r="F2889" i="1"/>
  <c r="G2893" i="1"/>
  <c r="F2893" i="1"/>
  <c r="G2897" i="1"/>
  <c r="F2897" i="1"/>
  <c r="G2901" i="1"/>
  <c r="F2901" i="1"/>
  <c r="G2905" i="1"/>
  <c r="F2905" i="1"/>
  <c r="G2909" i="1"/>
  <c r="F2909" i="1"/>
  <c r="G2913" i="1"/>
  <c r="F2913" i="1"/>
  <c r="F2918" i="1"/>
  <c r="H2922" i="1"/>
  <c r="G2922" i="1"/>
  <c r="H2923" i="1"/>
  <c r="G2927" i="1"/>
  <c r="F2927" i="1"/>
  <c r="F2934" i="1"/>
  <c r="H2938" i="1"/>
  <c r="G2938" i="1"/>
  <c r="H2939" i="1"/>
  <c r="G2943" i="1"/>
  <c r="F2943" i="1"/>
  <c r="F2950" i="1"/>
  <c r="H2984" i="1"/>
  <c r="G2984" i="1"/>
  <c r="I2984" i="1"/>
  <c r="F2988" i="1"/>
  <c r="H3000" i="1"/>
  <c r="G3000" i="1"/>
  <c r="I3000" i="1"/>
  <c r="F3004" i="1"/>
  <c r="I3014" i="1"/>
  <c r="H3014" i="1"/>
  <c r="G3014" i="1"/>
  <c r="G3270" i="1"/>
  <c r="F3270" i="1"/>
  <c r="I3270" i="1"/>
  <c r="H3273" i="1"/>
  <c r="G3273" i="1"/>
  <c r="I3273" i="1"/>
  <c r="F3273" i="1"/>
  <c r="H3277" i="1"/>
  <c r="G3277" i="1"/>
  <c r="I3277" i="1"/>
  <c r="F3277" i="1"/>
  <c r="H3349" i="1"/>
  <c r="G3349" i="1"/>
  <c r="I3349" i="1"/>
  <c r="F3349" i="1"/>
  <c r="H3375" i="1"/>
  <c r="G3375" i="1"/>
  <c r="I3375" i="1"/>
  <c r="H3387" i="1"/>
  <c r="G3387" i="1"/>
  <c r="I3387" i="1"/>
  <c r="F3387" i="1"/>
  <c r="H3407" i="1"/>
  <c r="G3407" i="1"/>
  <c r="I3407" i="1"/>
  <c r="H3419" i="1"/>
  <c r="G3419" i="1"/>
  <c r="I3419" i="1"/>
  <c r="F3419" i="1"/>
  <c r="H3459" i="1"/>
  <c r="G3459" i="1"/>
  <c r="I3459" i="1"/>
  <c r="H3471" i="1"/>
  <c r="G3471" i="1"/>
  <c r="I3471" i="1"/>
  <c r="F3471" i="1"/>
  <c r="H3491" i="1"/>
  <c r="G3491" i="1"/>
  <c r="I3491" i="1"/>
  <c r="H3503" i="1"/>
  <c r="G3503" i="1"/>
  <c r="I3503" i="1"/>
  <c r="F3503" i="1"/>
  <c r="H3532" i="1"/>
  <c r="G3536" i="1"/>
  <c r="F3536" i="1"/>
  <c r="I3536" i="1"/>
  <c r="H3536" i="1"/>
  <c r="G3679" i="1"/>
  <c r="F3679" i="1"/>
  <c r="I3679" i="1"/>
  <c r="H3679" i="1"/>
  <c r="H3686" i="1"/>
  <c r="G3686" i="1"/>
  <c r="I3686" i="1"/>
  <c r="H3690" i="1"/>
  <c r="G3690" i="1"/>
  <c r="I3690" i="1"/>
  <c r="F3690" i="1"/>
  <c r="G3695" i="1"/>
  <c r="F3695" i="1"/>
  <c r="I3695" i="1"/>
  <c r="H3695" i="1"/>
  <c r="G3754" i="1"/>
  <c r="F3754" i="1"/>
  <c r="I3754" i="1"/>
  <c r="H3754" i="1"/>
  <c r="G2361" i="1"/>
  <c r="G2365" i="1"/>
  <c r="F2365" i="1"/>
  <c r="G2369" i="1"/>
  <c r="F2369" i="1"/>
  <c r="G2373" i="1"/>
  <c r="F2373" i="1"/>
  <c r="G2377" i="1"/>
  <c r="F2377" i="1"/>
  <c r="I2380" i="1"/>
  <c r="F2384" i="1"/>
  <c r="I2385" i="1"/>
  <c r="F2388" i="1"/>
  <c r="I2389" i="1"/>
  <c r="F2392" i="1"/>
  <c r="I2393" i="1"/>
  <c r="F2396" i="1"/>
  <c r="I2397" i="1"/>
  <c r="F2400" i="1"/>
  <c r="I2401" i="1"/>
  <c r="F2404" i="1"/>
  <c r="I2405" i="1"/>
  <c r="I2409" i="1"/>
  <c r="F2412" i="1"/>
  <c r="I2413" i="1"/>
  <c r="F2416" i="1"/>
  <c r="I2417" i="1"/>
  <c r="F2420" i="1"/>
  <c r="I2421" i="1"/>
  <c r="F2424" i="1"/>
  <c r="I2425" i="1"/>
  <c r="F2428" i="1"/>
  <c r="I2429" i="1"/>
  <c r="F2432" i="1"/>
  <c r="I2433" i="1"/>
  <c r="F2436" i="1"/>
  <c r="I2437" i="1"/>
  <c r="F2440" i="1"/>
  <c r="I2441" i="1"/>
  <c r="F2444" i="1"/>
  <c r="I2445" i="1"/>
  <c r="F2448" i="1"/>
  <c r="I2449" i="1"/>
  <c r="F2452" i="1"/>
  <c r="I2453" i="1"/>
  <c r="F2456" i="1"/>
  <c r="I2457" i="1"/>
  <c r="F2460" i="1"/>
  <c r="I2461" i="1"/>
  <c r="F2464" i="1"/>
  <c r="I2465" i="1"/>
  <c r="F2468" i="1"/>
  <c r="I2469" i="1"/>
  <c r="F2472" i="1"/>
  <c r="I2473" i="1"/>
  <c r="F2476" i="1"/>
  <c r="I2477" i="1"/>
  <c r="F2480" i="1"/>
  <c r="I2481" i="1"/>
  <c r="F2484" i="1"/>
  <c r="I2485" i="1"/>
  <c r="H2488" i="1"/>
  <c r="G2488" i="1"/>
  <c r="H2489" i="1"/>
  <c r="G2493" i="1"/>
  <c r="F2493" i="1"/>
  <c r="I2496" i="1"/>
  <c r="F2500" i="1"/>
  <c r="I2501" i="1"/>
  <c r="H2504" i="1"/>
  <c r="G2504" i="1"/>
  <c r="H2505" i="1"/>
  <c r="G2509" i="1"/>
  <c r="F2509" i="1"/>
  <c r="I2512" i="1"/>
  <c r="F2516" i="1"/>
  <c r="I2517" i="1"/>
  <c r="H2520" i="1"/>
  <c r="G2520" i="1"/>
  <c r="H2521" i="1"/>
  <c r="G2525" i="1"/>
  <c r="F2525" i="1"/>
  <c r="I2528" i="1"/>
  <c r="F2532" i="1"/>
  <c r="I2533" i="1"/>
  <c r="H2536" i="1"/>
  <c r="G2536" i="1"/>
  <c r="H2537" i="1"/>
  <c r="G2541" i="1"/>
  <c r="F2541" i="1"/>
  <c r="I2544" i="1"/>
  <c r="F2548" i="1"/>
  <c r="I2549" i="1"/>
  <c r="H2552" i="1"/>
  <c r="G2552" i="1"/>
  <c r="H2553" i="1"/>
  <c r="G2557" i="1"/>
  <c r="F2557" i="1"/>
  <c r="I2560" i="1"/>
  <c r="F2564" i="1"/>
  <c r="I2565" i="1"/>
  <c r="H2568" i="1"/>
  <c r="G2568" i="1"/>
  <c r="H2569" i="1"/>
  <c r="G2573" i="1"/>
  <c r="F2573" i="1"/>
  <c r="I2576" i="1"/>
  <c r="I2581" i="1"/>
  <c r="H2584" i="1"/>
  <c r="G2584" i="1"/>
  <c r="H2585" i="1"/>
  <c r="H2588" i="1"/>
  <c r="G2588" i="1"/>
  <c r="H2589" i="1"/>
  <c r="H2592" i="1"/>
  <c r="G2592" i="1"/>
  <c r="H2593" i="1"/>
  <c r="H2596" i="1"/>
  <c r="G2596" i="1"/>
  <c r="H2601" i="1"/>
  <c r="G2601" i="1"/>
  <c r="H2605" i="1"/>
  <c r="G2605" i="1"/>
  <c r="H2609" i="1"/>
  <c r="G2609" i="1"/>
  <c r="H2610" i="1"/>
  <c r="H2613" i="1"/>
  <c r="G2613" i="1"/>
  <c r="H2617" i="1"/>
  <c r="G2617" i="1"/>
  <c r="H2618" i="1"/>
  <c r="H2621" i="1"/>
  <c r="G2621" i="1"/>
  <c r="H2622" i="1"/>
  <c r="H2625" i="1"/>
  <c r="G2625" i="1"/>
  <c r="H2626" i="1"/>
  <c r="H2629" i="1"/>
  <c r="G2629" i="1"/>
  <c r="H2633" i="1"/>
  <c r="G2633" i="1"/>
  <c r="H2637" i="1"/>
  <c r="G2637" i="1"/>
  <c r="H2641" i="1"/>
  <c r="G2641" i="1"/>
  <c r="H2645" i="1"/>
  <c r="G2645" i="1"/>
  <c r="H2649" i="1"/>
  <c r="G2649" i="1"/>
  <c r="H2653" i="1"/>
  <c r="G2653" i="1"/>
  <c r="H2657" i="1"/>
  <c r="G2657" i="1"/>
  <c r="H2661" i="1"/>
  <c r="G2661" i="1"/>
  <c r="H2665" i="1"/>
  <c r="G2665" i="1"/>
  <c r="H2669" i="1"/>
  <c r="G2669" i="1"/>
  <c r="H2670" i="1"/>
  <c r="H2673" i="1"/>
  <c r="G2673" i="1"/>
  <c r="H2674" i="1"/>
  <c r="H2677" i="1"/>
  <c r="G2677" i="1"/>
  <c r="H2678" i="1"/>
  <c r="H2681" i="1"/>
  <c r="G2681" i="1"/>
  <c r="H2682" i="1"/>
  <c r="H2685" i="1"/>
  <c r="G2685" i="1"/>
  <c r="H2686" i="1"/>
  <c r="H2689" i="1"/>
  <c r="G2689" i="1"/>
  <c r="H2690" i="1"/>
  <c r="H2693" i="1"/>
  <c r="G2693" i="1"/>
  <c r="H2694" i="1"/>
  <c r="H2697" i="1"/>
  <c r="G2697" i="1"/>
  <c r="H2698" i="1"/>
  <c r="H2701" i="1"/>
  <c r="G2701" i="1"/>
  <c r="H2702" i="1"/>
  <c r="H2705" i="1"/>
  <c r="G2705" i="1"/>
  <c r="H2706" i="1"/>
  <c r="G2710" i="1"/>
  <c r="F2710" i="1"/>
  <c r="I2713" i="1"/>
  <c r="I2717" i="1"/>
  <c r="I2721" i="1"/>
  <c r="I2725" i="1"/>
  <c r="I2729" i="1"/>
  <c r="F2733" i="1"/>
  <c r="I2734" i="1"/>
  <c r="F2737" i="1"/>
  <c r="I2738" i="1"/>
  <c r="F2741" i="1"/>
  <c r="I2742" i="1"/>
  <c r="F2745" i="1"/>
  <c r="I2746" i="1"/>
  <c r="F2749" i="1"/>
  <c r="I2750" i="1"/>
  <c r="F2753" i="1"/>
  <c r="I2754" i="1"/>
  <c r="F2757" i="1"/>
  <c r="I2758" i="1"/>
  <c r="F2761" i="1"/>
  <c r="I2762" i="1"/>
  <c r="F2765" i="1"/>
  <c r="I2766" i="1"/>
  <c r="F2769" i="1"/>
  <c r="I2770" i="1"/>
  <c r="F2773" i="1"/>
  <c r="I2774" i="1"/>
  <c r="F2777" i="1"/>
  <c r="I2778" i="1"/>
  <c r="F2781" i="1"/>
  <c r="I2782" i="1"/>
  <c r="F2785" i="1"/>
  <c r="I2786" i="1"/>
  <c r="I2794" i="1"/>
  <c r="I2798" i="1"/>
  <c r="I2802" i="1"/>
  <c r="I2806" i="1"/>
  <c r="I2810" i="1"/>
  <c r="I2815" i="1"/>
  <c r="I2819" i="1"/>
  <c r="I2823" i="1"/>
  <c r="I2827" i="1"/>
  <c r="I2831" i="1"/>
  <c r="I2835" i="1"/>
  <c r="I2839" i="1"/>
  <c r="I2843" i="1"/>
  <c r="I2847" i="1"/>
  <c r="I2851" i="1"/>
  <c r="I2855" i="1"/>
  <c r="F2859" i="1"/>
  <c r="I2860" i="1"/>
  <c r="H2863" i="1"/>
  <c r="G2863" i="1"/>
  <c r="H2864" i="1"/>
  <c r="G2868" i="1"/>
  <c r="F2868" i="1"/>
  <c r="I2871" i="1"/>
  <c r="I2876" i="1"/>
  <c r="H2879" i="1"/>
  <c r="G2879" i="1"/>
  <c r="H2883" i="1"/>
  <c r="G2883" i="1"/>
  <c r="H2888" i="1"/>
  <c r="G2888" i="1"/>
  <c r="H2892" i="1"/>
  <c r="G2892" i="1"/>
  <c r="H2896" i="1"/>
  <c r="G2896" i="1"/>
  <c r="H2900" i="1"/>
  <c r="G2900" i="1"/>
  <c r="H2904" i="1"/>
  <c r="G2904" i="1"/>
  <c r="H2908" i="1"/>
  <c r="G2908" i="1"/>
  <c r="H2912" i="1"/>
  <c r="G2912" i="1"/>
  <c r="I2918" i="1"/>
  <c r="I2923" i="1"/>
  <c r="H2926" i="1"/>
  <c r="G2926" i="1"/>
  <c r="G2931" i="1"/>
  <c r="F2931" i="1"/>
  <c r="I2934" i="1"/>
  <c r="I2939" i="1"/>
  <c r="H2942" i="1"/>
  <c r="G2942" i="1"/>
  <c r="G2947" i="1"/>
  <c r="F2947" i="1"/>
  <c r="I2950" i="1"/>
  <c r="G2956" i="1"/>
  <c r="F2956" i="1"/>
  <c r="I2956" i="1"/>
  <c r="H2956" i="1"/>
  <c r="H2963" i="1"/>
  <c r="G2963" i="1"/>
  <c r="I2963" i="1"/>
  <c r="H2967" i="1"/>
  <c r="G2967" i="1"/>
  <c r="I2967" i="1"/>
  <c r="F2967" i="1"/>
  <c r="G2972" i="1"/>
  <c r="F2972" i="1"/>
  <c r="I2972" i="1"/>
  <c r="H2972" i="1"/>
  <c r="H2979" i="1"/>
  <c r="G2979" i="1"/>
  <c r="I2979" i="1"/>
  <c r="F2984" i="1"/>
  <c r="H2996" i="1"/>
  <c r="G2996" i="1"/>
  <c r="I2996" i="1"/>
  <c r="F3000" i="1"/>
  <c r="H3012" i="1"/>
  <c r="G3012" i="1"/>
  <c r="I3012" i="1"/>
  <c r="H3094" i="1"/>
  <c r="G3094" i="1"/>
  <c r="I3094" i="1"/>
  <c r="H3098" i="1"/>
  <c r="G3098" i="1"/>
  <c r="I3098" i="1"/>
  <c r="F3098" i="1"/>
  <c r="G3103" i="1"/>
  <c r="F3103" i="1"/>
  <c r="I3103" i="1"/>
  <c r="H3103" i="1"/>
  <c r="H3110" i="1"/>
  <c r="G3110" i="1"/>
  <c r="I3110" i="1"/>
  <c r="H3114" i="1"/>
  <c r="G3114" i="1"/>
  <c r="I3114" i="1"/>
  <c r="F3114" i="1"/>
  <c r="G3119" i="1"/>
  <c r="F3119" i="1"/>
  <c r="I3119" i="1"/>
  <c r="H3119" i="1"/>
  <c r="H3126" i="1"/>
  <c r="G3126" i="1"/>
  <c r="I3126" i="1"/>
  <c r="H3130" i="1"/>
  <c r="G3130" i="1"/>
  <c r="I3130" i="1"/>
  <c r="F3130" i="1"/>
  <c r="G3135" i="1"/>
  <c r="F3135" i="1"/>
  <c r="I3135" i="1"/>
  <c r="H3135" i="1"/>
  <c r="H3142" i="1"/>
  <c r="G3142" i="1"/>
  <c r="I3142" i="1"/>
  <c r="H3146" i="1"/>
  <c r="G3146" i="1"/>
  <c r="I3146" i="1"/>
  <c r="F3146" i="1"/>
  <c r="G3151" i="1"/>
  <c r="F3151" i="1"/>
  <c r="I3151" i="1"/>
  <c r="H3151" i="1"/>
  <c r="H3158" i="1"/>
  <c r="G3158" i="1"/>
  <c r="I3158" i="1"/>
  <c r="H3162" i="1"/>
  <c r="G3162" i="1"/>
  <c r="I3162" i="1"/>
  <c r="F3162" i="1"/>
  <c r="G3167" i="1"/>
  <c r="F3167" i="1"/>
  <c r="I3167" i="1"/>
  <c r="H3167" i="1"/>
  <c r="H3174" i="1"/>
  <c r="G3174" i="1"/>
  <c r="I3174" i="1"/>
  <c r="H3178" i="1"/>
  <c r="G3178" i="1"/>
  <c r="I3178" i="1"/>
  <c r="F3178" i="1"/>
  <c r="G3183" i="1"/>
  <c r="F3183" i="1"/>
  <c r="I3183" i="1"/>
  <c r="H3183" i="1"/>
  <c r="H3190" i="1"/>
  <c r="G3190" i="1"/>
  <c r="I3190" i="1"/>
  <c r="H3194" i="1"/>
  <c r="G3194" i="1"/>
  <c r="I3194" i="1"/>
  <c r="F3194" i="1"/>
  <c r="G3199" i="1"/>
  <c r="F3199" i="1"/>
  <c r="I3199" i="1"/>
  <c r="H3199" i="1"/>
  <c r="H3206" i="1"/>
  <c r="G3206" i="1"/>
  <c r="I3206" i="1"/>
  <c r="H3210" i="1"/>
  <c r="G3210" i="1"/>
  <c r="I3210" i="1"/>
  <c r="F3210" i="1"/>
  <c r="G3215" i="1"/>
  <c r="F3215" i="1"/>
  <c r="I3215" i="1"/>
  <c r="H3215" i="1"/>
  <c r="H3222" i="1"/>
  <c r="G3222" i="1"/>
  <c r="I3222" i="1"/>
  <c r="H3226" i="1"/>
  <c r="G3226" i="1"/>
  <c r="I3226" i="1"/>
  <c r="F3226" i="1"/>
  <c r="G3231" i="1"/>
  <c r="F3231" i="1"/>
  <c r="I3231" i="1"/>
  <c r="H3231" i="1"/>
  <c r="H3238" i="1"/>
  <c r="G3238" i="1"/>
  <c r="I3238" i="1"/>
  <c r="H3242" i="1"/>
  <c r="G3242" i="1"/>
  <c r="I3242" i="1"/>
  <c r="F3242" i="1"/>
  <c r="G3247" i="1"/>
  <c r="F3247" i="1"/>
  <c r="I3247" i="1"/>
  <c r="H3247" i="1"/>
  <c r="H3270" i="1"/>
  <c r="G3274" i="1"/>
  <c r="F3274" i="1"/>
  <c r="I3274" i="1"/>
  <c r="H3274" i="1"/>
  <c r="F3375" i="1"/>
  <c r="F3407" i="1"/>
  <c r="F3459" i="1"/>
  <c r="F3491" i="1"/>
  <c r="H3523" i="1"/>
  <c r="G3523" i="1"/>
  <c r="I3523" i="1"/>
  <c r="F3523" i="1"/>
  <c r="H3674" i="1"/>
  <c r="G3674" i="1"/>
  <c r="I3674" i="1"/>
  <c r="F3674" i="1"/>
  <c r="F3686" i="1"/>
  <c r="G3691" i="1"/>
  <c r="F3691" i="1"/>
  <c r="I3691" i="1"/>
  <c r="H3691" i="1"/>
  <c r="I2362" i="1"/>
  <c r="H2363" i="1"/>
  <c r="I2366" i="1"/>
  <c r="H2367" i="1"/>
  <c r="I2370" i="1"/>
  <c r="H2371" i="1"/>
  <c r="I2374" i="1"/>
  <c r="H2375" i="1"/>
  <c r="H2379" i="1"/>
  <c r="H2383" i="1"/>
  <c r="I2386" i="1"/>
  <c r="H2387" i="1"/>
  <c r="I2390" i="1"/>
  <c r="H2391" i="1"/>
  <c r="I2394" i="1"/>
  <c r="H2395" i="1"/>
  <c r="I2398" i="1"/>
  <c r="H2399" i="1"/>
  <c r="I2402" i="1"/>
  <c r="H2403" i="1"/>
  <c r="I2406" i="1"/>
  <c r="H2407" i="1"/>
  <c r="I2410" i="1"/>
  <c r="H2411" i="1"/>
  <c r="I2414" i="1"/>
  <c r="H2415" i="1"/>
  <c r="I2418" i="1"/>
  <c r="H2419" i="1"/>
  <c r="I2422" i="1"/>
  <c r="H2423" i="1"/>
  <c r="I2426" i="1"/>
  <c r="H2427" i="1"/>
  <c r="I2430" i="1"/>
  <c r="H2431" i="1"/>
  <c r="I2434" i="1"/>
  <c r="H2435" i="1"/>
  <c r="I2438" i="1"/>
  <c r="H2439" i="1"/>
  <c r="I2442" i="1"/>
  <c r="H2443" i="1"/>
  <c r="I2446" i="1"/>
  <c r="H2447" i="1"/>
  <c r="I2450" i="1"/>
  <c r="H2451" i="1"/>
  <c r="I2454" i="1"/>
  <c r="H2455" i="1"/>
  <c r="I2458" i="1"/>
  <c r="H2459" i="1"/>
  <c r="I2462" i="1"/>
  <c r="H2463" i="1"/>
  <c r="I2466" i="1"/>
  <c r="H2467" i="1"/>
  <c r="I2470" i="1"/>
  <c r="H2471" i="1"/>
  <c r="I2474" i="1"/>
  <c r="H2475" i="1"/>
  <c r="I2478" i="1"/>
  <c r="H2479" i="1"/>
  <c r="I2482" i="1"/>
  <c r="H2483" i="1"/>
  <c r="I2486" i="1"/>
  <c r="I2490" i="1"/>
  <c r="I2494" i="1"/>
  <c r="I2498" i="1"/>
  <c r="I2502" i="1"/>
  <c r="I2506" i="1"/>
  <c r="I2510" i="1"/>
  <c r="I2514" i="1"/>
  <c r="I2518" i="1"/>
  <c r="I2522" i="1"/>
  <c r="I2526" i="1"/>
  <c r="I2530" i="1"/>
  <c r="I2534" i="1"/>
  <c r="I2538" i="1"/>
  <c r="I2542" i="1"/>
  <c r="I2546" i="1"/>
  <c r="I2550" i="1"/>
  <c r="I2554" i="1"/>
  <c r="I2558" i="1"/>
  <c r="I2562" i="1"/>
  <c r="I2566" i="1"/>
  <c r="I2570" i="1"/>
  <c r="I2574" i="1"/>
  <c r="I2578" i="1"/>
  <c r="I2582" i="1"/>
  <c r="I2586" i="1"/>
  <c r="H2587" i="1"/>
  <c r="I2590" i="1"/>
  <c r="H2591" i="1"/>
  <c r="I2594" i="1"/>
  <c r="H2595" i="1"/>
  <c r="I2598" i="1"/>
  <c r="H2599" i="1"/>
  <c r="I2603" i="1"/>
  <c r="H2604" i="1"/>
  <c r="I2607" i="1"/>
  <c r="H2608" i="1"/>
  <c r="I2611" i="1"/>
  <c r="H2612" i="1"/>
  <c r="I2615" i="1"/>
  <c r="H2616" i="1"/>
  <c r="I2619" i="1"/>
  <c r="H2620" i="1"/>
  <c r="I2623" i="1"/>
  <c r="H2624" i="1"/>
  <c r="I2627" i="1"/>
  <c r="H2628" i="1"/>
  <c r="I2631" i="1"/>
  <c r="H2632" i="1"/>
  <c r="I2635" i="1"/>
  <c r="H2636" i="1"/>
  <c r="I2639" i="1"/>
  <c r="H2640" i="1"/>
  <c r="I2643" i="1"/>
  <c r="H2644" i="1"/>
  <c r="I2647" i="1"/>
  <c r="H2648" i="1"/>
  <c r="I2651" i="1"/>
  <c r="H2652" i="1"/>
  <c r="I2655" i="1"/>
  <c r="H2656" i="1"/>
  <c r="I2659" i="1"/>
  <c r="H2660" i="1"/>
  <c r="I2663" i="1"/>
  <c r="H2664" i="1"/>
  <c r="I2667" i="1"/>
  <c r="H2668" i="1"/>
  <c r="I2671" i="1"/>
  <c r="H2672" i="1"/>
  <c r="I2675" i="1"/>
  <c r="H2676" i="1"/>
  <c r="I2679" i="1"/>
  <c r="H2680" i="1"/>
  <c r="I2683" i="1"/>
  <c r="H2684" i="1"/>
  <c r="I2687" i="1"/>
  <c r="H2688" i="1"/>
  <c r="I2691" i="1"/>
  <c r="H2692" i="1"/>
  <c r="I2695" i="1"/>
  <c r="H2696" i="1"/>
  <c r="I2699" i="1"/>
  <c r="H2700" i="1"/>
  <c r="I2703" i="1"/>
  <c r="H2704" i="1"/>
  <c r="H2708" i="1"/>
  <c r="H2712" i="1"/>
  <c r="I2715" i="1"/>
  <c r="H2716" i="1"/>
  <c r="I2719" i="1"/>
  <c r="H2720" i="1"/>
  <c r="I2723" i="1"/>
  <c r="H2724" i="1"/>
  <c r="I2727" i="1"/>
  <c r="H2728" i="1"/>
  <c r="H2732" i="1"/>
  <c r="I2735" i="1"/>
  <c r="H2736" i="1"/>
  <c r="I2739" i="1"/>
  <c r="H2740" i="1"/>
  <c r="I2743" i="1"/>
  <c r="H2744" i="1"/>
  <c r="I2747" i="1"/>
  <c r="H2748" i="1"/>
  <c r="I2751" i="1"/>
  <c r="H2752" i="1"/>
  <c r="I2755" i="1"/>
  <c r="H2756" i="1"/>
  <c r="I2759" i="1"/>
  <c r="H2760" i="1"/>
  <c r="I2763" i="1"/>
  <c r="H2764" i="1"/>
  <c r="I2767" i="1"/>
  <c r="H2768" i="1"/>
  <c r="I2771" i="1"/>
  <c r="H2772" i="1"/>
  <c r="I2775" i="1"/>
  <c r="H2776" i="1"/>
  <c r="I2779" i="1"/>
  <c r="H2780" i="1"/>
  <c r="I2783" i="1"/>
  <c r="H2784" i="1"/>
  <c r="I2787" i="1"/>
  <c r="I2792" i="1"/>
  <c r="H2793" i="1"/>
  <c r="I2796" i="1"/>
  <c r="H2797" i="1"/>
  <c r="I2800" i="1"/>
  <c r="H2801" i="1"/>
  <c r="I2804" i="1"/>
  <c r="H2805" i="1"/>
  <c r="I2808" i="1"/>
  <c r="H2809" i="1"/>
  <c r="I2812" i="1"/>
  <c r="H2813" i="1"/>
  <c r="I2817" i="1"/>
  <c r="H2818" i="1"/>
  <c r="I2821" i="1"/>
  <c r="H2822" i="1"/>
  <c r="I2825" i="1"/>
  <c r="H2826" i="1"/>
  <c r="I2829" i="1"/>
  <c r="H2830" i="1"/>
  <c r="I2833" i="1"/>
  <c r="H2834" i="1"/>
  <c r="I2837" i="1"/>
  <c r="H2838" i="1"/>
  <c r="I2841" i="1"/>
  <c r="H2842" i="1"/>
  <c r="I2845" i="1"/>
  <c r="H2846" i="1"/>
  <c r="I2849" i="1"/>
  <c r="H2850" i="1"/>
  <c r="I2853" i="1"/>
  <c r="H2854" i="1"/>
  <c r="I2857" i="1"/>
  <c r="I2861" i="1"/>
  <c r="I2865" i="1"/>
  <c r="I2869" i="1"/>
  <c r="I2873" i="1"/>
  <c r="I2877" i="1"/>
  <c r="I2881" i="1"/>
  <c r="H2882" i="1"/>
  <c r="I2885" i="1"/>
  <c r="H2887" i="1"/>
  <c r="I2890" i="1"/>
  <c r="H2891" i="1"/>
  <c r="I2894" i="1"/>
  <c r="H2895" i="1"/>
  <c r="I2898" i="1"/>
  <c r="H2899" i="1"/>
  <c r="I2902" i="1"/>
  <c r="H2903" i="1"/>
  <c r="I2906" i="1"/>
  <c r="H2907" i="1"/>
  <c r="I2910" i="1"/>
  <c r="H2911" i="1"/>
  <c r="I2914" i="1"/>
  <c r="I2916" i="1"/>
  <c r="H2917" i="1"/>
  <c r="I2920" i="1"/>
  <c r="I2924" i="1"/>
  <c r="I2928" i="1"/>
  <c r="I2932" i="1"/>
  <c r="I2936" i="1"/>
  <c r="I2940" i="1"/>
  <c r="I2944" i="1"/>
  <c r="I2948" i="1"/>
  <c r="I2952" i="1"/>
  <c r="H2955" i="1"/>
  <c r="G2955" i="1"/>
  <c r="G2960" i="1"/>
  <c r="F2960" i="1"/>
  <c r="H2971" i="1"/>
  <c r="G2971" i="1"/>
  <c r="G2976" i="1"/>
  <c r="F2976" i="1"/>
  <c r="F3021" i="1"/>
  <c r="H3021" i="1"/>
  <c r="G3021" i="1"/>
  <c r="G3023" i="1"/>
  <c r="F3023" i="1"/>
  <c r="G3027" i="1"/>
  <c r="F3027" i="1"/>
  <c r="G3031" i="1"/>
  <c r="F3031" i="1"/>
  <c r="G3035" i="1"/>
  <c r="F3035" i="1"/>
  <c r="G3039" i="1"/>
  <c r="F3039" i="1"/>
  <c r="G3043" i="1"/>
  <c r="F3043" i="1"/>
  <c r="G3047" i="1"/>
  <c r="F3047" i="1"/>
  <c r="G3051" i="1"/>
  <c r="F3051" i="1"/>
  <c r="G3055" i="1"/>
  <c r="F3055" i="1"/>
  <c r="G3059" i="1"/>
  <c r="F3059" i="1"/>
  <c r="G3063" i="1"/>
  <c r="F3063" i="1"/>
  <c r="G3067" i="1"/>
  <c r="F3067" i="1"/>
  <c r="G3071" i="1"/>
  <c r="F3071" i="1"/>
  <c r="G3075" i="1"/>
  <c r="F3075" i="1"/>
  <c r="G3079" i="1"/>
  <c r="F3079" i="1"/>
  <c r="G3083" i="1"/>
  <c r="F3083" i="1"/>
  <c r="G3087" i="1"/>
  <c r="F3087" i="1"/>
  <c r="G3091" i="1"/>
  <c r="F3091" i="1"/>
  <c r="H3102" i="1"/>
  <c r="G3102" i="1"/>
  <c r="G3107" i="1"/>
  <c r="F3107" i="1"/>
  <c r="H3118" i="1"/>
  <c r="G3118" i="1"/>
  <c r="G3123" i="1"/>
  <c r="F3123" i="1"/>
  <c r="H3134" i="1"/>
  <c r="G3134" i="1"/>
  <c r="G3139" i="1"/>
  <c r="F3139" i="1"/>
  <c r="H3150" i="1"/>
  <c r="G3150" i="1"/>
  <c r="G3155" i="1"/>
  <c r="F3155" i="1"/>
  <c r="H3166" i="1"/>
  <c r="G3166" i="1"/>
  <c r="G3171" i="1"/>
  <c r="F3171" i="1"/>
  <c r="H3182" i="1"/>
  <c r="G3182" i="1"/>
  <c r="G3187" i="1"/>
  <c r="F3187" i="1"/>
  <c r="H3198" i="1"/>
  <c r="G3198" i="1"/>
  <c r="G3203" i="1"/>
  <c r="F3203" i="1"/>
  <c r="H3214" i="1"/>
  <c r="G3214" i="1"/>
  <c r="G3219" i="1"/>
  <c r="F3219" i="1"/>
  <c r="H3230" i="1"/>
  <c r="G3230" i="1"/>
  <c r="G3235" i="1"/>
  <c r="F3235" i="1"/>
  <c r="H3246" i="1"/>
  <c r="G3246" i="1"/>
  <c r="H3249" i="1"/>
  <c r="G3249" i="1"/>
  <c r="I3249" i="1"/>
  <c r="F3249" i="1"/>
  <c r="G3262" i="1"/>
  <c r="F3262" i="1"/>
  <c r="I3262" i="1"/>
  <c r="H3265" i="1"/>
  <c r="G3265" i="1"/>
  <c r="I3265" i="1"/>
  <c r="F3265" i="1"/>
  <c r="G3278" i="1"/>
  <c r="F3278" i="1"/>
  <c r="I3278" i="1"/>
  <c r="H3281" i="1"/>
  <c r="G3281" i="1"/>
  <c r="I3281" i="1"/>
  <c r="F3281" i="1"/>
  <c r="G3294" i="1"/>
  <c r="F3294" i="1"/>
  <c r="I3294" i="1"/>
  <c r="H3297" i="1"/>
  <c r="G3297" i="1"/>
  <c r="I3297" i="1"/>
  <c r="F3297" i="1"/>
  <c r="H3345" i="1"/>
  <c r="G3345" i="1"/>
  <c r="I3345" i="1"/>
  <c r="H3364" i="1"/>
  <c r="G3364" i="1"/>
  <c r="I3364" i="1"/>
  <c r="H3383" i="1"/>
  <c r="G3383" i="1"/>
  <c r="I3383" i="1"/>
  <c r="H3399" i="1"/>
  <c r="G3399" i="1"/>
  <c r="I3399" i="1"/>
  <c r="H3415" i="1"/>
  <c r="G3415" i="1"/>
  <c r="I3415" i="1"/>
  <c r="H3451" i="1"/>
  <c r="G3451" i="1"/>
  <c r="I3451" i="1"/>
  <c r="H3467" i="1"/>
  <c r="G3467" i="1"/>
  <c r="I3467" i="1"/>
  <c r="H3483" i="1"/>
  <c r="G3483" i="1"/>
  <c r="I3483" i="1"/>
  <c r="H3499" i="1"/>
  <c r="G3499" i="1"/>
  <c r="I3499" i="1"/>
  <c r="H3515" i="1"/>
  <c r="G3515" i="1"/>
  <c r="I3515" i="1"/>
  <c r="G3524" i="1"/>
  <c r="F3524" i="1"/>
  <c r="I3524" i="1"/>
  <c r="H3527" i="1"/>
  <c r="G3527" i="1"/>
  <c r="I3527" i="1"/>
  <c r="F3527" i="1"/>
  <c r="G3647" i="1"/>
  <c r="F3647" i="1"/>
  <c r="I3647" i="1"/>
  <c r="H3647" i="1"/>
  <c r="H3654" i="1"/>
  <c r="G3654" i="1"/>
  <c r="I3654" i="1"/>
  <c r="H3658" i="1"/>
  <c r="G3658" i="1"/>
  <c r="I3658" i="1"/>
  <c r="F3658" i="1"/>
  <c r="G3675" i="1"/>
  <c r="F3675" i="1"/>
  <c r="I3675" i="1"/>
  <c r="H3675" i="1"/>
  <c r="G3722" i="1"/>
  <c r="F3722" i="1"/>
  <c r="I3722" i="1"/>
  <c r="H3725" i="1"/>
  <c r="G3725" i="1"/>
  <c r="I3725" i="1"/>
  <c r="F3725" i="1"/>
  <c r="H3729" i="1"/>
  <c r="G3729" i="1"/>
  <c r="I3729" i="1"/>
  <c r="F3729" i="1"/>
  <c r="G3758" i="1"/>
  <c r="F3758" i="1"/>
  <c r="I3758" i="1"/>
  <c r="H3758" i="1"/>
  <c r="H3829" i="1"/>
  <c r="G3829" i="1"/>
  <c r="I3829" i="1"/>
  <c r="F3829" i="1"/>
  <c r="G2790" i="1"/>
  <c r="F2955" i="1"/>
  <c r="H2959" i="1"/>
  <c r="G2959" i="1"/>
  <c r="H2960" i="1"/>
  <c r="G2964" i="1"/>
  <c r="F2964" i="1"/>
  <c r="F2971" i="1"/>
  <c r="H2975" i="1"/>
  <c r="G2975" i="1"/>
  <c r="H2976" i="1"/>
  <c r="G2981" i="1"/>
  <c r="F2981" i="1"/>
  <c r="G2985" i="1"/>
  <c r="F2985" i="1"/>
  <c r="G2989" i="1"/>
  <c r="F2989" i="1"/>
  <c r="G2993" i="1"/>
  <c r="F2993" i="1"/>
  <c r="G2997" i="1"/>
  <c r="F2997" i="1"/>
  <c r="G3001" i="1"/>
  <c r="F3001" i="1"/>
  <c r="G3005" i="1"/>
  <c r="F3005" i="1"/>
  <c r="G3009" i="1"/>
  <c r="F3009" i="1"/>
  <c r="F3013" i="1"/>
  <c r="H3013" i="1"/>
  <c r="G3013" i="1"/>
  <c r="G3016" i="1"/>
  <c r="H3016" i="1"/>
  <c r="H3022" i="1"/>
  <c r="G3022" i="1"/>
  <c r="H3026" i="1"/>
  <c r="G3026" i="1"/>
  <c r="H3030" i="1"/>
  <c r="G3030" i="1"/>
  <c r="H3034" i="1"/>
  <c r="G3034" i="1"/>
  <c r="H3035" i="1"/>
  <c r="H3038" i="1"/>
  <c r="G3038" i="1"/>
  <c r="H3039" i="1"/>
  <c r="H3042" i="1"/>
  <c r="G3042" i="1"/>
  <c r="H3043" i="1"/>
  <c r="H3046" i="1"/>
  <c r="G3046" i="1"/>
  <c r="H3047" i="1"/>
  <c r="H3050" i="1"/>
  <c r="G3050" i="1"/>
  <c r="H3051" i="1"/>
  <c r="H3054" i="1"/>
  <c r="G3054" i="1"/>
  <c r="H3055" i="1"/>
  <c r="H3058" i="1"/>
  <c r="G3058" i="1"/>
  <c r="H3059" i="1"/>
  <c r="H3062" i="1"/>
  <c r="G3062" i="1"/>
  <c r="H3063" i="1"/>
  <c r="H3066" i="1"/>
  <c r="G3066" i="1"/>
  <c r="H3067" i="1"/>
  <c r="H3070" i="1"/>
  <c r="G3070" i="1"/>
  <c r="H3071" i="1"/>
  <c r="H3074" i="1"/>
  <c r="G3074" i="1"/>
  <c r="H3075" i="1"/>
  <c r="H3078" i="1"/>
  <c r="G3078" i="1"/>
  <c r="H3079" i="1"/>
  <c r="H3082" i="1"/>
  <c r="G3082" i="1"/>
  <c r="H3083" i="1"/>
  <c r="H3086" i="1"/>
  <c r="G3086" i="1"/>
  <c r="H3087" i="1"/>
  <c r="H3090" i="1"/>
  <c r="G3090" i="1"/>
  <c r="H3091" i="1"/>
  <c r="G3095" i="1"/>
  <c r="F3095" i="1"/>
  <c r="F3102" i="1"/>
  <c r="H3106" i="1"/>
  <c r="G3106" i="1"/>
  <c r="H3107" i="1"/>
  <c r="G3111" i="1"/>
  <c r="F3111" i="1"/>
  <c r="F3118" i="1"/>
  <c r="H3122" i="1"/>
  <c r="G3122" i="1"/>
  <c r="H3123" i="1"/>
  <c r="G3127" i="1"/>
  <c r="F3127" i="1"/>
  <c r="F3134" i="1"/>
  <c r="H3138" i="1"/>
  <c r="G3138" i="1"/>
  <c r="H3139" i="1"/>
  <c r="G3143" i="1"/>
  <c r="F3143" i="1"/>
  <c r="F3150" i="1"/>
  <c r="H3154" i="1"/>
  <c r="G3154" i="1"/>
  <c r="H3155" i="1"/>
  <c r="G3159" i="1"/>
  <c r="F3159" i="1"/>
  <c r="F3166" i="1"/>
  <c r="H3170" i="1"/>
  <c r="G3170" i="1"/>
  <c r="H3171" i="1"/>
  <c r="G3175" i="1"/>
  <c r="F3175" i="1"/>
  <c r="F3182" i="1"/>
  <c r="H3186" i="1"/>
  <c r="G3186" i="1"/>
  <c r="H3187" i="1"/>
  <c r="G3191" i="1"/>
  <c r="F3191" i="1"/>
  <c r="F3198" i="1"/>
  <c r="H3202" i="1"/>
  <c r="G3202" i="1"/>
  <c r="H3203" i="1"/>
  <c r="G3207" i="1"/>
  <c r="F3207" i="1"/>
  <c r="F3214" i="1"/>
  <c r="H3218" i="1"/>
  <c r="G3218" i="1"/>
  <c r="H3219" i="1"/>
  <c r="G3223" i="1"/>
  <c r="F3223" i="1"/>
  <c r="F3230" i="1"/>
  <c r="H3234" i="1"/>
  <c r="G3234" i="1"/>
  <c r="H3235" i="1"/>
  <c r="G3239" i="1"/>
  <c r="F3239" i="1"/>
  <c r="F3246" i="1"/>
  <c r="G3250" i="1"/>
  <c r="F3250" i="1"/>
  <c r="I3250" i="1"/>
  <c r="H3253" i="1"/>
  <c r="G3253" i="1"/>
  <c r="I3253" i="1"/>
  <c r="F3253" i="1"/>
  <c r="H3262" i="1"/>
  <c r="G3266" i="1"/>
  <c r="F3266" i="1"/>
  <c r="I3266" i="1"/>
  <c r="H3269" i="1"/>
  <c r="G3269" i="1"/>
  <c r="I3269" i="1"/>
  <c r="F3269" i="1"/>
  <c r="H3278" i="1"/>
  <c r="G3282" i="1"/>
  <c r="F3282" i="1"/>
  <c r="I3282" i="1"/>
  <c r="H3285" i="1"/>
  <c r="G3285" i="1"/>
  <c r="I3285" i="1"/>
  <c r="F3285" i="1"/>
  <c r="H3294" i="1"/>
  <c r="I3298" i="1"/>
  <c r="G3298" i="1"/>
  <c r="F3298" i="1"/>
  <c r="H3341" i="1"/>
  <c r="G3341" i="1"/>
  <c r="I3341" i="1"/>
  <c r="F3345" i="1"/>
  <c r="H3360" i="1"/>
  <c r="G3360" i="1"/>
  <c r="I3360" i="1"/>
  <c r="F3364" i="1"/>
  <c r="H3379" i="1"/>
  <c r="G3379" i="1"/>
  <c r="I3379" i="1"/>
  <c r="F3383" i="1"/>
  <c r="H3395" i="1"/>
  <c r="G3395" i="1"/>
  <c r="I3395" i="1"/>
  <c r="F3399" i="1"/>
  <c r="H3411" i="1"/>
  <c r="G3411" i="1"/>
  <c r="I3411" i="1"/>
  <c r="F3415" i="1"/>
  <c r="H3447" i="1"/>
  <c r="G3447" i="1"/>
  <c r="I3447" i="1"/>
  <c r="F3451" i="1"/>
  <c r="H3463" i="1"/>
  <c r="G3463" i="1"/>
  <c r="I3463" i="1"/>
  <c r="F3467" i="1"/>
  <c r="H3479" i="1"/>
  <c r="G3479" i="1"/>
  <c r="I3479" i="1"/>
  <c r="F3483" i="1"/>
  <c r="H3495" i="1"/>
  <c r="G3495" i="1"/>
  <c r="I3495" i="1"/>
  <c r="F3499" i="1"/>
  <c r="H3511" i="1"/>
  <c r="G3511" i="1"/>
  <c r="I3511" i="1"/>
  <c r="F3515" i="1"/>
  <c r="H3524" i="1"/>
  <c r="G3528" i="1"/>
  <c r="F3528" i="1"/>
  <c r="I3528" i="1"/>
  <c r="H3531" i="1"/>
  <c r="G3531" i="1"/>
  <c r="I3531" i="1"/>
  <c r="F3531" i="1"/>
  <c r="H3551" i="1"/>
  <c r="G3551" i="1"/>
  <c r="I3551" i="1"/>
  <c r="H3555" i="1"/>
  <c r="G3555" i="1"/>
  <c r="I3555" i="1"/>
  <c r="F3555" i="1"/>
  <c r="H3638" i="1"/>
  <c r="G3638" i="1"/>
  <c r="I3638" i="1"/>
  <c r="H3642" i="1"/>
  <c r="G3642" i="1"/>
  <c r="I3642" i="1"/>
  <c r="F3642" i="1"/>
  <c r="F3654" i="1"/>
  <c r="G3659" i="1"/>
  <c r="F3659" i="1"/>
  <c r="I3659" i="1"/>
  <c r="H3659" i="1"/>
  <c r="H3694" i="1"/>
  <c r="G3694" i="1"/>
  <c r="I3694" i="1"/>
  <c r="F3694" i="1"/>
  <c r="H3698" i="1"/>
  <c r="G3698" i="1"/>
  <c r="I3698" i="1"/>
  <c r="F3698" i="1"/>
  <c r="H3722" i="1"/>
  <c r="G3726" i="1"/>
  <c r="F3726" i="1"/>
  <c r="I3726" i="1"/>
  <c r="H3726" i="1"/>
  <c r="H2954" i="1"/>
  <c r="H2958" i="1"/>
  <c r="H2962" i="1"/>
  <c r="H2966" i="1"/>
  <c r="H2970" i="1"/>
  <c r="H2974" i="1"/>
  <c r="H2978" i="1"/>
  <c r="I2982" i="1"/>
  <c r="H2983" i="1"/>
  <c r="I2986" i="1"/>
  <c r="H2987" i="1"/>
  <c r="I2990" i="1"/>
  <c r="H2991" i="1"/>
  <c r="I2994" i="1"/>
  <c r="H2995" i="1"/>
  <c r="I2998" i="1"/>
  <c r="H2999" i="1"/>
  <c r="I3002" i="1"/>
  <c r="H3003" i="1"/>
  <c r="I3006" i="1"/>
  <c r="H3007" i="1"/>
  <c r="I3010" i="1"/>
  <c r="H3011" i="1"/>
  <c r="I3024" i="1"/>
  <c r="H3025" i="1"/>
  <c r="I3028" i="1"/>
  <c r="H3029" i="1"/>
  <c r="I3032" i="1"/>
  <c r="H3033" i="1"/>
  <c r="I3036" i="1"/>
  <c r="H3037" i="1"/>
  <c r="I3040" i="1"/>
  <c r="H3041" i="1"/>
  <c r="I3044" i="1"/>
  <c r="H3045" i="1"/>
  <c r="I3048" i="1"/>
  <c r="H3049" i="1"/>
  <c r="I3052" i="1"/>
  <c r="H3053" i="1"/>
  <c r="I3056" i="1"/>
  <c r="H3057" i="1"/>
  <c r="I3060" i="1"/>
  <c r="H3061" i="1"/>
  <c r="I3064" i="1"/>
  <c r="H3065" i="1"/>
  <c r="I3068" i="1"/>
  <c r="H3069" i="1"/>
  <c r="I3072" i="1"/>
  <c r="H3073" i="1"/>
  <c r="I3076" i="1"/>
  <c r="H3077" i="1"/>
  <c r="I3080" i="1"/>
  <c r="H3081" i="1"/>
  <c r="I3084" i="1"/>
  <c r="H3085" i="1"/>
  <c r="I3088" i="1"/>
  <c r="H3089" i="1"/>
  <c r="H3093" i="1"/>
  <c r="I3096" i="1"/>
  <c r="I3100" i="1"/>
  <c r="I3104" i="1"/>
  <c r="I3108" i="1"/>
  <c r="I3112" i="1"/>
  <c r="I3116" i="1"/>
  <c r="I3120" i="1"/>
  <c r="I3124" i="1"/>
  <c r="I3128" i="1"/>
  <c r="I3132" i="1"/>
  <c r="I3136" i="1"/>
  <c r="I3140" i="1"/>
  <c r="I3144" i="1"/>
  <c r="I3148" i="1"/>
  <c r="I3152" i="1"/>
  <c r="I3156" i="1"/>
  <c r="I3160" i="1"/>
  <c r="I3164" i="1"/>
  <c r="I3168" i="1"/>
  <c r="I3172" i="1"/>
  <c r="I3176" i="1"/>
  <c r="I3180" i="1"/>
  <c r="I3184" i="1"/>
  <c r="I3188" i="1"/>
  <c r="I3192" i="1"/>
  <c r="I3196" i="1"/>
  <c r="I3200" i="1"/>
  <c r="I3204" i="1"/>
  <c r="I3208" i="1"/>
  <c r="I3212" i="1"/>
  <c r="I3216" i="1"/>
  <c r="I3220" i="1"/>
  <c r="I3224" i="1"/>
  <c r="I3228" i="1"/>
  <c r="I3232" i="1"/>
  <c r="I3236" i="1"/>
  <c r="I3240" i="1"/>
  <c r="I3244" i="1"/>
  <c r="I3248" i="1"/>
  <c r="H3248" i="1"/>
  <c r="G3300" i="1"/>
  <c r="H3300" i="1"/>
  <c r="G3306" i="1"/>
  <c r="F3306" i="1"/>
  <c r="G3310" i="1"/>
  <c r="F3310" i="1"/>
  <c r="G3314" i="1"/>
  <c r="F3314" i="1"/>
  <c r="G3318" i="1"/>
  <c r="F3318" i="1"/>
  <c r="G3322" i="1"/>
  <c r="F3322" i="1"/>
  <c r="G3326" i="1"/>
  <c r="F3326" i="1"/>
  <c r="G3330" i="1"/>
  <c r="F3330" i="1"/>
  <c r="G3334" i="1"/>
  <c r="F3334" i="1"/>
  <c r="G3428" i="1"/>
  <c r="F3428" i="1"/>
  <c r="G3432" i="1"/>
  <c r="F3432" i="1"/>
  <c r="G3436" i="1"/>
  <c r="F3436" i="1"/>
  <c r="G3440" i="1"/>
  <c r="F3440" i="1"/>
  <c r="H3539" i="1"/>
  <c r="G3539" i="1"/>
  <c r="G3544" i="1"/>
  <c r="F3544" i="1"/>
  <c r="G3557" i="1"/>
  <c r="F3557" i="1"/>
  <c r="I3557" i="1"/>
  <c r="H3557" i="1"/>
  <c r="G3573" i="1"/>
  <c r="F3573" i="1"/>
  <c r="I3573" i="1"/>
  <c r="H3573" i="1"/>
  <c r="G3583" i="1"/>
  <c r="H3583" i="1"/>
  <c r="G3707" i="1"/>
  <c r="F3707" i="1"/>
  <c r="I3707" i="1"/>
  <c r="H3710" i="1"/>
  <c r="G3710" i="1"/>
  <c r="I3710" i="1"/>
  <c r="F3710" i="1"/>
  <c r="H3714" i="1"/>
  <c r="G3714" i="1"/>
  <c r="I3714" i="1"/>
  <c r="F3714" i="1"/>
  <c r="G3738" i="1"/>
  <c r="F3738" i="1"/>
  <c r="I3738" i="1"/>
  <c r="H3741" i="1"/>
  <c r="G3741" i="1"/>
  <c r="I3741" i="1"/>
  <c r="F3741" i="1"/>
  <c r="H3745" i="1"/>
  <c r="G3745" i="1"/>
  <c r="I3745" i="1"/>
  <c r="F3745" i="1"/>
  <c r="G3834" i="1"/>
  <c r="F3834" i="1"/>
  <c r="I3834" i="1"/>
  <c r="H3834" i="1"/>
  <c r="F3248" i="1"/>
  <c r="H3305" i="1"/>
  <c r="G3305" i="1"/>
  <c r="H3306" i="1"/>
  <c r="H3309" i="1"/>
  <c r="G3309" i="1"/>
  <c r="H3310" i="1"/>
  <c r="H3313" i="1"/>
  <c r="G3313" i="1"/>
  <c r="H3314" i="1"/>
  <c r="H3317" i="1"/>
  <c r="G3317" i="1"/>
  <c r="H3318" i="1"/>
  <c r="H3321" i="1"/>
  <c r="G3321" i="1"/>
  <c r="H3322" i="1"/>
  <c r="H3325" i="1"/>
  <c r="G3325" i="1"/>
  <c r="H3326" i="1"/>
  <c r="H3329" i="1"/>
  <c r="G3329" i="1"/>
  <c r="H3330" i="1"/>
  <c r="H3333" i="1"/>
  <c r="G3333" i="1"/>
  <c r="H3334" i="1"/>
  <c r="F3337" i="1"/>
  <c r="H3337" i="1"/>
  <c r="G3342" i="1"/>
  <c r="F3342" i="1"/>
  <c r="G3346" i="1"/>
  <c r="F3346" i="1"/>
  <c r="G3350" i="1"/>
  <c r="F3350" i="1"/>
  <c r="G3357" i="1"/>
  <c r="F3357" i="1"/>
  <c r="G3361" i="1"/>
  <c r="F3361" i="1"/>
  <c r="G3365" i="1"/>
  <c r="F3365" i="1"/>
  <c r="G3369" i="1"/>
  <c r="F3369" i="1"/>
  <c r="G3376" i="1"/>
  <c r="F3376" i="1"/>
  <c r="G3380" i="1"/>
  <c r="F3380" i="1"/>
  <c r="G3384" i="1"/>
  <c r="F3384" i="1"/>
  <c r="G3388" i="1"/>
  <c r="F3388" i="1"/>
  <c r="G3392" i="1"/>
  <c r="F3392" i="1"/>
  <c r="G3396" i="1"/>
  <c r="F3396" i="1"/>
  <c r="G3400" i="1"/>
  <c r="F3400" i="1"/>
  <c r="G3404" i="1"/>
  <c r="F3404" i="1"/>
  <c r="G3408" i="1"/>
  <c r="F3408" i="1"/>
  <c r="G3412" i="1"/>
  <c r="F3412" i="1"/>
  <c r="G3416" i="1"/>
  <c r="F3416" i="1"/>
  <c r="G3420" i="1"/>
  <c r="F3420" i="1"/>
  <c r="H3427" i="1"/>
  <c r="G3427" i="1"/>
  <c r="H3428" i="1"/>
  <c r="H3431" i="1"/>
  <c r="G3431" i="1"/>
  <c r="H3432" i="1"/>
  <c r="H3435" i="1"/>
  <c r="G3435" i="1"/>
  <c r="H3436" i="1"/>
  <c r="H3439" i="1"/>
  <c r="G3439" i="1"/>
  <c r="H3440" i="1"/>
  <c r="G3444" i="1"/>
  <c r="F3444" i="1"/>
  <c r="G3448" i="1"/>
  <c r="F3448" i="1"/>
  <c r="G3452" i="1"/>
  <c r="F3452" i="1"/>
  <c r="G3456" i="1"/>
  <c r="F3456" i="1"/>
  <c r="G3460" i="1"/>
  <c r="F3460" i="1"/>
  <c r="G3464" i="1"/>
  <c r="F3464" i="1"/>
  <c r="G3468" i="1"/>
  <c r="F3468" i="1"/>
  <c r="G3472" i="1"/>
  <c r="F3472" i="1"/>
  <c r="G3476" i="1"/>
  <c r="F3476" i="1"/>
  <c r="G3480" i="1"/>
  <c r="F3480" i="1"/>
  <c r="G3484" i="1"/>
  <c r="F3484" i="1"/>
  <c r="G3488" i="1"/>
  <c r="F3488" i="1"/>
  <c r="G3492" i="1"/>
  <c r="F3492" i="1"/>
  <c r="G3496" i="1"/>
  <c r="F3496" i="1"/>
  <c r="G3500" i="1"/>
  <c r="F3500" i="1"/>
  <c r="G3504" i="1"/>
  <c r="F3504" i="1"/>
  <c r="G3508" i="1"/>
  <c r="F3508" i="1"/>
  <c r="G3512" i="1"/>
  <c r="F3512" i="1"/>
  <c r="G3516" i="1"/>
  <c r="F3516" i="1"/>
  <c r="G3520" i="1"/>
  <c r="F3520" i="1"/>
  <c r="F3539" i="1"/>
  <c r="H3543" i="1"/>
  <c r="G3543" i="1"/>
  <c r="H3544" i="1"/>
  <c r="G3548" i="1"/>
  <c r="F3548" i="1"/>
  <c r="G3552" i="1"/>
  <c r="F3552" i="1"/>
  <c r="G3561" i="1"/>
  <c r="F3561" i="1"/>
  <c r="I3561" i="1"/>
  <c r="H3561" i="1"/>
  <c r="F3577" i="1"/>
  <c r="I3580" i="1"/>
  <c r="G3580" i="1"/>
  <c r="F3580" i="1"/>
  <c r="H3580" i="1"/>
  <c r="I3589" i="1"/>
  <c r="G3589" i="1"/>
  <c r="H3707" i="1"/>
  <c r="G3711" i="1"/>
  <c r="F3711" i="1"/>
  <c r="I3711" i="1"/>
  <c r="H3711" i="1"/>
  <c r="H3738" i="1"/>
  <c r="G3742" i="1"/>
  <c r="F3742" i="1"/>
  <c r="I3742" i="1"/>
  <c r="H3742" i="1"/>
  <c r="G3774" i="1"/>
  <c r="F3774" i="1"/>
  <c r="I3774" i="1"/>
  <c r="H3774" i="1"/>
  <c r="G3782" i="1"/>
  <c r="F3782" i="1"/>
  <c r="I3782" i="1"/>
  <c r="H3782" i="1"/>
  <c r="G3790" i="1"/>
  <c r="F3790" i="1"/>
  <c r="I3790" i="1"/>
  <c r="H3790" i="1"/>
  <c r="G3798" i="1"/>
  <c r="F3798" i="1"/>
  <c r="I3798" i="1"/>
  <c r="H3798" i="1"/>
  <c r="G3806" i="1"/>
  <c r="F3806" i="1"/>
  <c r="I3806" i="1"/>
  <c r="H3806" i="1"/>
  <c r="I3251" i="1"/>
  <c r="H3252" i="1"/>
  <c r="I3255" i="1"/>
  <c r="H3256" i="1"/>
  <c r="I3259" i="1"/>
  <c r="H3260" i="1"/>
  <c r="I3263" i="1"/>
  <c r="H3264" i="1"/>
  <c r="I3267" i="1"/>
  <c r="H3268" i="1"/>
  <c r="I3271" i="1"/>
  <c r="H3272" i="1"/>
  <c r="I3275" i="1"/>
  <c r="H3276" i="1"/>
  <c r="I3279" i="1"/>
  <c r="H3280" i="1"/>
  <c r="I3283" i="1"/>
  <c r="H3284" i="1"/>
  <c r="I3287" i="1"/>
  <c r="H3288" i="1"/>
  <c r="I3291" i="1"/>
  <c r="H3292" i="1"/>
  <c r="I3295" i="1"/>
  <c r="H3296" i="1"/>
  <c r="H3301" i="1"/>
  <c r="I3303" i="1"/>
  <c r="H3304" i="1"/>
  <c r="I3307" i="1"/>
  <c r="H3308" i="1"/>
  <c r="I3311" i="1"/>
  <c r="H3312" i="1"/>
  <c r="I3315" i="1"/>
  <c r="H3316" i="1"/>
  <c r="I3319" i="1"/>
  <c r="H3320" i="1"/>
  <c r="I3323" i="1"/>
  <c r="H3324" i="1"/>
  <c r="I3327" i="1"/>
  <c r="H3328" i="1"/>
  <c r="I3331" i="1"/>
  <c r="H3332" i="1"/>
  <c r="I3335" i="1"/>
  <c r="H3336" i="1"/>
  <c r="H3340" i="1"/>
  <c r="I3343" i="1"/>
  <c r="H3344" i="1"/>
  <c r="I3347" i="1"/>
  <c r="H3348" i="1"/>
  <c r="I3351" i="1"/>
  <c r="H3355" i="1"/>
  <c r="I3358" i="1"/>
  <c r="H3359" i="1"/>
  <c r="I3362" i="1"/>
  <c r="H3363" i="1"/>
  <c r="I3366" i="1"/>
  <c r="H3367" i="1"/>
  <c r="I3370" i="1"/>
  <c r="H3371" i="1"/>
  <c r="I3377" i="1"/>
  <c r="H3378" i="1"/>
  <c r="I3381" i="1"/>
  <c r="H3382" i="1"/>
  <c r="I3385" i="1"/>
  <c r="H3386" i="1"/>
  <c r="I3389" i="1"/>
  <c r="H3390" i="1"/>
  <c r="I3393" i="1"/>
  <c r="H3394" i="1"/>
  <c r="I3397" i="1"/>
  <c r="H3398" i="1"/>
  <c r="I3401" i="1"/>
  <c r="H3402" i="1"/>
  <c r="I3405" i="1"/>
  <c r="H3406" i="1"/>
  <c r="I3409" i="1"/>
  <c r="H3410" i="1"/>
  <c r="I3413" i="1"/>
  <c r="H3414" i="1"/>
  <c r="I3417" i="1"/>
  <c r="H3418" i="1"/>
  <c r="I3421" i="1"/>
  <c r="H3422" i="1"/>
  <c r="I3425" i="1"/>
  <c r="H3426" i="1"/>
  <c r="I3429" i="1"/>
  <c r="H3430" i="1"/>
  <c r="I3433" i="1"/>
  <c r="H3434" i="1"/>
  <c r="I3437" i="1"/>
  <c r="H3438" i="1"/>
  <c r="H3442" i="1"/>
  <c r="I3445" i="1"/>
  <c r="H3446" i="1"/>
  <c r="I3449" i="1"/>
  <c r="H3450" i="1"/>
  <c r="I3453" i="1"/>
  <c r="H3454" i="1"/>
  <c r="I3457" i="1"/>
  <c r="H3458" i="1"/>
  <c r="I3461" i="1"/>
  <c r="H3462" i="1"/>
  <c r="I3465" i="1"/>
  <c r="H3466" i="1"/>
  <c r="I3469" i="1"/>
  <c r="H3470" i="1"/>
  <c r="I3473" i="1"/>
  <c r="H3474" i="1"/>
  <c r="I3477" i="1"/>
  <c r="H3478" i="1"/>
  <c r="I3481" i="1"/>
  <c r="H3482" i="1"/>
  <c r="I3485" i="1"/>
  <c r="H3486" i="1"/>
  <c r="I3489" i="1"/>
  <c r="H3490" i="1"/>
  <c r="I3493" i="1"/>
  <c r="H3494" i="1"/>
  <c r="I3497" i="1"/>
  <c r="H3498" i="1"/>
  <c r="I3501" i="1"/>
  <c r="H3502" i="1"/>
  <c r="I3505" i="1"/>
  <c r="H3506" i="1"/>
  <c r="I3509" i="1"/>
  <c r="H3510" i="1"/>
  <c r="I3513" i="1"/>
  <c r="H3514" i="1"/>
  <c r="I3517" i="1"/>
  <c r="H3518" i="1"/>
  <c r="H3522" i="1"/>
  <c r="I3525" i="1"/>
  <c r="H3526" i="1"/>
  <c r="I3529" i="1"/>
  <c r="H3530" i="1"/>
  <c r="I3533" i="1"/>
  <c r="H3534" i="1"/>
  <c r="H3538" i="1"/>
  <c r="H3542" i="1"/>
  <c r="H3546" i="1"/>
  <c r="I3549" i="1"/>
  <c r="H3550" i="1"/>
  <c r="H3554" i="1"/>
  <c r="H3560" i="1"/>
  <c r="G3560" i="1"/>
  <c r="H3564" i="1"/>
  <c r="G3564" i="1"/>
  <c r="H3568" i="1"/>
  <c r="G3568" i="1"/>
  <c r="H3572" i="1"/>
  <c r="G3572" i="1"/>
  <c r="I3576" i="1"/>
  <c r="H3576" i="1"/>
  <c r="G3576" i="1"/>
  <c r="I3588" i="1"/>
  <c r="H3588" i="1"/>
  <c r="G3588" i="1"/>
  <c r="G3595" i="1"/>
  <c r="F3595" i="1"/>
  <c r="G3599" i="1"/>
  <c r="F3599" i="1"/>
  <c r="G3603" i="1"/>
  <c r="F3603" i="1"/>
  <c r="G3607" i="1"/>
  <c r="F3607" i="1"/>
  <c r="G3611" i="1"/>
  <c r="F3611" i="1"/>
  <c r="G3615" i="1"/>
  <c r="F3615" i="1"/>
  <c r="G3619" i="1"/>
  <c r="F3619" i="1"/>
  <c r="G3623" i="1"/>
  <c r="F3623" i="1"/>
  <c r="G3627" i="1"/>
  <c r="F3627" i="1"/>
  <c r="G3631" i="1"/>
  <c r="F3631" i="1"/>
  <c r="G3635" i="1"/>
  <c r="F3635" i="1"/>
  <c r="H3646" i="1"/>
  <c r="G3646" i="1"/>
  <c r="G3651" i="1"/>
  <c r="F3651" i="1"/>
  <c r="H3662" i="1"/>
  <c r="G3662" i="1"/>
  <c r="G3667" i="1"/>
  <c r="F3667" i="1"/>
  <c r="H3678" i="1"/>
  <c r="G3678" i="1"/>
  <c r="G3683" i="1"/>
  <c r="F3683" i="1"/>
  <c r="G3699" i="1"/>
  <c r="F3699" i="1"/>
  <c r="I3699" i="1"/>
  <c r="H3702" i="1"/>
  <c r="G3702" i="1"/>
  <c r="I3702" i="1"/>
  <c r="F3702" i="1"/>
  <c r="G3715" i="1"/>
  <c r="F3715" i="1"/>
  <c r="I3715" i="1"/>
  <c r="H3718" i="1"/>
  <c r="G3718" i="1"/>
  <c r="I3718" i="1"/>
  <c r="F3718" i="1"/>
  <c r="G3730" i="1"/>
  <c r="F3730" i="1"/>
  <c r="I3730" i="1"/>
  <c r="H3733" i="1"/>
  <c r="G3733" i="1"/>
  <c r="I3733" i="1"/>
  <c r="F3733" i="1"/>
  <c r="G3746" i="1"/>
  <c r="F3746" i="1"/>
  <c r="I3746" i="1"/>
  <c r="H3749" i="1"/>
  <c r="G3749" i="1"/>
  <c r="I3749" i="1"/>
  <c r="F3749" i="1"/>
  <c r="G3762" i="1"/>
  <c r="F3762" i="1"/>
  <c r="I3762" i="1"/>
  <c r="H3765" i="1"/>
  <c r="G3765" i="1"/>
  <c r="I3765" i="1"/>
  <c r="F3765" i="1"/>
  <c r="H3813" i="1"/>
  <c r="G3813" i="1"/>
  <c r="I3813" i="1"/>
  <c r="H3817" i="1"/>
  <c r="G3817" i="1"/>
  <c r="I3817" i="1"/>
  <c r="F3817" i="1"/>
  <c r="F3560" i="1"/>
  <c r="F3564" i="1"/>
  <c r="F3568" i="1"/>
  <c r="F3572" i="1"/>
  <c r="F3576" i="1"/>
  <c r="I3581" i="1"/>
  <c r="F3581" i="1"/>
  <c r="F3588" i="1"/>
  <c r="H3594" i="1"/>
  <c r="G3594" i="1"/>
  <c r="H3595" i="1"/>
  <c r="H3598" i="1"/>
  <c r="G3598" i="1"/>
  <c r="H3599" i="1"/>
  <c r="H3602" i="1"/>
  <c r="G3602" i="1"/>
  <c r="H3603" i="1"/>
  <c r="H3606" i="1"/>
  <c r="G3606" i="1"/>
  <c r="H3607" i="1"/>
  <c r="H3610" i="1"/>
  <c r="G3610" i="1"/>
  <c r="H3611" i="1"/>
  <c r="H3614" i="1"/>
  <c r="G3614" i="1"/>
  <c r="H3615" i="1"/>
  <c r="H3618" i="1"/>
  <c r="G3618" i="1"/>
  <c r="H3619" i="1"/>
  <c r="H3622" i="1"/>
  <c r="G3622" i="1"/>
  <c r="H3623" i="1"/>
  <c r="H3626" i="1"/>
  <c r="G3626" i="1"/>
  <c r="H3627" i="1"/>
  <c r="H3630" i="1"/>
  <c r="G3630" i="1"/>
  <c r="H3631" i="1"/>
  <c r="H3634" i="1"/>
  <c r="G3634" i="1"/>
  <c r="H3635" i="1"/>
  <c r="G3639" i="1"/>
  <c r="F3639" i="1"/>
  <c r="F3646" i="1"/>
  <c r="H3650" i="1"/>
  <c r="G3650" i="1"/>
  <c r="H3651" i="1"/>
  <c r="G3655" i="1"/>
  <c r="F3655" i="1"/>
  <c r="F3662" i="1"/>
  <c r="H3666" i="1"/>
  <c r="G3666" i="1"/>
  <c r="H3667" i="1"/>
  <c r="G3671" i="1"/>
  <c r="F3671" i="1"/>
  <c r="F3678" i="1"/>
  <c r="H3682" i="1"/>
  <c r="G3682" i="1"/>
  <c r="H3683" i="1"/>
  <c r="G3687" i="1"/>
  <c r="F3687" i="1"/>
  <c r="H3699" i="1"/>
  <c r="G3703" i="1"/>
  <c r="F3703" i="1"/>
  <c r="I3703" i="1"/>
  <c r="H3706" i="1"/>
  <c r="G3706" i="1"/>
  <c r="I3706" i="1"/>
  <c r="F3706" i="1"/>
  <c r="H3715" i="1"/>
  <c r="H3721" i="1"/>
  <c r="G3721" i="1"/>
  <c r="I3721" i="1"/>
  <c r="F3721" i="1"/>
  <c r="H3730" i="1"/>
  <c r="G3734" i="1"/>
  <c r="F3734" i="1"/>
  <c r="I3734" i="1"/>
  <c r="H3737" i="1"/>
  <c r="G3737" i="1"/>
  <c r="I3737" i="1"/>
  <c r="F3737" i="1"/>
  <c r="H3746" i="1"/>
  <c r="G3750" i="1"/>
  <c r="F3750" i="1"/>
  <c r="I3750" i="1"/>
  <c r="H3753" i="1"/>
  <c r="G3753" i="1"/>
  <c r="I3753" i="1"/>
  <c r="F3753" i="1"/>
  <c r="H3762" i="1"/>
  <c r="G3766" i="1"/>
  <c r="F3766" i="1"/>
  <c r="I3766" i="1"/>
  <c r="G3770" i="1"/>
  <c r="F3770" i="1"/>
  <c r="I3770" i="1"/>
  <c r="H3770" i="1"/>
  <c r="G3778" i="1"/>
  <c r="F3778" i="1"/>
  <c r="I3778" i="1"/>
  <c r="H3778" i="1"/>
  <c r="G3786" i="1"/>
  <c r="F3786" i="1"/>
  <c r="I3786" i="1"/>
  <c r="H3786" i="1"/>
  <c r="G3794" i="1"/>
  <c r="F3794" i="1"/>
  <c r="I3794" i="1"/>
  <c r="H3794" i="1"/>
  <c r="G3802" i="1"/>
  <c r="F3802" i="1"/>
  <c r="I3802" i="1"/>
  <c r="H3802" i="1"/>
  <c r="F3813" i="1"/>
  <c r="G3818" i="1"/>
  <c r="F3818" i="1"/>
  <c r="I3818" i="1"/>
  <c r="G3822" i="1"/>
  <c r="F3822" i="1"/>
  <c r="I3822" i="1"/>
  <c r="H3822" i="1"/>
  <c r="I3558" i="1"/>
  <c r="H3559" i="1"/>
  <c r="I3562" i="1"/>
  <c r="H3563" i="1"/>
  <c r="I3566" i="1"/>
  <c r="H3567" i="1"/>
  <c r="I3570" i="1"/>
  <c r="H3571" i="1"/>
  <c r="I3574" i="1"/>
  <c r="H3575" i="1"/>
  <c r="I3592" i="1"/>
  <c r="H3593" i="1"/>
  <c r="I3596" i="1"/>
  <c r="H3597" i="1"/>
  <c r="I3600" i="1"/>
  <c r="H3601" i="1"/>
  <c r="I3604" i="1"/>
  <c r="H3605" i="1"/>
  <c r="I3608" i="1"/>
  <c r="H3609" i="1"/>
  <c r="I3612" i="1"/>
  <c r="H3613" i="1"/>
  <c r="I3616" i="1"/>
  <c r="H3617" i="1"/>
  <c r="I3620" i="1"/>
  <c r="H3621" i="1"/>
  <c r="I3624" i="1"/>
  <c r="H3625" i="1"/>
  <c r="I3628" i="1"/>
  <c r="H3629" i="1"/>
  <c r="I3632" i="1"/>
  <c r="H3633" i="1"/>
  <c r="I3636" i="1"/>
  <c r="I3640" i="1"/>
  <c r="I3644" i="1"/>
  <c r="I3648" i="1"/>
  <c r="I3652" i="1"/>
  <c r="I3656" i="1"/>
  <c r="I3660" i="1"/>
  <c r="I3664" i="1"/>
  <c r="I3668" i="1"/>
  <c r="I3672" i="1"/>
  <c r="I3676" i="1"/>
  <c r="I3680" i="1"/>
  <c r="I3684" i="1"/>
  <c r="I3688" i="1"/>
  <c r="I3693" i="1"/>
  <c r="H3693" i="1"/>
  <c r="H3769" i="1"/>
  <c r="G3769" i="1"/>
  <c r="H3773" i="1"/>
  <c r="G3773" i="1"/>
  <c r="H3777" i="1"/>
  <c r="G3777" i="1"/>
  <c r="H3781" i="1"/>
  <c r="G3781" i="1"/>
  <c r="H3785" i="1"/>
  <c r="G3785" i="1"/>
  <c r="H3789" i="1"/>
  <c r="G3789" i="1"/>
  <c r="H3793" i="1"/>
  <c r="G3793" i="1"/>
  <c r="H3797" i="1"/>
  <c r="G3797" i="1"/>
  <c r="H3801" i="1"/>
  <c r="G3801" i="1"/>
  <c r="H3805" i="1"/>
  <c r="G3805" i="1"/>
  <c r="G3810" i="1"/>
  <c r="F3810" i="1"/>
  <c r="H3821" i="1"/>
  <c r="G3821" i="1"/>
  <c r="G3826" i="1"/>
  <c r="F3826" i="1"/>
  <c r="H3837" i="1"/>
  <c r="G3837" i="1"/>
  <c r="G3839" i="1"/>
  <c r="F3839" i="1"/>
  <c r="I3839" i="1"/>
  <c r="H3842" i="1"/>
  <c r="G3842" i="1"/>
  <c r="I3842" i="1"/>
  <c r="F3842" i="1"/>
  <c r="F3584" i="1"/>
  <c r="F3585" i="1"/>
  <c r="H3587" i="1"/>
  <c r="F3692" i="1"/>
  <c r="F3693" i="1"/>
  <c r="H3809" i="1"/>
  <c r="G3809" i="1"/>
  <c r="G3814" i="1"/>
  <c r="F3814" i="1"/>
  <c r="H3825" i="1"/>
  <c r="G3825" i="1"/>
  <c r="G3830" i="1"/>
  <c r="F3830" i="1"/>
  <c r="G3843" i="1"/>
  <c r="F3843" i="1"/>
  <c r="I3843" i="1"/>
  <c r="H3846" i="1"/>
  <c r="G3846" i="1"/>
  <c r="I3846" i="1"/>
  <c r="F3846" i="1"/>
  <c r="G3851" i="1"/>
  <c r="F3851" i="1"/>
  <c r="I3851" i="1"/>
  <c r="H3851" i="1"/>
  <c r="H3858" i="1"/>
  <c r="G3858" i="1"/>
  <c r="I3858" i="1"/>
  <c r="H3862" i="1"/>
  <c r="G3862" i="1"/>
  <c r="I3862" i="1"/>
  <c r="F3862" i="1"/>
  <c r="G3867" i="1"/>
  <c r="F3867" i="1"/>
  <c r="I3867" i="1"/>
  <c r="H3867" i="1"/>
  <c r="H3874" i="1"/>
  <c r="G3874" i="1"/>
  <c r="I3874" i="1"/>
  <c r="H3878" i="1"/>
  <c r="G3878" i="1"/>
  <c r="I3878" i="1"/>
  <c r="F3878" i="1"/>
  <c r="G3883" i="1"/>
  <c r="F3883" i="1"/>
  <c r="I3883" i="1"/>
  <c r="H3883" i="1"/>
  <c r="H3890" i="1"/>
  <c r="G3890" i="1"/>
  <c r="I3890" i="1"/>
  <c r="H3894" i="1"/>
  <c r="G3894" i="1"/>
  <c r="I3894" i="1"/>
  <c r="F3894" i="1"/>
  <c r="G3899" i="1"/>
  <c r="F3899" i="1"/>
  <c r="I3899" i="1"/>
  <c r="H3899" i="1"/>
  <c r="H3906" i="1"/>
  <c r="G3906" i="1"/>
  <c r="I3906" i="1"/>
  <c r="H3910" i="1"/>
  <c r="G3910" i="1"/>
  <c r="I3910" i="1"/>
  <c r="F3910" i="1"/>
  <c r="G3915" i="1"/>
  <c r="F3915" i="1"/>
  <c r="I3915" i="1"/>
  <c r="H3915" i="1"/>
  <c r="I3696" i="1"/>
  <c r="H3697" i="1"/>
  <c r="I3700" i="1"/>
  <c r="H3701" i="1"/>
  <c r="I3704" i="1"/>
  <c r="H3705" i="1"/>
  <c r="I3708" i="1"/>
  <c r="H3709" i="1"/>
  <c r="I3712" i="1"/>
  <c r="H3713" i="1"/>
  <c r="I3716" i="1"/>
  <c r="H3717" i="1"/>
  <c r="I3719" i="1"/>
  <c r="H3720" i="1"/>
  <c r="I3723" i="1"/>
  <c r="H3724" i="1"/>
  <c r="I3727" i="1"/>
  <c r="H3728" i="1"/>
  <c r="I3731" i="1"/>
  <c r="H3732" i="1"/>
  <c r="I3735" i="1"/>
  <c r="H3736" i="1"/>
  <c r="I3739" i="1"/>
  <c r="H3740" i="1"/>
  <c r="I3743" i="1"/>
  <c r="H3744" i="1"/>
  <c r="I3747" i="1"/>
  <c r="H3748" i="1"/>
  <c r="I3751" i="1"/>
  <c r="H3752" i="1"/>
  <c r="I3755" i="1"/>
  <c r="H3756" i="1"/>
  <c r="I3759" i="1"/>
  <c r="H3760" i="1"/>
  <c r="I3763" i="1"/>
  <c r="H3764" i="1"/>
  <c r="H3768" i="1"/>
  <c r="I3771" i="1"/>
  <c r="H3772" i="1"/>
  <c r="I3775" i="1"/>
  <c r="H3776" i="1"/>
  <c r="I3779" i="1"/>
  <c r="H3780" i="1"/>
  <c r="I3783" i="1"/>
  <c r="H3784" i="1"/>
  <c r="I3787" i="1"/>
  <c r="H3788" i="1"/>
  <c r="I3791" i="1"/>
  <c r="H3792" i="1"/>
  <c r="I3795" i="1"/>
  <c r="H3796" i="1"/>
  <c r="I3799" i="1"/>
  <c r="H3800" i="1"/>
  <c r="I3803" i="1"/>
  <c r="H3804" i="1"/>
  <c r="I3807" i="1"/>
  <c r="I3811" i="1"/>
  <c r="I3815" i="1"/>
  <c r="I3819" i="1"/>
  <c r="I3823" i="1"/>
  <c r="I3827" i="1"/>
  <c r="I3831" i="1"/>
  <c r="I3835" i="1"/>
  <c r="H3850" i="1"/>
  <c r="G3850" i="1"/>
  <c r="G3855" i="1"/>
  <c r="F3855" i="1"/>
  <c r="H3866" i="1"/>
  <c r="G3866" i="1"/>
  <c r="G3871" i="1"/>
  <c r="F3871" i="1"/>
  <c r="H3882" i="1"/>
  <c r="G3882" i="1"/>
  <c r="G3887" i="1"/>
  <c r="F3887" i="1"/>
  <c r="H3898" i="1"/>
  <c r="G3898" i="1"/>
  <c r="G3903" i="1"/>
  <c r="F3903" i="1"/>
  <c r="H3914" i="1"/>
  <c r="G3914" i="1"/>
  <c r="F3919" i="1"/>
  <c r="I3919" i="1"/>
  <c r="H3919" i="1"/>
  <c r="G3919" i="1"/>
  <c r="H3933" i="1"/>
  <c r="G3933" i="1"/>
  <c r="F3933" i="1"/>
  <c r="I3933" i="1"/>
  <c r="H3949" i="1"/>
  <c r="G3949" i="1"/>
  <c r="F3949" i="1"/>
  <c r="I3949" i="1"/>
  <c r="H3965" i="1"/>
  <c r="G3965" i="1"/>
  <c r="F3965" i="1"/>
  <c r="I3965" i="1"/>
  <c r="H3985" i="1"/>
  <c r="G3985" i="1"/>
  <c r="F3985" i="1"/>
  <c r="I3985" i="1"/>
  <c r="F3850" i="1"/>
  <c r="H3854" i="1"/>
  <c r="G3854" i="1"/>
  <c r="H3855" i="1"/>
  <c r="G3859" i="1"/>
  <c r="F3859" i="1"/>
  <c r="F3866" i="1"/>
  <c r="H3870" i="1"/>
  <c r="G3870" i="1"/>
  <c r="H3871" i="1"/>
  <c r="G3875" i="1"/>
  <c r="F3875" i="1"/>
  <c r="F3882" i="1"/>
  <c r="H3886" i="1"/>
  <c r="G3886" i="1"/>
  <c r="H3887" i="1"/>
  <c r="G3891" i="1"/>
  <c r="F3891" i="1"/>
  <c r="F3898" i="1"/>
  <c r="H3902" i="1"/>
  <c r="G3902" i="1"/>
  <c r="H3903" i="1"/>
  <c r="G3907" i="1"/>
  <c r="F3907" i="1"/>
  <c r="F3914" i="1"/>
  <c r="H3918" i="1"/>
  <c r="G3918" i="1"/>
  <c r="H3929" i="1"/>
  <c r="G3929" i="1"/>
  <c r="F3929" i="1"/>
  <c r="I3929" i="1"/>
  <c r="H3945" i="1"/>
  <c r="G3945" i="1"/>
  <c r="F3945" i="1"/>
  <c r="I3945" i="1"/>
  <c r="H3961" i="1"/>
  <c r="G3961" i="1"/>
  <c r="F3961" i="1"/>
  <c r="I3961" i="1"/>
  <c r="H3977" i="1"/>
  <c r="G3977" i="1"/>
  <c r="F3977" i="1"/>
  <c r="I3977" i="1"/>
  <c r="I3840" i="1"/>
  <c r="H3841" i="1"/>
  <c r="I3844" i="1"/>
  <c r="H3845" i="1"/>
  <c r="I3848" i="1"/>
  <c r="I3852" i="1"/>
  <c r="I3856" i="1"/>
  <c r="I3860" i="1"/>
  <c r="I3864" i="1"/>
  <c r="I3868" i="1"/>
  <c r="I3872" i="1"/>
  <c r="I3876" i="1"/>
  <c r="I3880" i="1"/>
  <c r="I3884" i="1"/>
  <c r="I3888" i="1"/>
  <c r="I3892" i="1"/>
  <c r="I3896" i="1"/>
  <c r="I3900" i="1"/>
  <c r="I3904" i="1"/>
  <c r="I3908" i="1"/>
  <c r="I3912" i="1"/>
  <c r="I3916" i="1"/>
  <c r="H3989" i="1"/>
  <c r="G3989" i="1"/>
  <c r="F3989" i="1"/>
  <c r="H3993" i="1"/>
  <c r="G3993" i="1"/>
  <c r="F3993" i="1"/>
  <c r="H3997" i="1"/>
  <c r="G3997" i="1"/>
  <c r="F3997" i="1"/>
  <c r="H4001" i="1"/>
  <c r="G4001" i="1"/>
  <c r="F4001" i="1"/>
  <c r="H3981" i="1"/>
  <c r="G3981" i="1"/>
  <c r="F3981" i="1"/>
  <c r="I3989" i="1"/>
  <c r="I3993" i="1"/>
  <c r="I3997" i="1"/>
  <c r="I4001" i="1"/>
  <c r="G3920" i="1"/>
  <c r="I3922" i="1"/>
  <c r="H3923" i="1"/>
  <c r="G3924" i="1"/>
  <c r="I3926" i="1"/>
  <c r="H3927" i="1"/>
  <c r="G3928" i="1"/>
  <c r="I3930" i="1"/>
  <c r="H3931" i="1"/>
  <c r="G3932" i="1"/>
  <c r="I3934" i="1"/>
  <c r="H3935" i="1"/>
  <c r="G3936" i="1"/>
  <c r="I3938" i="1"/>
  <c r="H3939" i="1"/>
  <c r="G3940" i="1"/>
  <c r="I3942" i="1"/>
  <c r="H3943" i="1"/>
  <c r="G3944" i="1"/>
  <c r="I3946" i="1"/>
  <c r="H3947" i="1"/>
  <c r="G3948" i="1"/>
  <c r="I3950" i="1"/>
  <c r="H3951" i="1"/>
  <c r="G3952" i="1"/>
  <c r="I3954" i="1"/>
  <c r="H3955" i="1"/>
  <c r="G3956" i="1"/>
  <c r="I3958" i="1"/>
  <c r="H3959" i="1"/>
  <c r="G3960" i="1"/>
  <c r="I3962" i="1"/>
  <c r="H3963" i="1"/>
  <c r="G3964" i="1"/>
  <c r="I3966" i="1"/>
  <c r="H3967" i="1"/>
  <c r="G3968" i="1"/>
  <c r="I3970" i="1"/>
  <c r="H3971" i="1"/>
  <c r="G3972" i="1"/>
  <c r="I3974" i="1"/>
  <c r="H3975" i="1"/>
  <c r="G3976" i="1"/>
  <c r="H3979" i="1"/>
  <c r="G3980" i="1"/>
  <c r="I3982" i="1"/>
  <c r="G3984" i="1"/>
  <c r="I3986" i="1"/>
  <c r="H3987" i="1"/>
  <c r="G3988" i="1"/>
  <c r="I3990" i="1"/>
  <c r="H3991" i="1"/>
  <c r="G3992" i="1"/>
  <c r="I3994" i="1"/>
  <c r="H3995" i="1"/>
  <c r="G3996" i="1"/>
  <c r="I3998" i="1"/>
  <c r="H3999" i="1"/>
  <c r="G4000" i="1"/>
  <c r="I4002" i="1"/>
  <c r="H4003" i="1"/>
  <c r="G4004" i="1"/>
  <c r="H3920" i="1"/>
  <c r="F3922" i="1"/>
  <c r="I3923" i="1"/>
  <c r="H3924" i="1"/>
  <c r="F3926" i="1"/>
  <c r="I3927" i="1"/>
  <c r="H3928" i="1"/>
  <c r="F3930" i="1"/>
  <c r="I3931" i="1"/>
  <c r="H3932" i="1"/>
  <c r="F3934" i="1"/>
  <c r="I3935" i="1"/>
  <c r="H3936" i="1"/>
  <c r="F3938" i="1"/>
  <c r="I3939" i="1"/>
  <c r="H3940" i="1"/>
  <c r="F3942" i="1"/>
  <c r="I3943" i="1"/>
  <c r="H3944" i="1"/>
  <c r="F3946" i="1"/>
  <c r="I3947" i="1"/>
  <c r="H3948" i="1"/>
  <c r="F3950" i="1"/>
  <c r="I3951" i="1"/>
  <c r="H3952" i="1"/>
  <c r="F3954" i="1"/>
  <c r="I3955" i="1"/>
  <c r="H3956" i="1"/>
  <c r="F3958" i="1"/>
  <c r="I3959" i="1"/>
  <c r="H3960" i="1"/>
  <c r="F3962" i="1"/>
  <c r="I3963" i="1"/>
  <c r="H3964" i="1"/>
  <c r="F3966" i="1"/>
  <c r="I3967" i="1"/>
  <c r="H3968" i="1"/>
  <c r="F3970" i="1"/>
  <c r="I3971" i="1"/>
  <c r="H3972" i="1"/>
  <c r="F3974" i="1"/>
  <c r="I3975" i="1"/>
  <c r="H3976" i="1"/>
  <c r="I3979" i="1"/>
  <c r="H3980" i="1"/>
  <c r="F3982" i="1"/>
  <c r="H3984" i="1"/>
  <c r="F3986" i="1"/>
  <c r="H3988" i="1"/>
  <c r="F3990" i="1"/>
  <c r="I3991" i="1"/>
  <c r="H3992" i="1"/>
  <c r="F3994" i="1"/>
  <c r="I3995" i="1"/>
  <c r="H3996" i="1"/>
  <c r="F3998" i="1"/>
  <c r="I3999" i="1"/>
  <c r="H4000" i="1"/>
  <c r="H4004" i="1"/>
  <c r="I3578" i="1"/>
  <c r="I3582" i="1"/>
  <c r="I3586" i="1"/>
  <c r="I3590" i="1"/>
  <c r="G3577" i="1"/>
  <c r="F3578" i="1"/>
  <c r="I3579" i="1"/>
  <c r="G3581" i="1"/>
  <c r="F3582" i="1"/>
  <c r="I3583" i="1"/>
  <c r="F3586" i="1"/>
  <c r="I3587" i="1"/>
  <c r="F3590" i="1"/>
  <c r="I3591" i="1"/>
  <c r="H3577" i="1"/>
  <c r="G3578" i="1"/>
  <c r="F3579" i="1"/>
  <c r="H3581" i="1"/>
  <c r="G3582" i="1"/>
  <c r="F3583" i="1"/>
  <c r="H3585" i="1"/>
  <c r="G3586" i="1"/>
  <c r="F3587" i="1"/>
  <c r="H3589" i="1"/>
  <c r="G3590" i="1"/>
  <c r="F3591" i="1"/>
  <c r="I2790" i="1"/>
  <c r="F2789" i="1"/>
  <c r="I2789" i="1"/>
  <c r="I2788" i="1"/>
  <c r="F2788" i="1"/>
  <c r="G2788" i="1"/>
  <c r="F1753" i="1"/>
  <c r="F1754" i="1"/>
  <c r="G1753" i="1"/>
  <c r="H1753" i="1"/>
  <c r="G1754" i="1"/>
  <c r="I1755" i="1"/>
  <c r="F1755" i="1"/>
  <c r="I1756" i="1"/>
  <c r="H1754" i="1"/>
  <c r="G1755" i="1"/>
  <c r="F1756" i="1"/>
  <c r="H3424" i="1"/>
  <c r="I3423" i="1"/>
  <c r="I3299" i="1"/>
  <c r="F3299" i="1"/>
  <c r="I3300" i="1"/>
  <c r="H3298" i="1"/>
  <c r="G3299" i="1"/>
  <c r="F3300" i="1"/>
  <c r="H3302" i="1"/>
  <c r="H2915" i="1"/>
  <c r="I3339" i="1"/>
  <c r="F3339" i="1"/>
  <c r="I3337" i="1"/>
  <c r="H3338" i="1"/>
  <c r="G3339" i="1"/>
  <c r="I3015" i="1"/>
  <c r="I3019" i="1"/>
  <c r="F3015" i="1"/>
  <c r="I3016" i="1"/>
  <c r="F3019" i="1"/>
  <c r="I3020" i="1"/>
  <c r="I3013" i="1"/>
  <c r="G3015" i="1"/>
  <c r="F3016" i="1"/>
  <c r="I3017" i="1"/>
  <c r="G3019" i="1"/>
  <c r="F3020" i="1"/>
  <c r="I3021" i="1"/>
</calcChain>
</file>

<file path=xl/sharedStrings.xml><?xml version="1.0" encoding="utf-8"?>
<sst xmlns="http://schemas.openxmlformats.org/spreadsheetml/2006/main" count="6886" uniqueCount="6873">
  <si>
    <t>Buje 1/2 x 1/4</t>
  </si>
  <si>
    <t>Buje 1/2 x 3/8</t>
  </si>
  <si>
    <t>Buje 3/8 x 1/8</t>
  </si>
  <si>
    <t>Buje 3/8 x 1/4</t>
  </si>
  <si>
    <t>Buje 1/4 x 1/8</t>
  </si>
  <si>
    <t>Codo HH 3/8</t>
  </si>
  <si>
    <t>Codo HH 1/4</t>
  </si>
  <si>
    <t>Codo HH 1/8</t>
  </si>
  <si>
    <t>Codo MH 3/8</t>
  </si>
  <si>
    <t>Codo MH 1/4</t>
  </si>
  <si>
    <t>Codo MH 1/8</t>
  </si>
  <si>
    <t xml:space="preserve">Sifon de goma simple  </t>
  </si>
  <si>
    <t>Canilla pico movil mesada 1 agua bronce cromado</t>
  </si>
  <si>
    <t>Caño cobre 3/8 x metro</t>
  </si>
  <si>
    <t>Caño cobre 5/16 x metro</t>
  </si>
  <si>
    <t>Caño aluminio 3/8 x metro</t>
  </si>
  <si>
    <t>Caño aluminio 5/16 x metro</t>
  </si>
  <si>
    <t>Caño plastico bajada deposito embutir</t>
  </si>
  <si>
    <t>Caño plastico bajada deposito cadena</t>
  </si>
  <si>
    <t>Cartucho para monocomando de cocina de 40</t>
  </si>
  <si>
    <t>Chaveta para cabezal no ascendente tipo seeger</t>
  </si>
  <si>
    <t>Chaveta para cabezal no ascendente alambre</t>
  </si>
  <si>
    <t>Chaveta para terocupla tipo seeger</t>
  </si>
  <si>
    <t>Niple de bronce 1/2 x 5</t>
  </si>
  <si>
    <t>Niple de bronce 1/2 x 8</t>
  </si>
  <si>
    <t>Niple de bronce 1/2 x 10</t>
  </si>
  <si>
    <t>Niple de bronce 1/2 x 12</t>
  </si>
  <si>
    <t>Niple de bronce 1/2 x 15</t>
  </si>
  <si>
    <t>Flexible mallado 1/2 x 30 cm</t>
  </si>
  <si>
    <t>Flexible mallado 1/2 x 35 cm</t>
  </si>
  <si>
    <t>Flexible mallado 1/2 x 40 cm</t>
  </si>
  <si>
    <t>Flexible mallado 1/2 x 50 cm</t>
  </si>
  <si>
    <t>Flexible mallado 3/4 x 25 cm</t>
  </si>
  <si>
    <t>4700/76</t>
  </si>
  <si>
    <t>1260/42</t>
  </si>
  <si>
    <t>1260/43</t>
  </si>
  <si>
    <t>1260/44</t>
  </si>
  <si>
    <t>Cortachorro plastico cromo H chico</t>
  </si>
  <si>
    <t>Cortachorro plastico cromo H grande</t>
  </si>
  <si>
    <t>Cortachorro plastico cromo M</t>
  </si>
  <si>
    <t>CUBREAGUJERO DE PLASTICO</t>
  </si>
  <si>
    <t>1260/45</t>
  </si>
  <si>
    <t>Cubreagujero plastico cromo para mesada</t>
  </si>
  <si>
    <t>1270/06</t>
  </si>
  <si>
    <t>1270/07</t>
  </si>
  <si>
    <t>1300/13</t>
  </si>
  <si>
    <t>1300/14</t>
  </si>
  <si>
    <t>1300/15</t>
  </si>
  <si>
    <t>1300/16</t>
  </si>
  <si>
    <t>1300/17</t>
  </si>
  <si>
    <t>1300/18</t>
  </si>
  <si>
    <t>1300/19</t>
  </si>
  <si>
    <t>1300/20</t>
  </si>
  <si>
    <t>1300/23</t>
  </si>
  <si>
    <t>1300/24</t>
  </si>
  <si>
    <t>1300/25</t>
  </si>
  <si>
    <t>1300/26</t>
  </si>
  <si>
    <t>1300/27</t>
  </si>
  <si>
    <t>1300/28</t>
  </si>
  <si>
    <t>1300/31</t>
  </si>
  <si>
    <t>1300/32</t>
  </si>
  <si>
    <t>1300/33</t>
  </si>
  <si>
    <t>1300/34</t>
  </si>
  <si>
    <t>1300/35</t>
  </si>
  <si>
    <t>1300/36</t>
  </si>
  <si>
    <t>1300/37</t>
  </si>
  <si>
    <t>Obturador para mochila con tirador  3/16</t>
  </si>
  <si>
    <t>Obturador para mochila con tirador  1/4</t>
  </si>
  <si>
    <t>Obturador para mochila VERONA</t>
  </si>
  <si>
    <t>Obturador para deposito tabique con alambre</t>
  </si>
  <si>
    <t>Obturador para deposito comun con alambre</t>
  </si>
  <si>
    <t>Obturador para deposito de colgar con alambre</t>
  </si>
  <si>
    <t>Obturador para deposito tabique regulable</t>
  </si>
  <si>
    <t>Termocupla x 20 cm</t>
  </si>
  <si>
    <t>Termocupla x 30 cm</t>
  </si>
  <si>
    <t>Termocupla x 40 cm</t>
  </si>
  <si>
    <t>Termocupla x 50 cm</t>
  </si>
  <si>
    <t>Termocupla x 60 cm</t>
  </si>
  <si>
    <t>Termocupla x 70 cm</t>
  </si>
  <si>
    <t>Rosca con tuerca 1/2 bronce</t>
  </si>
  <si>
    <t>Rosca con tuerca 3/4 bronce</t>
  </si>
  <si>
    <t>Rosca con tuerca 1 bronce</t>
  </si>
  <si>
    <t>Rosca con tuerca 1 1/4 bronce</t>
  </si>
  <si>
    <t>Rosca con tuerca 1 1/2 bronce</t>
  </si>
  <si>
    <t>Rosca con tuerca 2 bronce</t>
  </si>
  <si>
    <t>Rosca con tuerca 3/4 x 1/2 bronce</t>
  </si>
  <si>
    <t>Rosca con tuerca 1 x 3/4 bronce</t>
  </si>
  <si>
    <t>Cupla 1/2 bronce</t>
  </si>
  <si>
    <t>Cupla 3/4 bronce</t>
  </si>
  <si>
    <t>Cupla 1 bronce</t>
  </si>
  <si>
    <t>Cupla 1 1/4 bronce</t>
  </si>
  <si>
    <t>Cupla 1 1/2 bronce</t>
  </si>
  <si>
    <t>Cupla 2 bronce</t>
  </si>
  <si>
    <t>Cupla 1/2 x 3/8 bronce</t>
  </si>
  <si>
    <t>Cupla 3/4 x 1/2 bronce</t>
  </si>
  <si>
    <t>Cupla 1 x 3/4 bronce</t>
  </si>
  <si>
    <t>Cupla 1 x 1/2 bronce</t>
  </si>
  <si>
    <t>Cupla 1 1/4 x 1 bronce</t>
  </si>
  <si>
    <t>Cupla 1 1/4 x 3/4 bronce</t>
  </si>
  <si>
    <t>Cupla 1 1/4 x 1/2 bronce</t>
  </si>
  <si>
    <t>Cupla 1 1/2 x 1 1/4 bronce</t>
  </si>
  <si>
    <t>Cupla 1 1/2 x 1  bronce</t>
  </si>
  <si>
    <t>Cupla 1 1/2 x 3/4 bronce</t>
  </si>
  <si>
    <t>Cupla 1 1/2 x 1/2 bronce</t>
  </si>
  <si>
    <t>Brida 1/2 bronce</t>
  </si>
  <si>
    <t>Brida 3/4 bronce</t>
  </si>
  <si>
    <t>Brida 1  bronce</t>
  </si>
  <si>
    <t>Brida 1 1/4 bronce</t>
  </si>
  <si>
    <t>Brida 1 1/2 bronce</t>
  </si>
  <si>
    <t>Brida 2 bronce</t>
  </si>
  <si>
    <t>Conexión fuelle PVC Grove</t>
  </si>
  <si>
    <t>Conexión fuelle PVC Cirino</t>
  </si>
  <si>
    <t>Conexión fuelle PVC mochila Cirino</t>
  </si>
  <si>
    <t>Sopapa plastica AMERICANA</t>
  </si>
  <si>
    <t>Niple de bronce 1 x 5</t>
  </si>
  <si>
    <t>Niple de bronce 1 x 8</t>
  </si>
  <si>
    <t>Niple de bronce 1 x 10</t>
  </si>
  <si>
    <t>Niple de bronce 1 x 12</t>
  </si>
  <si>
    <t>Niple de bronce 1 x 15</t>
  </si>
  <si>
    <t>Flexible mallado 1/2 x 20 cm</t>
  </si>
  <si>
    <t>1010/45</t>
  </si>
  <si>
    <t xml:space="preserve">ACCESORIOS DE BRONCE ROSCADO           </t>
  </si>
  <si>
    <t xml:space="preserve">Lluvia articulada plastica SIMIL POMBA FV </t>
  </si>
  <si>
    <t>1140/13</t>
  </si>
  <si>
    <t>1140/14</t>
  </si>
  <si>
    <t>1140/15</t>
  </si>
  <si>
    <t>1140/16</t>
  </si>
  <si>
    <t>1140/17</t>
  </si>
  <si>
    <t>1140/18</t>
  </si>
  <si>
    <t>1140/19</t>
  </si>
  <si>
    <t>1140/20</t>
  </si>
  <si>
    <t>1150/01</t>
  </si>
  <si>
    <t>1150/02</t>
  </si>
  <si>
    <t>1150/03</t>
  </si>
  <si>
    <t>1150/04</t>
  </si>
  <si>
    <t>1150/05</t>
  </si>
  <si>
    <t>1150/06</t>
  </si>
  <si>
    <t>1150/07</t>
  </si>
  <si>
    <t>1150/08</t>
  </si>
  <si>
    <t>1150/09</t>
  </si>
  <si>
    <t>1150/10</t>
  </si>
  <si>
    <t>1150/11</t>
  </si>
  <si>
    <t>1150/12</t>
  </si>
  <si>
    <t>1150/13</t>
  </si>
  <si>
    <t>1150/14</t>
  </si>
  <si>
    <t>1150/15</t>
  </si>
  <si>
    <t>1150/16</t>
  </si>
  <si>
    <t>1160/01</t>
  </si>
  <si>
    <t>1160/02</t>
  </si>
  <si>
    <t>1160/03</t>
  </si>
  <si>
    <t>1160/04</t>
  </si>
  <si>
    <t>1160/05</t>
  </si>
  <si>
    <t>1160/06</t>
  </si>
  <si>
    <t>1160/07</t>
  </si>
  <si>
    <t>1160/08</t>
  </si>
  <si>
    <t>1160/09</t>
  </si>
  <si>
    <t>1160/10</t>
  </si>
  <si>
    <t>Manija cromada para gas cuadrada 9 mm</t>
  </si>
  <si>
    <t>Manija cromada para gas cuadrada 10 mm</t>
  </si>
  <si>
    <t>Manija cromada para gas FV</t>
  </si>
  <si>
    <t>Manija cromada para gas QUEFE</t>
  </si>
  <si>
    <t>Manija cromada para gas BULLY</t>
  </si>
  <si>
    <t>Nuez comun para brazo de lluvia</t>
  </si>
  <si>
    <t>1460/21</t>
  </si>
  <si>
    <t>1460/22</t>
  </si>
  <si>
    <t>1460/23</t>
  </si>
  <si>
    <t>1460/24</t>
  </si>
  <si>
    <t>1460/25</t>
  </si>
  <si>
    <t>1460/26</t>
  </si>
  <si>
    <t>1470/01</t>
  </si>
  <si>
    <t>1470/02</t>
  </si>
  <si>
    <t>1470/03</t>
  </si>
  <si>
    <t>1470/04</t>
  </si>
  <si>
    <t>1480/01</t>
  </si>
  <si>
    <t>1480/02</t>
  </si>
  <si>
    <t>1480/03</t>
  </si>
  <si>
    <t>1480/04</t>
  </si>
  <si>
    <t>1480/05</t>
  </si>
  <si>
    <t>1480/06</t>
  </si>
  <si>
    <t>1480/07</t>
  </si>
  <si>
    <t>1480/08</t>
  </si>
  <si>
    <t>1480/09</t>
  </si>
  <si>
    <t>*CADENA P/DEPOSITO DE COLGAR</t>
  </si>
  <si>
    <t xml:space="preserve">UNIONES REDUCTORAS DE BRONCE        </t>
  </si>
  <si>
    <t xml:space="preserve">FLEXIBLES PARA BIDET        </t>
  </si>
  <si>
    <t xml:space="preserve">Flexible mallado 3/4 x 30 cm </t>
  </si>
  <si>
    <t xml:space="preserve">Flexible mallado 3/4 x 40 cm </t>
  </si>
  <si>
    <t>Flexible para bidet con tuerca de bronce y lluvia cromada 3/8</t>
  </si>
  <si>
    <t>Flexible para bidet con tuerca de bronce y lluvia cromada 1/2</t>
  </si>
  <si>
    <t>Flexible plastico 1/2 x 30</t>
  </si>
  <si>
    <t>Tee conexión de lavarropa de bronce</t>
  </si>
  <si>
    <t>Tee conexión de lavarropa de plastico</t>
  </si>
  <si>
    <t>Teflon 1/2 x 10</t>
  </si>
  <si>
    <t>Teflon 1/2 x 20</t>
  </si>
  <si>
    <t>Teflon 3/4 x 10</t>
  </si>
  <si>
    <t>Teflon 3/4 x 20</t>
  </si>
  <si>
    <t>Teflon alta densidad 1/2 x 10</t>
  </si>
  <si>
    <t xml:space="preserve">Perno y mariposa garrafa de 3 KG   </t>
  </si>
  <si>
    <t xml:space="preserve">Perno y mariposa garrafa de 10 KG  </t>
  </si>
  <si>
    <t xml:space="preserve">Adaptador para garrafa de 3 a 10 KG </t>
  </si>
  <si>
    <t xml:space="preserve">ACOPLES RAPIDO DUKE           </t>
  </si>
  <si>
    <t xml:space="preserve">ALARGUES PARA CANILLA DE BRONCE CROMADO             </t>
  </si>
  <si>
    <t xml:space="preserve">ALARGUE PARA GRIFERIA DE MESADA             </t>
  </si>
  <si>
    <t xml:space="preserve">ARANDELAS DE AJUSTE PARA TAPA IDEAL       </t>
  </si>
  <si>
    <t xml:space="preserve">ARANDELAS PARA BRIDA                 </t>
  </si>
  <si>
    <t xml:space="preserve">ARANDELAS DE PVC      </t>
  </si>
  <si>
    <t xml:space="preserve">ARANDELAS DE GOMA            </t>
  </si>
  <si>
    <t xml:space="preserve">ARO PARA BASE DE INODORO PVC   </t>
  </si>
  <si>
    <t xml:space="preserve">ASIENTO PARA INODORO REFORZADO              </t>
  </si>
  <si>
    <t xml:space="preserve">AUTOMATICOS PARA TANQUE            </t>
  </si>
  <si>
    <t xml:space="preserve">BALANCINES Y BRAZOS PARA MOCHILA        </t>
  </si>
  <si>
    <t xml:space="preserve">BALANCINES Y BRAZOS PARA FLOTANTES DE PARED           </t>
  </si>
  <si>
    <t xml:space="preserve">BOTONES Y REPUESTOS DE BRONCE PARA DEPOSITO DE PARED       </t>
  </si>
  <si>
    <t xml:space="preserve">BOTONES PLASTICOS PARA DEPOSITO DE PARED             </t>
  </si>
  <si>
    <t xml:space="preserve">BOTONES PARA MOCHILA             </t>
  </si>
  <si>
    <t>1150/17</t>
  </si>
  <si>
    <t xml:space="preserve">Boton para mochila MOTTA  </t>
  </si>
  <si>
    <t>Flexibles de cobre 3/4 x 20</t>
  </si>
  <si>
    <t>Flexibles de cobre 3/4 x 30</t>
  </si>
  <si>
    <t>Flexibles de cobre 3/4 x 25</t>
  </si>
  <si>
    <t>Flexibles de cobre 3/4 x 35</t>
  </si>
  <si>
    <t>Flexibles de cobre 3/4 x 40</t>
  </si>
  <si>
    <t>Flexibles de cobre 3/4 x 50</t>
  </si>
  <si>
    <t>Codo MM 3/8</t>
  </si>
  <si>
    <t>1480/12</t>
  </si>
  <si>
    <t>1490/01</t>
  </si>
  <si>
    <t>1490/02</t>
  </si>
  <si>
    <t>1490/03</t>
  </si>
  <si>
    <t>1490/04</t>
  </si>
  <si>
    <t>1500/01</t>
  </si>
  <si>
    <t>*ARANDELA T 66 CONICA P/DESCARGA APOYO</t>
  </si>
  <si>
    <t>1520/02</t>
  </si>
  <si>
    <t>1520/03</t>
  </si>
  <si>
    <t>1520/05</t>
  </si>
  <si>
    <t>1520/06</t>
  </si>
  <si>
    <t>1520/07</t>
  </si>
  <si>
    <t>1530/01</t>
  </si>
  <si>
    <t>1530/02</t>
  </si>
  <si>
    <t>1530/03</t>
  </si>
  <si>
    <t>1530/04</t>
  </si>
  <si>
    <t>1530/05</t>
  </si>
  <si>
    <t>1530/06</t>
  </si>
  <si>
    <t>1540/01</t>
  </si>
  <si>
    <t>1540/02</t>
  </si>
  <si>
    <t>1540/03</t>
  </si>
  <si>
    <t>1600/26</t>
  </si>
  <si>
    <t>4710/18</t>
  </si>
  <si>
    <t>4710/21</t>
  </si>
  <si>
    <t>4710/21A</t>
  </si>
  <si>
    <t>4710/22</t>
  </si>
  <si>
    <t>4710/23</t>
  </si>
  <si>
    <t>1560/10</t>
  </si>
  <si>
    <t>1560/11</t>
  </si>
  <si>
    <t>1560/12</t>
  </si>
  <si>
    <t>1560/13</t>
  </si>
  <si>
    <t>1570/01</t>
  </si>
  <si>
    <t>1570/02</t>
  </si>
  <si>
    <t>1580/01</t>
  </si>
  <si>
    <t>1580/02</t>
  </si>
  <si>
    <t>1580/03</t>
  </si>
  <si>
    <t>1580/04</t>
  </si>
  <si>
    <t xml:space="preserve">DUCHADORES VARIOS Y TEE DE DERIVACION       </t>
  </si>
  <si>
    <t xml:space="preserve">FLEXIBLES PARA DUCHADOR Y MONOCOMANDO         </t>
  </si>
  <si>
    <t xml:space="preserve">FLEXIBLES MALLADOS PARA AGUA    </t>
  </si>
  <si>
    <t xml:space="preserve">FLEXIBLES MALLADOS PARA GAS          </t>
  </si>
  <si>
    <t xml:space="preserve">FLEXIBLES DE GAS APROBADOS (ACERO INOX.)      </t>
  </si>
  <si>
    <t>FLEXIBLES DE COBRE</t>
  </si>
  <si>
    <t>1300/54</t>
  </si>
  <si>
    <t>1300/55</t>
  </si>
  <si>
    <t>Flexible de cobre para gas natural</t>
  </si>
  <si>
    <t>Flexible de cobre para gas envasado</t>
  </si>
  <si>
    <t xml:space="preserve">FLEXIBLES CORRUGADOS          </t>
  </si>
  <si>
    <t xml:space="preserve">Flexible corrugado extensible (40/50) 1 metro  </t>
  </si>
  <si>
    <t>Espiga espiga reduccion 1 1/4 x 1 polietileno</t>
  </si>
  <si>
    <t xml:space="preserve">FLOTANTES DE BRONCE PARA TANQUE (sin boya)       </t>
  </si>
  <si>
    <t xml:space="preserve">GOMAS VARIAS        </t>
  </si>
  <si>
    <t xml:space="preserve">GRAMPA PARA TERMOTANQUE         </t>
  </si>
  <si>
    <t xml:space="preserve">GRAMPAS PARA LAVATORIO     </t>
  </si>
  <si>
    <t xml:space="preserve">GRAMPAS MEDIA OMEGA          </t>
  </si>
  <si>
    <t xml:space="preserve">GRAMPAS OMEGA          </t>
  </si>
  <si>
    <t xml:space="preserve">INSERTOS DE BRONCE PARA VOLANTES           </t>
  </si>
  <si>
    <t>KIT DE FIJACION PARA MONOCOMANDO</t>
  </si>
  <si>
    <t>1350/35</t>
  </si>
  <si>
    <t xml:space="preserve">JUEGO METALICO DE ACCESORIOS PARA BAÑO          </t>
  </si>
  <si>
    <t xml:space="preserve">JUEGO PLASTICO DE ACCESORIOS PARA BAÑO         </t>
  </si>
  <si>
    <t>Portarrollo para cocina plastico</t>
  </si>
  <si>
    <t>*PULSADOR P/BOTON LATERAL-SUPERIOR</t>
  </si>
  <si>
    <t>*ARANDELA AJUSTE ENTRADA AGUA 3/8"</t>
  </si>
  <si>
    <t>Repuesto de sifon a codo</t>
  </si>
  <si>
    <t>Juego de codos para sifon</t>
  </si>
  <si>
    <t>Sobretapa acero inox.para deposito FRANKLIN</t>
  </si>
  <si>
    <t>Sobretapa acero inox.para deposito IDEAL</t>
  </si>
  <si>
    <t>Sobretapa acero inox.para deposito LA PALANQUITA</t>
  </si>
  <si>
    <t>Sobretapa plastica para deposito FRANKLIN</t>
  </si>
  <si>
    <t>Sobretapa plastica para deposito IDEAL</t>
  </si>
  <si>
    <t>Sobretapa plastica para deposito LA PALANQUITA</t>
  </si>
  <si>
    <t>Sopapa PVC de 50</t>
  </si>
  <si>
    <t>1100/03</t>
  </si>
  <si>
    <t>1100/04</t>
  </si>
  <si>
    <t>1100/05</t>
  </si>
  <si>
    <t>1100/06</t>
  </si>
  <si>
    <t>1100/07</t>
  </si>
  <si>
    <t>1100/08</t>
  </si>
  <si>
    <t>1100/09</t>
  </si>
  <si>
    <t>1100/10</t>
  </si>
  <si>
    <t>1100/11</t>
  </si>
  <si>
    <t>1100/12</t>
  </si>
  <si>
    <t>Manguera para riego 1 x 25 mts reforzada</t>
  </si>
  <si>
    <t>*TUERCA PLASTICA P/SOPORTES DE INODORO x 100 unidades</t>
  </si>
  <si>
    <t>Obturador MALVAR con carga</t>
  </si>
  <si>
    <t>1460/45</t>
  </si>
  <si>
    <t>1470/01A</t>
  </si>
  <si>
    <t>1470/03A</t>
  </si>
  <si>
    <t>Ramal plastico completo 3/8</t>
  </si>
  <si>
    <t>Ramal plastico completo 1/2</t>
  </si>
  <si>
    <t>Reja ventilacion 200 cc APROBADA 20 x 20 esmaltada</t>
  </si>
  <si>
    <t>Reja ventilacion 200 cc APROBADA 15 x 30 esmaltada</t>
  </si>
  <si>
    <t>Reja ventilacion 200 cc APROBADA 15 x 15 esmaltada</t>
  </si>
  <si>
    <t>*CHAVETA PLASTICA ENTRADA AGUA x 100 unidades</t>
  </si>
  <si>
    <t>*DIAFRAGMA PVC.P/ENTRADA AGUA 1/2" Y 3/8" x 100 unidades</t>
  </si>
  <si>
    <t>*PISTON PLASTICO CORTO P/ENTRADA DE AGUA MOCHILA x 100 unidades</t>
  </si>
  <si>
    <t>Percha cuadrada plastica x 15</t>
  </si>
  <si>
    <t>Set 7 piezas para baño blanco plastico ARSPLASTIC</t>
  </si>
  <si>
    <t>Grampa para lavatorio tipo L con taco y tornillo x 2 unidades</t>
  </si>
  <si>
    <t>Goma siliconada para valvula 1/2 x 100</t>
  </si>
  <si>
    <t>Goma sintetica para valvula 3/8 x 100</t>
  </si>
  <si>
    <t>Goma sintetica para valvula 1/2 x 100</t>
  </si>
  <si>
    <t>Goma sintetica para valvula 1/2 PIAZZA x 100</t>
  </si>
  <si>
    <t>Goma sintetica para valvula 3/4 x 100</t>
  </si>
  <si>
    <t>Goma sintetica para valvula 1 x 100</t>
  </si>
  <si>
    <t>1270/14</t>
  </si>
  <si>
    <t>Deposito de colgar Egoplast</t>
  </si>
  <si>
    <t>Deposito de mochila Egoplast</t>
  </si>
  <si>
    <t>1190/07</t>
  </si>
  <si>
    <t>1190/08</t>
  </si>
  <si>
    <t>2031/1</t>
  </si>
  <si>
    <t>2032/1</t>
  </si>
  <si>
    <t>CABEZAL PEIRANO MODELO VIEJO ROSCA GRUESA ESTRIA FINA</t>
  </si>
  <si>
    <t>2032/2</t>
  </si>
  <si>
    <t>1040/08</t>
  </si>
  <si>
    <t>1040/09</t>
  </si>
  <si>
    <t>1040/10</t>
  </si>
  <si>
    <t>1040/11</t>
  </si>
  <si>
    <t>1040/12</t>
  </si>
  <si>
    <t>1040/13</t>
  </si>
  <si>
    <t>1040/14</t>
  </si>
  <si>
    <t>1040/15</t>
  </si>
  <si>
    <t>Minivalvula paso esferico MH 1/4</t>
  </si>
  <si>
    <t>Minivalvula paso esferico MM 1/4</t>
  </si>
  <si>
    <t>Manguera carga lavarropa x 120 cm</t>
  </si>
  <si>
    <t>Manguera carga lavarropa x 150 cm</t>
  </si>
  <si>
    <t>Manguera carga lavarropa x 180 cm</t>
  </si>
  <si>
    <t>Buje goma y bronce transferencia PIAZZA</t>
  </si>
  <si>
    <t>Buje goma transferencia bidet antiguo</t>
  </si>
  <si>
    <t>Buje goma transferencia bidet moderno</t>
  </si>
  <si>
    <t>Buje goma transferencia duchador PIAZZA</t>
  </si>
  <si>
    <t>Buje goma transferencia lluvia PIAZZA moderno</t>
  </si>
  <si>
    <t xml:space="preserve">PILARES PARA GAS     </t>
  </si>
  <si>
    <t>PRODUCTOS QUIMICOS VARIOS</t>
  </si>
  <si>
    <t>1460/34</t>
  </si>
  <si>
    <t>1460/35</t>
  </si>
  <si>
    <t>Hilo grafitado</t>
  </si>
  <si>
    <t>1460/36</t>
  </si>
  <si>
    <t>Paño para soldar</t>
  </si>
  <si>
    <t>1460/37</t>
  </si>
  <si>
    <t>1460/38</t>
  </si>
  <si>
    <t>1460/39</t>
  </si>
  <si>
    <t>PRODUCTOS QUIMICOS DUKE</t>
  </si>
  <si>
    <t>1460/40</t>
  </si>
  <si>
    <t>PRODUCTOS QUIMICOS HIDRO 3 (SELLADORES)</t>
  </si>
  <si>
    <t>1460/42</t>
  </si>
  <si>
    <t>1460/43</t>
  </si>
  <si>
    <t>1460/44</t>
  </si>
  <si>
    <t>Sellador Hidro 3 para agua 25 cc</t>
  </si>
  <si>
    <t>Sellador Hidro 3 para agua 50 cc</t>
  </si>
  <si>
    <t>Sellador Hidro 3 para agua 125 cc</t>
  </si>
  <si>
    <t xml:space="preserve">PUERTAS DE CHAPA APROBADAS PARA NICHO DE GAS          </t>
  </si>
  <si>
    <t>2098/1</t>
  </si>
  <si>
    <t>Campana plastica TORNADO PEIRANO</t>
  </si>
  <si>
    <t>Campana plastica TORNADO FV</t>
  </si>
  <si>
    <t>1210/09A</t>
  </si>
  <si>
    <t>Canilla plastica doble para lavarropa</t>
  </si>
  <si>
    <t>1220/10</t>
  </si>
  <si>
    <t>1220/11</t>
  </si>
  <si>
    <t>1220/12</t>
  </si>
  <si>
    <t>CAÑOS DE POLIPROPILENO BICAPA Y TRICAPA</t>
  </si>
  <si>
    <t>1220/13</t>
  </si>
  <si>
    <t>1220/14</t>
  </si>
  <si>
    <t>1220/15</t>
  </si>
  <si>
    <t>Tee 1 1/4 x 1 polipropileno</t>
  </si>
  <si>
    <t>Tee 1 1/2 x 1 1/4 polipropileno</t>
  </si>
  <si>
    <t>Tee 2 x 1 1/2 polipropileno</t>
  </si>
  <si>
    <t>Union doble 1/2 polipropileno</t>
  </si>
  <si>
    <t>Union doble 3/4 polipropileno</t>
  </si>
  <si>
    <t>Union doble 1  polipropileno</t>
  </si>
  <si>
    <t>Union doble 1 1/4 polipropileno</t>
  </si>
  <si>
    <t>Union doble 1 1/2 polipropileno</t>
  </si>
  <si>
    <t>Union doble 2 polipropileno</t>
  </si>
  <si>
    <t>Tapa hembra 1/2 polipropileno</t>
  </si>
  <si>
    <t>Tapa hembra 3/4 polipropileno</t>
  </si>
  <si>
    <t>Tapa hembra 1  polipropileno</t>
  </si>
  <si>
    <t>Tapa hembra 1 1/4 polipropileno</t>
  </si>
  <si>
    <t>Tapa hembra 1 1/2 polipropileno</t>
  </si>
  <si>
    <t>Tapa hembra 2 polipropileno</t>
  </si>
  <si>
    <t>Kit de fijacion para griferia de monocomando 1 agujero</t>
  </si>
  <si>
    <t>Kit de fijacion para griferia de monocomando 2 agujero</t>
  </si>
  <si>
    <t>1350/36</t>
  </si>
  <si>
    <t>ACCESORIOS PVC LINEA 100 (COMUN)</t>
  </si>
  <si>
    <t>1230/02</t>
  </si>
  <si>
    <t>1230/03</t>
  </si>
  <si>
    <t>1230/04</t>
  </si>
  <si>
    <t>Cartucho para monocomando de cocina de 40 transferencia</t>
  </si>
  <si>
    <t>Cartucho para monocomando de cocina de 35</t>
  </si>
  <si>
    <t>Cartucho para monocomando de cocina de 35 transferencia</t>
  </si>
  <si>
    <t>OBTURADORES Y FLOTANTES EGEO</t>
  </si>
  <si>
    <t>Flotante con boya 1/2 EGEO</t>
  </si>
  <si>
    <t>Flotante con boya 3/4 EGEO</t>
  </si>
  <si>
    <t>1420/25</t>
  </si>
  <si>
    <t>1420/26</t>
  </si>
  <si>
    <t>PILETAS PLASTICAS</t>
  </si>
  <si>
    <t>1440/05</t>
  </si>
  <si>
    <t>1440/06</t>
  </si>
  <si>
    <t>Pileta para lavatorio plastica</t>
  </si>
  <si>
    <t>1610/16</t>
  </si>
  <si>
    <t>Tornillo para llave paso gas</t>
  </si>
  <si>
    <t>1050/65</t>
  </si>
  <si>
    <t>Boton de plastico cromo para deposito</t>
  </si>
  <si>
    <t>Boton lateral para mochila CAPEA cromo</t>
  </si>
  <si>
    <t>Boton lateral para mochila CAPEA blanco</t>
  </si>
  <si>
    <t>Boton superior para mochila CAPEA cromo</t>
  </si>
  <si>
    <t>Boton superior para mochila CAPEA blanco</t>
  </si>
  <si>
    <t>Boton blanco chico para mochila CAPEA-DELTA</t>
  </si>
  <si>
    <t>Boton cromo chico para mochila CAPEA-DELTA</t>
  </si>
  <si>
    <t>Boton redondo blanco completo FERRUM</t>
  </si>
  <si>
    <t>Boya telgopor 2 roscas extrachata</t>
  </si>
  <si>
    <t>Boya telgopor comun 1</t>
  </si>
  <si>
    <t>Boya telgopor presion 1/2</t>
  </si>
  <si>
    <t>Boya telgopor presion 3/4</t>
  </si>
  <si>
    <t xml:space="preserve">Boya telgopor presion 1 </t>
  </si>
  <si>
    <t>Boya telgopor presion 1 1/4</t>
  </si>
  <si>
    <t>Boya telgopor presion 1 1/2</t>
  </si>
  <si>
    <t>Boya telgopor presion 2</t>
  </si>
  <si>
    <t>Boya triangular para mochila</t>
  </si>
  <si>
    <t>Boya para brazo articulado de mochila</t>
  </si>
  <si>
    <t>Boya grande para brazo articulado de mochila</t>
  </si>
  <si>
    <t>Boya chata o comun inyectada 2 roscas</t>
  </si>
  <si>
    <t>Boya extrachata inyectada 2 roscas</t>
  </si>
  <si>
    <t>Reja de ventilacion esmaltada 15 x 30 con agujeros</t>
  </si>
  <si>
    <t>Reja de ventilacion esmaltada 20 x 20 con agujeros</t>
  </si>
  <si>
    <t>Reja de ventilacion de acero inoxidable 15 x 15 amurar</t>
  </si>
  <si>
    <t>Reja de ventilacion de acero inoxidable 15 x 30 amurar</t>
  </si>
  <si>
    <t>Reja de ventilacion de acero inoxidable 20 x 20 amurar</t>
  </si>
  <si>
    <t>Reja de ventilacion de acero inoxidable 15 x 15 con agujeros</t>
  </si>
  <si>
    <t>Reja de ventilacion esmaltada 15 x 15 con agujeros</t>
  </si>
  <si>
    <t>Reja de ventilacion de acero inoxidable 15 x 30 con agujeros</t>
  </si>
  <si>
    <t>1010/02</t>
  </si>
  <si>
    <t>1010/03</t>
  </si>
  <si>
    <t>1010/04</t>
  </si>
  <si>
    <t>1010/05</t>
  </si>
  <si>
    <t>1010/06</t>
  </si>
  <si>
    <t>1010/07</t>
  </si>
  <si>
    <t>1010/08</t>
  </si>
  <si>
    <t>1010/09</t>
  </si>
  <si>
    <t>1010/10</t>
  </si>
  <si>
    <t>1010/11</t>
  </si>
  <si>
    <t>1010/12</t>
  </si>
  <si>
    <t>1010/13</t>
  </si>
  <si>
    <t>Balancin para boton CAPEA lateral</t>
  </si>
  <si>
    <t>Balancin para boton CAPEA superior</t>
  </si>
  <si>
    <t>Balancin para boton chico CAPEA-DELTA</t>
  </si>
  <si>
    <t>Brazo balancin de bronce p/valvula CAPEA-DELTA</t>
  </si>
  <si>
    <t>Brazo de bronce corto punta plastica</t>
  </si>
  <si>
    <t>Brazo de bronce largo punta plastica</t>
  </si>
  <si>
    <t>Brazo cabeza bronce corto</t>
  </si>
  <si>
    <t xml:space="preserve">NUECES PARA BRAZO DE LLUVIA           </t>
  </si>
  <si>
    <t xml:space="preserve">Obturador para deposito tipo copita </t>
  </si>
  <si>
    <t xml:space="preserve">ACCESORIOS EPOXI                 </t>
  </si>
  <si>
    <t>Tornillo 5/32 x 1/4 de cromo para reja de piso</t>
  </si>
  <si>
    <t>Tuerca de bronce para griferia de 1/2</t>
  </si>
  <si>
    <t>Tuerca de bronce para griferia de 3/4</t>
  </si>
  <si>
    <t>Tuerca externa bronce cromada corta para boton</t>
  </si>
  <si>
    <t>Tuerca externa bronce cromada larga para boton</t>
  </si>
  <si>
    <t>Tuerca externa bronce cromada extra larga para boton</t>
  </si>
  <si>
    <t>Tuerca externa plastica para boton</t>
  </si>
  <si>
    <t>Unidad magnetica 11</t>
  </si>
  <si>
    <t>Unidad magnetica 14</t>
  </si>
  <si>
    <t>Union manga 1/2 bronce pulido</t>
  </si>
  <si>
    <t>Union manga 1/2 bronce cromado</t>
  </si>
  <si>
    <t>Union manga 3/4 bronce pulido</t>
  </si>
  <si>
    <t>Union manga 3/4 bronce cromado</t>
  </si>
  <si>
    <t>Union manga 1/2 plastica</t>
  </si>
  <si>
    <t>Valvula 3/8 con tuerca y goma</t>
  </si>
  <si>
    <t>Valvula 1/2 con tuerca y silicona</t>
  </si>
  <si>
    <t>Valvula 1/2 con tuerca y goma</t>
  </si>
  <si>
    <t>Valvula 3/4 con tuerca y goma</t>
  </si>
  <si>
    <t>Valvula 1 con tuerca y goma</t>
  </si>
  <si>
    <t>Valvula tipo perita</t>
  </si>
  <si>
    <t>Valvula 1/2 con alargue</t>
  </si>
  <si>
    <t>Valvula 1/2 con tuerca y goma PIAZZA</t>
  </si>
  <si>
    <t>Valvula PEIRANO comun</t>
  </si>
  <si>
    <t>Valvula PEIRANO con tuerca y goma</t>
  </si>
  <si>
    <t>Valvula PEIRANO con tuerca y silicona</t>
  </si>
  <si>
    <t>Valvula PEIRANO transferencia</t>
  </si>
  <si>
    <t>Valvula de retencion HH 3/4 de bronce</t>
  </si>
  <si>
    <t>Valvula de retencion HH 1 de bronce</t>
  </si>
  <si>
    <t>Valvula de retencion HH 1 1/4 de bronce</t>
  </si>
  <si>
    <t>Valvula de retencion HH 1 1/2 de bronce</t>
  </si>
  <si>
    <t>Valvula de retencion HH 2 de bronce</t>
  </si>
  <si>
    <t>Volante plastico cristal 70</t>
  </si>
  <si>
    <t>Volante plastico cristal 71</t>
  </si>
  <si>
    <t>Volante plastico cruz 42 cromo-cromo</t>
  </si>
  <si>
    <t>Volante plastico senior negro</t>
  </si>
  <si>
    <t>Volante plastico tornado cristal</t>
  </si>
  <si>
    <t>Obturador para deposito comun regulable</t>
  </si>
  <si>
    <t>Reja de hierro fundido con marco 15 x 15</t>
  </si>
  <si>
    <t>Reja de hierro fundido con marco 20 x 20</t>
  </si>
  <si>
    <t>Reja de hierro fundido con marco 25 x 25</t>
  </si>
  <si>
    <t>Reja de hierro fundido con marco 30 x 30</t>
  </si>
  <si>
    <t>REJAS DE HIERRO FUNDIDO CON MARCO</t>
  </si>
  <si>
    <t>Espiga 1/2 rosca hembra 1  polietileno</t>
  </si>
  <si>
    <t>Espiga 3/4 rosca hembra 1 polietileno</t>
  </si>
  <si>
    <t>4700/43A</t>
  </si>
  <si>
    <t>1610/12A</t>
  </si>
  <si>
    <t>Bulon para tapa camara de hierro</t>
  </si>
  <si>
    <t>4710/21B</t>
  </si>
  <si>
    <t>DESCARGA APOYO MCHILA ROCA ORIGINAL</t>
  </si>
  <si>
    <t>BASE PARA TANQUE</t>
  </si>
  <si>
    <t>1140/50</t>
  </si>
  <si>
    <t>1140/51</t>
  </si>
  <si>
    <t>1050/03a</t>
  </si>
  <si>
    <t>1050/03b</t>
  </si>
  <si>
    <t>1050/03c</t>
  </si>
  <si>
    <t>Brazo lluvia bronce 90° x 30 cm</t>
  </si>
  <si>
    <t>Brazo lluvia bronce 45° x 21 cm</t>
  </si>
  <si>
    <t>Brazo lluvia bronce 45° x 16 cm</t>
  </si>
  <si>
    <t>1117/04A</t>
  </si>
  <si>
    <t>Obturador para deposito universal con carga economico</t>
  </si>
  <si>
    <t>Arandela para brida de tanque 1 1/2</t>
  </si>
  <si>
    <t>Arandela para brida de tanque 2</t>
  </si>
  <si>
    <t>Arandela PVC plana agujero 1/2 para griferia</t>
  </si>
  <si>
    <t>Arandela PVC plana agujero 3/4 para griferia</t>
  </si>
  <si>
    <t>Arandela PVC conica agujero 1/2 para griferia</t>
  </si>
  <si>
    <t>Arandela PVC conica agujero 3/4 para griferia</t>
  </si>
  <si>
    <t>Arandela plastica 1/2</t>
  </si>
  <si>
    <t>Arandela plastica 3/4</t>
  </si>
  <si>
    <t xml:space="preserve">Arandela plastica 1 </t>
  </si>
  <si>
    <t>Arandela plastica 3/8</t>
  </si>
  <si>
    <t>Arandela plastica para cabezal 1/2</t>
  </si>
  <si>
    <t>Arandela plastica para cabezal 3/4</t>
  </si>
  <si>
    <t>Arandela plastica conica para flexible 1/2</t>
  </si>
  <si>
    <t>Arandela de goma para sopapa de 1 1/2 tipo o´ring</t>
  </si>
  <si>
    <t>Arandela de goma plana para sopapa 1 1/2</t>
  </si>
  <si>
    <t>Arandela de goma plana para sopapa 2</t>
  </si>
  <si>
    <t>Aalargue canilla cromo 1/2 x 3/4</t>
  </si>
  <si>
    <t xml:space="preserve">Aalargue canilla cromo 1/2 x 1 </t>
  </si>
  <si>
    <t>Niple conexión epoxi completo 1/2 x 8</t>
  </si>
  <si>
    <t>Niple conexión epoxi completo 1/2 x 15</t>
  </si>
  <si>
    <t>Niple conexión epoxi completo 3/4 x 8</t>
  </si>
  <si>
    <t>Niple conexión epoxi completo 3/4 x 15</t>
  </si>
  <si>
    <t>Niple conexión epoxi completo 1 x 8</t>
  </si>
  <si>
    <t>Niple conexión epoxi completo 1 x 15</t>
  </si>
  <si>
    <t>Lllave paso esferica 1/2</t>
  </si>
  <si>
    <t>Lllave paso esferica 3/4</t>
  </si>
  <si>
    <t xml:space="preserve">Lllave paso esferica 1 </t>
  </si>
  <si>
    <t>Lllave paso DUKE 1/2</t>
  </si>
  <si>
    <t>Lllave paso DUKE 3/4</t>
  </si>
  <si>
    <t xml:space="preserve">Lllave paso DUKE 1 </t>
  </si>
  <si>
    <t>Lllave paso DUKE 1 1/4</t>
  </si>
  <si>
    <t>Lllave paso DUKE 1 1/2</t>
  </si>
  <si>
    <t>Lllave paso DUKE 2</t>
  </si>
  <si>
    <t>Llave paso plastica 1/2</t>
  </si>
  <si>
    <t>Llave paso plastica 3/4</t>
  </si>
  <si>
    <t>Calefon plastico con resistencia de aluminio</t>
  </si>
  <si>
    <t>1180/06</t>
  </si>
  <si>
    <t>1180/07</t>
  </si>
  <si>
    <t>1350/29</t>
  </si>
  <si>
    <t>1350/30</t>
  </si>
  <si>
    <t>1350/31</t>
  </si>
  <si>
    <t>1350/32</t>
  </si>
  <si>
    <t>1350/33</t>
  </si>
  <si>
    <t>1460/31</t>
  </si>
  <si>
    <t>1460/32</t>
  </si>
  <si>
    <t>1460/33</t>
  </si>
  <si>
    <t>1480/13</t>
  </si>
  <si>
    <t>1480/14</t>
  </si>
  <si>
    <t>1480/15</t>
  </si>
  <si>
    <t>REJAS DE VENTILACION APROBADAS</t>
  </si>
  <si>
    <t>SOPAPAS DE BRONCE</t>
  </si>
  <si>
    <t>1540/09</t>
  </si>
  <si>
    <t>Sopapa PVC de 40 super</t>
  </si>
  <si>
    <t>1540/10</t>
  </si>
  <si>
    <t>Sopapa PVC de 50 super</t>
  </si>
  <si>
    <t>1540/11</t>
  </si>
  <si>
    <t>1540/12</t>
  </si>
  <si>
    <t>VALVULAS DE RETENCION PLASTICAS</t>
  </si>
  <si>
    <t>1660/06</t>
  </si>
  <si>
    <t>1660/07</t>
  </si>
  <si>
    <t>1660/08</t>
  </si>
  <si>
    <t>1660/09</t>
  </si>
  <si>
    <t>1660/10</t>
  </si>
  <si>
    <t>Valvula retencion plastica con canasto 3/4</t>
  </si>
  <si>
    <t xml:space="preserve">Valvula retencion plastica con canasto 1 </t>
  </si>
  <si>
    <t>Valvula retencion plastica con canasto 1 1/4</t>
  </si>
  <si>
    <t>Valvula retencion plastica con canasto 1 1/2</t>
  </si>
  <si>
    <t>Valvula retencion plastica con canasto 2</t>
  </si>
  <si>
    <t>1670/09</t>
  </si>
  <si>
    <t>Volante alegro</t>
  </si>
  <si>
    <t>ARTICULOS PLASTICOS VARIOS</t>
  </si>
  <si>
    <t>1110/05</t>
  </si>
  <si>
    <t>Codo de PVC para mezclador plastico</t>
  </si>
  <si>
    <t>1110/06</t>
  </si>
  <si>
    <t>Mezclador plastico con dos codos</t>
  </si>
  <si>
    <t>1110/07</t>
  </si>
  <si>
    <t>Union manguera riego 1/2 plastica</t>
  </si>
  <si>
    <t>Union manguera riego 3/4 plastica</t>
  </si>
  <si>
    <t>Union manguera riego 3/4 x 1/2 plastica</t>
  </si>
  <si>
    <t>1110/08</t>
  </si>
  <si>
    <t>1110/09</t>
  </si>
  <si>
    <t>Obturador EGEO deposito pared</t>
  </si>
  <si>
    <t>Obturador EGEO deposito mochila</t>
  </si>
  <si>
    <t>1170/03B</t>
  </si>
  <si>
    <t>Lluvia plastica para bidet tipo peirano</t>
  </si>
  <si>
    <t>SOPORTES PLASTICOS PARA ASIENTO INODORO</t>
  </si>
  <si>
    <t>1680/01</t>
  </si>
  <si>
    <t>1680/02</t>
  </si>
  <si>
    <t>1680/03</t>
  </si>
  <si>
    <t>VENTOSAS DESTAPA CAÑERIAS</t>
  </si>
  <si>
    <t>PIEZOELECTRICO ESTRELLITA</t>
  </si>
  <si>
    <t>1450/03</t>
  </si>
  <si>
    <t>Termocupla x 80 cm</t>
  </si>
  <si>
    <t>Termocupla x 90 cm</t>
  </si>
  <si>
    <t>Termocupla x 100 cm</t>
  </si>
  <si>
    <t>Termocupla x 110 cm</t>
  </si>
  <si>
    <t>Termocupla x 120 cm</t>
  </si>
  <si>
    <t>Termocupla x 130 cm</t>
  </si>
  <si>
    <t>Termocupla x 140 cm</t>
  </si>
  <si>
    <t>*CABEZAL LLAVE PASO 3/4"</t>
  </si>
  <si>
    <t>Codo HH 1/2 polipropileno</t>
  </si>
  <si>
    <t>Codo HH 3/4 polipropileno</t>
  </si>
  <si>
    <t>Codo HH 1  polipropileno</t>
  </si>
  <si>
    <t>Codo HH 1 1/4 polipropileno</t>
  </si>
  <si>
    <t>Codo HH 1 1/2 polipropileno</t>
  </si>
  <si>
    <t>Codo HH 2 polipropileno</t>
  </si>
  <si>
    <t>Codo MH 1/2 polipropileno</t>
  </si>
  <si>
    <t>Codo MH 3/4 polipropileno</t>
  </si>
  <si>
    <t>Codo MH 1  polipropileno</t>
  </si>
  <si>
    <t>Codo MH 1 1/4 polipropileno</t>
  </si>
  <si>
    <t>Codo MH 1 1/2 polipropileno</t>
  </si>
  <si>
    <t>Codo MH 2 polipropileno</t>
  </si>
  <si>
    <t>Codo 3/4 x 1/2 polipropileno</t>
  </si>
  <si>
    <t xml:space="preserve">LLAVES DE PASO ESFERICAS PLASTICAS DUKE      </t>
  </si>
  <si>
    <t xml:space="preserve">LLAVES DE PASO ESFERICAS  PLASTICAS ECONOMICAS          </t>
  </si>
  <si>
    <t xml:space="preserve">LLAVES DE PASO BRONCE CON VALVULITA         </t>
  </si>
  <si>
    <t xml:space="preserve">LLAVES DE PASO GAS APROBADAS   </t>
  </si>
  <si>
    <t xml:space="preserve">LLAVES DE PASO DE FUSION (VERDE)        </t>
  </si>
  <si>
    <t xml:space="preserve">LLAVINES PASO ESFERICO    </t>
  </si>
  <si>
    <t xml:space="preserve">MAQUINA DE TERMOFUSION         </t>
  </si>
  <si>
    <t xml:space="preserve">MANGUERA DE RIEGO         </t>
  </si>
  <si>
    <t xml:space="preserve">MANGUERAS PARA CARGA DE LAVARROPA        </t>
  </si>
  <si>
    <t xml:space="preserve">MANGUERA APROBADA PARA GAS       </t>
  </si>
  <si>
    <t xml:space="preserve">MANGUERAS PARA DESCARGA DE LAVARROPA          </t>
  </si>
  <si>
    <t>4700/73</t>
  </si>
  <si>
    <t>4700/74</t>
  </si>
  <si>
    <t>4700/75</t>
  </si>
  <si>
    <t>1420/01</t>
  </si>
  <si>
    <t>Tuerca de ajuste 1/4</t>
  </si>
  <si>
    <t>Tuerca de ajuste 1/8</t>
  </si>
  <si>
    <t>Tapa 3/8</t>
  </si>
  <si>
    <t>Tapa 1/4</t>
  </si>
  <si>
    <t>Tapa 1/8</t>
  </si>
  <si>
    <t>Tapon 3/8</t>
  </si>
  <si>
    <t>Tapon 1/4</t>
  </si>
  <si>
    <t>Tapon 1/8</t>
  </si>
  <si>
    <t>Tee toma goma 3/8</t>
  </si>
  <si>
    <t>Union manguera gas 3/8</t>
  </si>
  <si>
    <t>Virola 1/2</t>
  </si>
  <si>
    <t>Virola 3/8</t>
  </si>
  <si>
    <t>Virola 1/4</t>
  </si>
  <si>
    <t>Virola 1/8</t>
  </si>
  <si>
    <t>Manguera carga lavarropa x 200 cm</t>
  </si>
  <si>
    <t>1400/197</t>
  </si>
  <si>
    <t>1400/198</t>
  </si>
  <si>
    <t>1410/01</t>
  </si>
  <si>
    <t>1410/02</t>
  </si>
  <si>
    <t>Llave de paso bronce 1/2</t>
  </si>
  <si>
    <t>Llave de paso bronce 3/4</t>
  </si>
  <si>
    <t>Llave de paso bronce 1/2 con campana</t>
  </si>
  <si>
    <t>Llave de paso bronce 3/4 con campana</t>
  </si>
  <si>
    <t>Llave paso gas 1/2</t>
  </si>
  <si>
    <t>Llave paso gas 3/4</t>
  </si>
  <si>
    <t xml:space="preserve">Llave paso gas 1 </t>
  </si>
  <si>
    <t>Llave paso gas 1 1/4</t>
  </si>
  <si>
    <t>Llave paso gas 1 1/2</t>
  </si>
  <si>
    <t>Llave paso gas 2</t>
  </si>
  <si>
    <t>Llave paso gas 1/2 con campana</t>
  </si>
  <si>
    <t>Llave paso gas 3/4 con campana</t>
  </si>
  <si>
    <t>Llave paso gas candado 3/4</t>
  </si>
  <si>
    <t>Llave paso gas candado 1</t>
  </si>
  <si>
    <t>Minivalvula paso esferico MH 1/2</t>
  </si>
  <si>
    <t>Minivalvula paso esferico HH 3/8</t>
  </si>
  <si>
    <t>Minivalvula paso esferico MH 3/8</t>
  </si>
  <si>
    <t>Minivalvula paso esferico MM 3/8</t>
  </si>
  <si>
    <t>1400/138</t>
  </si>
  <si>
    <t>1400/139</t>
  </si>
  <si>
    <t>1400/140</t>
  </si>
  <si>
    <t>1400/145</t>
  </si>
  <si>
    <t>1400/146</t>
  </si>
  <si>
    <t>1400/147</t>
  </si>
  <si>
    <t>1400/148</t>
  </si>
  <si>
    <t>1400/149</t>
  </si>
  <si>
    <t>1400/150</t>
  </si>
  <si>
    <t>1400/151</t>
  </si>
  <si>
    <t>1400/152</t>
  </si>
  <si>
    <t>1400/153</t>
  </si>
  <si>
    <t>1400/154</t>
  </si>
  <si>
    <t>1400/155</t>
  </si>
  <si>
    <t>1400/156</t>
  </si>
  <si>
    <t>1400/157</t>
  </si>
  <si>
    <t>1400/158</t>
  </si>
  <si>
    <t>1400/159</t>
  </si>
  <si>
    <t xml:space="preserve">Llave paso plastica 1 </t>
  </si>
  <si>
    <t>Llave paso plastica 1 1/4</t>
  </si>
  <si>
    <t>Estaño del 33% x kg</t>
  </si>
  <si>
    <t>Estaño del 50% x kg</t>
  </si>
  <si>
    <t xml:space="preserve">ESTAÑO X KILO   </t>
  </si>
  <si>
    <t>Union doble c/inserto metalico macho 1/2 x 20 mm</t>
  </si>
  <si>
    <t>Union doble c/inserto metalico macho 3/4 x 25 mm</t>
  </si>
  <si>
    <t>Union doble c/inserto metalico macho 1 x 32 mm</t>
  </si>
  <si>
    <t>Union doble fusion fusion 20 mm</t>
  </si>
  <si>
    <t>Union doble fusion fusion 25 mm</t>
  </si>
  <si>
    <t>Union doble fusion fusion 32 mm</t>
  </si>
  <si>
    <t>Aalargue canilla cromo 1/2 x 1/2</t>
  </si>
  <si>
    <t>Grampa para lavatorio corta</t>
  </si>
  <si>
    <t>Grampa para lavatorio larga</t>
  </si>
  <si>
    <t>Grampa para lavatorio doble nervio</t>
  </si>
  <si>
    <t>Grampa para termotanque reforzada con tornillos</t>
  </si>
  <si>
    <t>Grampa media omega 1/4 para gas</t>
  </si>
  <si>
    <t>Grampa media omega 3/8 para gas</t>
  </si>
  <si>
    <t>Grampa media omega 1/2</t>
  </si>
  <si>
    <t>Grampa media omega 3/4</t>
  </si>
  <si>
    <t>1420/02</t>
  </si>
  <si>
    <t>1420/03</t>
  </si>
  <si>
    <t>1420/04</t>
  </si>
  <si>
    <t>1420/05</t>
  </si>
  <si>
    <t>1420/06</t>
  </si>
  <si>
    <t>1420/07</t>
  </si>
  <si>
    <t>1420/08</t>
  </si>
  <si>
    <t>1420/09</t>
  </si>
  <si>
    <t>1420/10</t>
  </si>
  <si>
    <t>1420/11</t>
  </si>
  <si>
    <t>1420/12</t>
  </si>
  <si>
    <t>1420/13</t>
  </si>
  <si>
    <t>Manija cromada para gas cuadrada 8 mm</t>
  </si>
  <si>
    <t>Minivalvula paso esferico HH 1/4</t>
  </si>
  <si>
    <t>Boya plastica para tanque 1/2</t>
  </si>
  <si>
    <t>Boya plastica para tanque 3/4</t>
  </si>
  <si>
    <t xml:space="preserve">Boya plastica para tanque 1 </t>
  </si>
  <si>
    <t>1330/11</t>
  </si>
  <si>
    <t>1330/12</t>
  </si>
  <si>
    <t>1330/13</t>
  </si>
  <si>
    <t>1330/14</t>
  </si>
  <si>
    <t>1330/15</t>
  </si>
  <si>
    <t>1330/16</t>
  </si>
  <si>
    <t>1330/17</t>
  </si>
  <si>
    <t>1330/18</t>
  </si>
  <si>
    <t>1330/19</t>
  </si>
  <si>
    <t>1330/20</t>
  </si>
  <si>
    <t>1340/01</t>
  </si>
  <si>
    <t>1340/02</t>
  </si>
  <si>
    <t>1340/03</t>
  </si>
  <si>
    <t>1340/04</t>
  </si>
  <si>
    <t>1340/05</t>
  </si>
  <si>
    <t>Barral toallero de bronce cromado</t>
  </si>
  <si>
    <t>Barral toallero estensible</t>
  </si>
  <si>
    <t>Barral toallero largo plastico</t>
  </si>
  <si>
    <t>Jabonera plastica</t>
  </si>
  <si>
    <t>Perchero simple plastico</t>
  </si>
  <si>
    <t>Portacepillo y vaso plastico</t>
  </si>
  <si>
    <t>Portarollo para baño plastico</t>
  </si>
  <si>
    <t>Toallero chico</t>
  </si>
  <si>
    <t>1350/10</t>
  </si>
  <si>
    <t>1350/11</t>
  </si>
  <si>
    <t>1350/13</t>
  </si>
  <si>
    <t>1350/14</t>
  </si>
  <si>
    <t>1350/15</t>
  </si>
  <si>
    <t>1350/16</t>
  </si>
  <si>
    <t>1350/17</t>
  </si>
  <si>
    <t>1350/18</t>
  </si>
  <si>
    <t>1350/19</t>
  </si>
  <si>
    <t>1350/20</t>
  </si>
  <si>
    <t>1350/21</t>
  </si>
  <si>
    <t>1350/22</t>
  </si>
  <si>
    <t>1350/23</t>
  </si>
  <si>
    <t>1350/24</t>
  </si>
  <si>
    <t>1350/25</t>
  </si>
  <si>
    <t>1350/26</t>
  </si>
  <si>
    <t>1350/27</t>
  </si>
  <si>
    <t>1350/28</t>
  </si>
  <si>
    <t>1380/11</t>
  </si>
  <si>
    <t>1380/12</t>
  </si>
  <si>
    <t>1380/13</t>
  </si>
  <si>
    <t>1380/14</t>
  </si>
  <si>
    <t>1380/15</t>
  </si>
  <si>
    <t>1510/02</t>
  </si>
  <si>
    <t>Bulon para tapa camara de bronce cromado</t>
  </si>
  <si>
    <t>Tornillo 5/32 x 1/4 de bronce para reja de piso</t>
  </si>
  <si>
    <t xml:space="preserve">*VALVULA ENTRADA AGUA PLASTICA 3/8" X 37 CM </t>
  </si>
  <si>
    <t xml:space="preserve">*VALVULA ENTRADA AGUA PLASTICA 3/8" X 33 CM </t>
  </si>
  <si>
    <t xml:space="preserve">*VALVULA ENTRADA AGUA PLASTICA 3/8" X 29 CM </t>
  </si>
  <si>
    <t xml:space="preserve">*VALVULA ENTRADA AGUA PLASTICA 3/8" X 22 CM </t>
  </si>
  <si>
    <t xml:space="preserve">*VALVULA ENTRADA AGUA PLASTICA 1/2" X 37 CM </t>
  </si>
  <si>
    <t xml:space="preserve">*VALVULA ENTRADA AGUA PLASTICA 1/2" X 33 CM </t>
  </si>
  <si>
    <t xml:space="preserve">*VALVULA ENTRADA AGUA PLASTICA 1/2" X 29 CM </t>
  </si>
  <si>
    <t xml:space="preserve">*VALVULA ENTRADA AGUA PLASTICA 1/2" X 22 CM </t>
  </si>
  <si>
    <t xml:space="preserve">Fuelle alargue 17 cm de goma para sifon </t>
  </si>
  <si>
    <t xml:space="preserve">Fuelle alargue 21 cm de goma para sifon </t>
  </si>
  <si>
    <t>TAPA CAMARA</t>
  </si>
  <si>
    <t xml:space="preserve">TEFLON COMUN Y DE ALTA DENSIDAD      </t>
  </si>
  <si>
    <t xml:space="preserve">TERMOCUPLAS Y ACCESORIOS        </t>
  </si>
  <si>
    <t>1260/09</t>
  </si>
  <si>
    <t>1260/10</t>
  </si>
  <si>
    <t>1390/07</t>
  </si>
  <si>
    <t>1390/08</t>
  </si>
  <si>
    <t>1390/09</t>
  </si>
  <si>
    <t>1390/10</t>
  </si>
  <si>
    <t>1460/27</t>
  </si>
  <si>
    <t>1460/28</t>
  </si>
  <si>
    <t>1460/29</t>
  </si>
  <si>
    <t>1460/30</t>
  </si>
  <si>
    <t>1640/06</t>
  </si>
  <si>
    <t>1640/07</t>
  </si>
  <si>
    <t>1640/08</t>
  </si>
  <si>
    <t>4729/92</t>
  </si>
  <si>
    <t>4729/98</t>
  </si>
  <si>
    <t>4730/01</t>
  </si>
  <si>
    <t>4730/04</t>
  </si>
  <si>
    <t>4730/10</t>
  </si>
  <si>
    <t>4730/15</t>
  </si>
  <si>
    <t>4730/23</t>
  </si>
  <si>
    <t>4730/20</t>
  </si>
  <si>
    <t>4730/25</t>
  </si>
  <si>
    <t>4730/26</t>
  </si>
  <si>
    <t>4720/20</t>
  </si>
  <si>
    <t>4720/21</t>
  </si>
  <si>
    <t>4720/22</t>
  </si>
  <si>
    <t>4720/24</t>
  </si>
  <si>
    <t>4720/16</t>
  </si>
  <si>
    <t>4720/30</t>
  </si>
  <si>
    <t>4689/80</t>
  </si>
  <si>
    <t>4690/01</t>
  </si>
  <si>
    <t>4690/14</t>
  </si>
  <si>
    <t>4690/16</t>
  </si>
  <si>
    <t>4690/17</t>
  </si>
  <si>
    <t>4690/18</t>
  </si>
  <si>
    <t>4690/20</t>
  </si>
  <si>
    <t>4691/30</t>
  </si>
  <si>
    <t>4691/32</t>
  </si>
  <si>
    <t>4691/34</t>
  </si>
  <si>
    <t>4691/36</t>
  </si>
  <si>
    <t>4691/40</t>
  </si>
  <si>
    <t>1300/06</t>
  </si>
  <si>
    <t>1300/07</t>
  </si>
  <si>
    <t>1300/08</t>
  </si>
  <si>
    <t>1300/09</t>
  </si>
  <si>
    <t>1300/10</t>
  </si>
  <si>
    <t>1300/11</t>
  </si>
  <si>
    <t>1300/12</t>
  </si>
  <si>
    <t>*PRECINTO C/GANCHOS LEVANTA FLAPPER</t>
  </si>
  <si>
    <t>*PRECINTO LEVANTA FLAPPER SERRUCHO FINO</t>
  </si>
  <si>
    <t>*PRECINTO LEVANTA FLAPPER SERRUCHO ANCHO</t>
  </si>
  <si>
    <t>*PUENTE DE FIJACION CORTO</t>
  </si>
  <si>
    <t>*PUENTE DE FIJACION LARGO</t>
  </si>
  <si>
    <t>*PUENTE DE FIJACION VERONA</t>
  </si>
  <si>
    <t>*TUERCA AJUSTE PLAST.ENTRADA AGUA DE 3/8"</t>
  </si>
  <si>
    <t>*TUERCA AJUSTE PLAST.ENTRADA AGUA DE 1/2"</t>
  </si>
  <si>
    <t>*TUERCA DE AJUSTE P/CODO CORTO</t>
  </si>
  <si>
    <t>*TUERCA DE AJUSTE P/CODO LARGO</t>
  </si>
  <si>
    <t>*TORNILLO PLASTICO P/MOCHILA</t>
  </si>
  <si>
    <t>*TORNILLO DE BRONCE P/MOCHILA</t>
  </si>
  <si>
    <t>*TORNILLO FENIX P/MOCHILA</t>
  </si>
  <si>
    <t>*VALVULA ENTRADA AGUA PLASTICA 3/8" ALT. REGULABLE</t>
  </si>
  <si>
    <t>*VALVULA ENTRADA AGUA PLASTICA 1/2" ALT. REGULABLE</t>
  </si>
  <si>
    <t>*VALVULA ENTRADA AGUA BRONCE 3/8" X 37 CM</t>
  </si>
  <si>
    <t>*VALVULA ENTRADA AGUA BRONCE 3/8" X 33 CM</t>
  </si>
  <si>
    <t>*VALVULA ENTRADA AGUA BRONCE 3/8" X 29 CM</t>
  </si>
  <si>
    <t>*VALVULA ENTRADA AGUA BRONCE 3/8" X 22 CM</t>
  </si>
  <si>
    <t>*VALVULA ENTRADA AGUA BRONCE 1/2" X 37 CM</t>
  </si>
  <si>
    <t>*VALVULA ENTRADA AGUA BRONCE 1/2" X 33 CM</t>
  </si>
  <si>
    <t>*VALVULA ENTRADA AGUA BRONCE 1/2" X 29 CM</t>
  </si>
  <si>
    <t>*VALVULA ENTRADA AGUA BRONCE 1/2" X 22 CM</t>
  </si>
  <si>
    <t>Ramal para lavatorio 1/2</t>
  </si>
  <si>
    <t>Reja de ventilacion esmaltada 15 x 15 amurar</t>
  </si>
  <si>
    <t>Reja de ventilacion esmaltada 15 x 30 amurar</t>
  </si>
  <si>
    <t>Reja de ventilacion esmaltada 20 x 20 amurar</t>
  </si>
  <si>
    <t>4700/78</t>
  </si>
  <si>
    <t>4700/77</t>
  </si>
  <si>
    <t>4700/79</t>
  </si>
  <si>
    <t>4700/84</t>
  </si>
  <si>
    <t xml:space="preserve">Grampa omega 3 </t>
  </si>
  <si>
    <t>Grampa omega 4</t>
  </si>
  <si>
    <t>Grampa omega 110</t>
  </si>
  <si>
    <t>1070/01</t>
  </si>
  <si>
    <t>1070/02</t>
  </si>
  <si>
    <t>1070/03</t>
  </si>
  <si>
    <t>1080/01</t>
  </si>
  <si>
    <t>1080/02</t>
  </si>
  <si>
    <t>1080/03</t>
  </si>
  <si>
    <t>1080/04</t>
  </si>
  <si>
    <t>1080/05</t>
  </si>
  <si>
    <t>1080/06</t>
  </si>
  <si>
    <t>1080/07</t>
  </si>
  <si>
    <t>1090/01</t>
  </si>
  <si>
    <t>1100/01</t>
  </si>
  <si>
    <t>1100/02</t>
  </si>
  <si>
    <t>1670/10</t>
  </si>
  <si>
    <t>Volante azabache cristal</t>
  </si>
  <si>
    <t>1360/33A</t>
  </si>
  <si>
    <t>1360/34A</t>
  </si>
  <si>
    <t>Tapon macho 1/2 bronce</t>
  </si>
  <si>
    <t>Tapon macho 3/4 bronce</t>
  </si>
  <si>
    <t>Tapon macho 1  bronce</t>
  </si>
  <si>
    <t>Tapon macho 1 1/4 bronce</t>
  </si>
  <si>
    <t>Tapon macho 1 1/2 bronce</t>
  </si>
  <si>
    <t>Tapon macho 2 bronce</t>
  </si>
  <si>
    <t>Codo HH 1/2 bronce</t>
  </si>
  <si>
    <t>Codo HH 3/4 bronce</t>
  </si>
  <si>
    <t>Codo HH 1  bronce</t>
  </si>
  <si>
    <t>Codo HH 1 1/4 bronce</t>
  </si>
  <si>
    <t>Codo HH 1 1/2 bronce</t>
  </si>
  <si>
    <t>4691/42</t>
  </si>
  <si>
    <t>4691/43</t>
  </si>
  <si>
    <t>4691/44</t>
  </si>
  <si>
    <t xml:space="preserve">Canilla doble para lavarropa metalica </t>
  </si>
  <si>
    <t>Estearina en panes x 220 g</t>
  </si>
  <si>
    <t>Cañamo x 20 g</t>
  </si>
  <si>
    <t>Sella rosca para gas en pomo x 190 cc</t>
  </si>
  <si>
    <t xml:space="preserve">Ramal para lavatorio 3/8 </t>
  </si>
  <si>
    <t>Chaveta con rosca</t>
  </si>
  <si>
    <t>Conexión cocina aluminio rigida trafilada completa</t>
  </si>
  <si>
    <t>Conexión comun para mochila</t>
  </si>
  <si>
    <t>Conexión fuelle para mochila</t>
  </si>
  <si>
    <t>Conexión fuelle PVC corto</t>
  </si>
  <si>
    <t>Conexión fuelle PVC largo</t>
  </si>
  <si>
    <t>Cupla de 1/2 para soldar plomo</t>
  </si>
  <si>
    <t>Cupla de 3/4 para soldar plomo</t>
  </si>
  <si>
    <t>Tubo macho de 1/2 para soldar plomo</t>
  </si>
  <si>
    <t>Tubo macho de 3/4 para soldar plomo</t>
  </si>
  <si>
    <t>Tee pipa 1/2 para soldar plomo</t>
  </si>
  <si>
    <t>Canilla para lavatorio pico levantado bronce cromado</t>
  </si>
  <si>
    <t>Canilla pico movil pared 1 agua bronce cromado</t>
  </si>
  <si>
    <t>Campana plastica ALEGRO FV</t>
  </si>
  <si>
    <t>Campana plastica CROMO Y (PEIRANO)</t>
  </si>
  <si>
    <t>Campana plastica CROMO Y (FV)</t>
  </si>
  <si>
    <t>Campana plastica FUNCIONAL PEIRANO</t>
  </si>
  <si>
    <t>Campana plastica para mesada FV</t>
  </si>
  <si>
    <t xml:space="preserve">BOYAS PARA DEPOSITOS ,TANQUES Y MOCHILAS DE PLASTICO     </t>
  </si>
  <si>
    <t xml:space="preserve">BRAZO Y LLUVIA ARTICULADA PLASTICA         </t>
  </si>
  <si>
    <t xml:space="preserve">Lluvia articulada plastica cromo </t>
  </si>
  <si>
    <t>1100/13</t>
  </si>
  <si>
    <t>1100/14</t>
  </si>
  <si>
    <t>1100/15</t>
  </si>
  <si>
    <t>1100/16</t>
  </si>
  <si>
    <t>1100/17</t>
  </si>
  <si>
    <t>1100/18</t>
  </si>
  <si>
    <t>1100/19</t>
  </si>
  <si>
    <t>1100/20</t>
  </si>
  <si>
    <t>1100/21</t>
  </si>
  <si>
    <t>1100/22</t>
  </si>
  <si>
    <t>1100/23</t>
  </si>
  <si>
    <t>1100/24</t>
  </si>
  <si>
    <t>1100/25</t>
  </si>
  <si>
    <t>1100/26</t>
  </si>
  <si>
    <t>1100/27</t>
  </si>
  <si>
    <t>1100/28</t>
  </si>
  <si>
    <t>1100/29</t>
  </si>
  <si>
    <t>1100/30</t>
  </si>
  <si>
    <t>1100/32</t>
  </si>
  <si>
    <t>1100/33</t>
  </si>
  <si>
    <t>1100/34</t>
  </si>
  <si>
    <t>1100/35</t>
  </si>
  <si>
    <t>1100/36</t>
  </si>
  <si>
    <t>1110/01</t>
  </si>
  <si>
    <t>1110/02</t>
  </si>
  <si>
    <t>1120/01</t>
  </si>
  <si>
    <t>1130/01</t>
  </si>
  <si>
    <t>1130/02</t>
  </si>
  <si>
    <t>1140/01</t>
  </si>
  <si>
    <t>1140/02</t>
  </si>
  <si>
    <t>1140/03</t>
  </si>
  <si>
    <t>1140/04</t>
  </si>
  <si>
    <t>1140/05</t>
  </si>
  <si>
    <t>1140/06</t>
  </si>
  <si>
    <t>1140/07</t>
  </si>
  <si>
    <t>1140/08</t>
  </si>
  <si>
    <t>1140/09</t>
  </si>
  <si>
    <t>1140/10</t>
  </si>
  <si>
    <t>1140/11</t>
  </si>
  <si>
    <t>1140/12</t>
  </si>
  <si>
    <t>Brazo cabeza bronce largo</t>
  </si>
  <si>
    <t>Brazo con buje para boton redondo FERRUM</t>
  </si>
  <si>
    <t>Brazo corto para deposito FRANKLIN</t>
  </si>
  <si>
    <t>Brazo largo para deposito FRANKLIN</t>
  </si>
  <si>
    <t>Balancin de bronce solo para deposito cadena IDEAL</t>
  </si>
  <si>
    <t>Balancin de bronce completo para deposito cadena IDEAL</t>
  </si>
  <si>
    <t>Balancin de bronce solo para deposito cadena FRANKLIN</t>
  </si>
  <si>
    <t>Balancin de bronce completo para deposito cadena FRANKLIN</t>
  </si>
  <si>
    <t>Brazo balancin plastico completo IDEAL</t>
  </si>
  <si>
    <t>Brazo actual FLUMAX</t>
  </si>
  <si>
    <t>Brazo con forma IDEAL</t>
  </si>
  <si>
    <t xml:space="preserve">Boton de bronce corto cromado </t>
  </si>
  <si>
    <t>Boton de bronce largo cromado</t>
  </si>
  <si>
    <t>Flexible mallado 3/4 x 50 cm</t>
  </si>
  <si>
    <t>Flexible de cobre 1/2 x 20</t>
  </si>
  <si>
    <t>Flexible de cobre 1/2 x 25</t>
  </si>
  <si>
    <t>Flexible de cobre 1/2 x 30</t>
  </si>
  <si>
    <t>Flexible de cobre 1/2 x 35</t>
  </si>
  <si>
    <t>Flexible de cobre 1/2 x 40</t>
  </si>
  <si>
    <t>Flexible de cobre 1/2 x 50</t>
  </si>
  <si>
    <t xml:space="preserve">ACCESORIOS DE POLIETILENO                </t>
  </si>
  <si>
    <t xml:space="preserve">BOYAS PARA DEPOSITOS Y TANQUES DE TELGOPOR            </t>
  </si>
  <si>
    <t xml:space="preserve">CONEXIÓN COCINA DE ALUMINO      </t>
  </si>
  <si>
    <t>1640/09</t>
  </si>
  <si>
    <t>Union reductora 1/2 x 1/2</t>
  </si>
  <si>
    <t>1640/06A</t>
  </si>
  <si>
    <t>Union reductora 1/2 x 3/8 conica</t>
  </si>
  <si>
    <t>Tee 2 x 1 1/2 bronce</t>
  </si>
  <si>
    <t>Tee 2 x 1 1/4  bronce</t>
  </si>
  <si>
    <t>Tee 2 x 1 bronce</t>
  </si>
  <si>
    <t>Tee 2 x 3/4 bronce</t>
  </si>
  <si>
    <t>1000/69</t>
  </si>
  <si>
    <t>1000/70</t>
  </si>
  <si>
    <t>1000/71</t>
  </si>
  <si>
    <t>1000/72</t>
  </si>
  <si>
    <t>1000/73</t>
  </si>
  <si>
    <t>1000/74</t>
  </si>
  <si>
    <t>1000/75</t>
  </si>
  <si>
    <t>1000/76</t>
  </si>
  <si>
    <t>1000/77</t>
  </si>
  <si>
    <t>1000/78</t>
  </si>
  <si>
    <t>1000/79</t>
  </si>
  <si>
    <t>1000/80</t>
  </si>
  <si>
    <t>1000/81</t>
  </si>
  <si>
    <t>1000/82</t>
  </si>
  <si>
    <t>1000/83</t>
  </si>
  <si>
    <t>1000/84</t>
  </si>
  <si>
    <t>1000/85</t>
  </si>
  <si>
    <t>1000/86</t>
  </si>
  <si>
    <t>1000/87</t>
  </si>
  <si>
    <t>1000/88</t>
  </si>
  <si>
    <t>1000/89</t>
  </si>
  <si>
    <t>1000/90</t>
  </si>
  <si>
    <t>1000/91</t>
  </si>
  <si>
    <t>1000/92</t>
  </si>
  <si>
    <t>1000/93</t>
  </si>
  <si>
    <t>1000/94</t>
  </si>
  <si>
    <t>1000/95</t>
  </si>
  <si>
    <t>1000/96</t>
  </si>
  <si>
    <t>1000/97</t>
  </si>
  <si>
    <t>1000/98</t>
  </si>
  <si>
    <t>1000/99</t>
  </si>
  <si>
    <t>1000/100</t>
  </si>
  <si>
    <t>1000/101</t>
  </si>
  <si>
    <t>1000/102</t>
  </si>
  <si>
    <t>1000/103</t>
  </si>
  <si>
    <t>1000/104</t>
  </si>
  <si>
    <t>1000/105</t>
  </si>
  <si>
    <t>1000/106</t>
  </si>
  <si>
    <t>1000/107</t>
  </si>
  <si>
    <t>1000/108</t>
  </si>
  <si>
    <t>1000/109</t>
  </si>
  <si>
    <t>1000/110</t>
  </si>
  <si>
    <t>1000/111</t>
  </si>
  <si>
    <t>1000/112</t>
  </si>
  <si>
    <t>1000/113</t>
  </si>
  <si>
    <t>1010/01</t>
  </si>
  <si>
    <t>Codo 20 mm</t>
  </si>
  <si>
    <t>Codo 25 mm</t>
  </si>
  <si>
    <t>Codo 32 mm</t>
  </si>
  <si>
    <t>Codo 45° 20 mm</t>
  </si>
  <si>
    <t>Codo 45° 25 mm</t>
  </si>
  <si>
    <t>Codo 45° 32 mm</t>
  </si>
  <si>
    <t>Cupla 20 mm</t>
  </si>
  <si>
    <t xml:space="preserve">CAÑO ALUMINIO         </t>
  </si>
  <si>
    <t xml:space="preserve">CAÑOS PLASTICOS PARA BAJADA DE DEPOSITO   </t>
  </si>
  <si>
    <t xml:space="preserve">CAÑOS PARA TERMOFUSION (VERDE)    </t>
  </si>
  <si>
    <t xml:space="preserve">CARTUCHO PARA MONOCOMANDO             </t>
  </si>
  <si>
    <t xml:space="preserve">CHAVETAS VARIAS                  </t>
  </si>
  <si>
    <t xml:space="preserve">CONEXIONES FUELLE DE GOMA             </t>
  </si>
  <si>
    <t xml:space="preserve">CONEXIONES FUELLE DE PVC       </t>
  </si>
  <si>
    <t>Conexión PVC esquel comun</t>
  </si>
  <si>
    <t xml:space="preserve">CONO PARA DEPOSITO GASTADO          </t>
  </si>
  <si>
    <t xml:space="preserve">CUPLAS Y TUBOS PARA SOLDAR PLOMO    </t>
  </si>
  <si>
    <t>4700/68A</t>
  </si>
  <si>
    <t>1460/06</t>
  </si>
  <si>
    <t>1460/07</t>
  </si>
  <si>
    <t>1460/10</t>
  </si>
  <si>
    <t>1460/11</t>
  </si>
  <si>
    <t>1460/12</t>
  </si>
  <si>
    <t>1460/13</t>
  </si>
  <si>
    <t>1460/14</t>
  </si>
  <si>
    <t>1460/15</t>
  </si>
  <si>
    <t>1460/16</t>
  </si>
  <si>
    <t>1460/18</t>
  </si>
  <si>
    <t>1460/19</t>
  </si>
  <si>
    <t>1460/20</t>
  </si>
  <si>
    <t>1100/03A</t>
  </si>
  <si>
    <t>Arandela ajuste plastica cromada para tapa LA PALANQUITA</t>
  </si>
  <si>
    <t>Aro base de PVC para inodoro</t>
  </si>
  <si>
    <t>1480/10</t>
  </si>
  <si>
    <t>1480/11</t>
  </si>
  <si>
    <t>2090/1</t>
  </si>
  <si>
    <t>2090/2</t>
  </si>
  <si>
    <t>CABEZAL PIAZZA VASTAGO 10MM MAS LARGO</t>
  </si>
  <si>
    <t>2097/1</t>
  </si>
  <si>
    <t>2099/1</t>
  </si>
  <si>
    <t>CABEZAL FV CORONADO TRANSF. BIDET VASTAGO LARGO</t>
  </si>
  <si>
    <t>2100/1</t>
  </si>
  <si>
    <t>CABEZAL FV CORONADO TRANSF. LLUVIA VASTAGO CORTO</t>
  </si>
  <si>
    <t>2112/1</t>
  </si>
  <si>
    <t>CABEZAL PIAZZA TRANSF. LLUVIA VASTAGO CORTO</t>
  </si>
  <si>
    <t>2113/1</t>
  </si>
  <si>
    <t>2113/2</t>
  </si>
  <si>
    <t>CABEZAL PIAZZA TRANSF. LLUVIA, BIDET ANTIGUO</t>
  </si>
  <si>
    <t>2114/1</t>
  </si>
  <si>
    <t>2114/2</t>
  </si>
  <si>
    <t>2115/1</t>
  </si>
  <si>
    <t>CABEZAL PIAZZA CAMPANA 24 HILOS TRANSF. BIDET</t>
  </si>
  <si>
    <t>2115/2</t>
  </si>
  <si>
    <t>CABEZAL PIAZZA TRANSF. LLUVIA VASTAGO LARGO</t>
  </si>
  <si>
    <t>2116/1</t>
  </si>
  <si>
    <t>CABEZAL PIAZZA CON ASIENTO DE 1/2</t>
  </si>
  <si>
    <t>CABEZAL FV LLAVE PASO 1 CON VOLANTE CRUZ BRONCE</t>
  </si>
  <si>
    <t>2183/1</t>
  </si>
  <si>
    <t>CABEZAL FV TRANSF. BIDET A PISTON PARA LINEA ARIZONA</t>
  </si>
  <si>
    <t>CABEZAL ARTESANAL TRANSF. LLUVIA ESTRIA FINA</t>
  </si>
  <si>
    <t>CABEZAL ARTESANAL LARGO REEMPLAZA CIERRE CERAMICO</t>
  </si>
  <si>
    <t>3014/1</t>
  </si>
  <si>
    <t>CABEZAL ARTESANAL TRANSFERENCIA ESTRIA FINA</t>
  </si>
  <si>
    <t>CABEZAL ROCA LINEA VIEJA MESADA,LAVATORIO, LAT. DUCHA ESTRIA GRUESA</t>
  </si>
  <si>
    <t>CABEZAL ROCA LINEA VIEJA MESADA,LAVATORIO, LAT. DUCHA ESTRIA FINA</t>
  </si>
  <si>
    <t>CABEZAL LLAVE PASO 3/4 ROSCA CAMPANA 1 X 19 HILOS</t>
  </si>
  <si>
    <t>CABEZAL LLAVE PASO 3/4 ROSCA CAMPANA 1 X 24 HILOS</t>
  </si>
  <si>
    <t>3020/1</t>
  </si>
  <si>
    <t>3021/1</t>
  </si>
  <si>
    <t>3021/2</t>
  </si>
  <si>
    <t>CABEZAL LLAVE PASO ROSCA CAMPANA 1/2 14 HILOS</t>
  </si>
  <si>
    <t>CABEZAL LLAVE PASO ROSCA CAMPANA 3/4 14 HILOS</t>
  </si>
  <si>
    <t>CABEZAL LA TOSCANA TRANSF. BIDET</t>
  </si>
  <si>
    <t>CABEZAL PEIRANO NUEVO QUEIJA ESTRIA FINA</t>
  </si>
  <si>
    <t>3035/1</t>
  </si>
  <si>
    <t>Automatico para tanque a tanza (Economico)</t>
  </si>
  <si>
    <t>Automatico para tanque 15 amperes (Super)</t>
  </si>
  <si>
    <t>Brazo regulable para entrada de agua CAPEA-FERRUM</t>
  </si>
  <si>
    <t>Aro base de PVC regulable para inodoro</t>
  </si>
  <si>
    <t>ASIENTOS PARA INODOROS DE MADERA LAQUEADA</t>
  </si>
  <si>
    <t>1120/02</t>
  </si>
  <si>
    <t>Asiento inodoro madera herraje bronce</t>
  </si>
  <si>
    <t>1150/01A</t>
  </si>
  <si>
    <t>1150/01B</t>
  </si>
  <si>
    <t>Pulsador de bronce corto para boton</t>
  </si>
  <si>
    <t>Pulsador de bronce largo para boton</t>
  </si>
  <si>
    <t>1170/04</t>
  </si>
  <si>
    <t>1170/05</t>
  </si>
  <si>
    <t>Calefon chapa con resistencia de aluminio</t>
  </si>
  <si>
    <t>1180/08</t>
  </si>
  <si>
    <t>1180/09</t>
  </si>
  <si>
    <t>1180/10</t>
  </si>
  <si>
    <t>Calefon acero inoxidable con resistencia aluminio</t>
  </si>
  <si>
    <t>Resistencia de aluminio</t>
  </si>
  <si>
    <t>Resistencia de bronce</t>
  </si>
  <si>
    <t>1170/03A</t>
  </si>
  <si>
    <t>Niples de polipropileno 1/2 x 5</t>
  </si>
  <si>
    <t>Niples de polipropileno 1/2 x 8</t>
  </si>
  <si>
    <t>Niples de polipropileno 1/2 x 10</t>
  </si>
  <si>
    <t>Niples de polipropileno 1/2 x 12</t>
  </si>
  <si>
    <t>Niples de polipropileno 1/2 x 15</t>
  </si>
  <si>
    <t>Niples de polipropileno 1/2 x 20</t>
  </si>
  <si>
    <t>Niples de polipropileno 1/2 x 25</t>
  </si>
  <si>
    <t>Niples de polipropileno 1/2 x 30</t>
  </si>
  <si>
    <t>Niples de polipropileno 3/4 x 5</t>
  </si>
  <si>
    <t>Niples de polipropileno 3/4 x 8</t>
  </si>
  <si>
    <t>Cupla 25 mm</t>
  </si>
  <si>
    <t>Cupla 32 mm</t>
  </si>
  <si>
    <t>Tee 1/2 Epoxi</t>
  </si>
  <si>
    <t>Tee 3/4 Epoxi</t>
  </si>
  <si>
    <t>Tee 1  Epoxi</t>
  </si>
  <si>
    <t>Tee reduccion 3/4 x 1/2 Epoxi</t>
  </si>
  <si>
    <t>Tee reduccion 1 x 3/4 Epoxi</t>
  </si>
  <si>
    <t>Tee reduccion 1 x 1/2 Epoxi</t>
  </si>
  <si>
    <t>Buje 3/4 x 1/2 Epoxi</t>
  </si>
  <si>
    <t>Buje 1 x 3/4 Epoxi</t>
  </si>
  <si>
    <t>Buje 1 x 1/2 Epoxi</t>
  </si>
  <si>
    <t>Cruz 1/2 Epoxi</t>
  </si>
  <si>
    <t>Cruz 3/4 Epoxi</t>
  </si>
  <si>
    <t>Cruz 1  Epoxi</t>
  </si>
  <si>
    <t>Cupla reduccion 3/4 x 1/2 Epoxi</t>
  </si>
  <si>
    <t>Cupla reduccion 1 x 3/4 Epoxi</t>
  </si>
  <si>
    <t>Cupla reduccion 1 x 1/2 Epoxi</t>
  </si>
  <si>
    <t>Rosca con tuerca 1/2 Epoxi</t>
  </si>
  <si>
    <t>Rosca con tuerca 3/4 Epoxi</t>
  </si>
  <si>
    <t>Rosca con tuerca 1  Epoxi</t>
  </si>
  <si>
    <t xml:space="preserve">ACCESORIOS PARA GAS BRONCE TRAFILADO             </t>
  </si>
  <si>
    <t xml:space="preserve">ACCESORIOS DE POLIPROPILENO                </t>
  </si>
  <si>
    <t>Rosca con tuerca 1/2 polipropileno</t>
  </si>
  <si>
    <t>Rosca con tuerca 3/4 polipropileno</t>
  </si>
  <si>
    <t>Rosca con tuerca 1  polipropileno</t>
  </si>
  <si>
    <t>Rosca con tuerca 1 1/4 polipropileno</t>
  </si>
  <si>
    <t>Rosca con tuerca 1 1/2  polipropileno</t>
  </si>
  <si>
    <t>Rosca con tuerca 2 polipropileno</t>
  </si>
  <si>
    <t>Rosca con tuerca 3/4 x 1/2 polipropileno</t>
  </si>
  <si>
    <t>Rosca con tuerca 1 x 3/4 polipropileno</t>
  </si>
  <si>
    <t>Rosca con tuerca 1 x 1/2 polipropileno</t>
  </si>
  <si>
    <t>Cupla 1/2 polipropileno</t>
  </si>
  <si>
    <t>Cupla 3/4 polipropileno</t>
  </si>
  <si>
    <t>Cupla 1  polipropileno</t>
  </si>
  <si>
    <t>Cupla 1 1/4 polipropileno</t>
  </si>
  <si>
    <t>Cupla 1 1/2 polipropileno</t>
  </si>
  <si>
    <t>Cupla 2 polipropileno</t>
  </si>
  <si>
    <t>Cupla 1/2 x 3/8 polipropileno</t>
  </si>
  <si>
    <t>Cupla 3/4 x 1/2 polipropileno</t>
  </si>
  <si>
    <t>Cupla 1 x 3/4 polipropileno</t>
  </si>
  <si>
    <t>Cupla 1 x 1/2 polipropileno</t>
  </si>
  <si>
    <t>Cupla 1 1/4 x 1 polipropileno</t>
  </si>
  <si>
    <t>Brida 1/2 polipropileno</t>
  </si>
  <si>
    <t>Brida 3/4 polipropileno</t>
  </si>
  <si>
    <t>Brida 1  polipropileno</t>
  </si>
  <si>
    <t>Brida 1 1/4 polipropileno</t>
  </si>
  <si>
    <t>1030/94</t>
  </si>
  <si>
    <t>1030/95</t>
  </si>
  <si>
    <t>1030/96</t>
  </si>
  <si>
    <t>1030/97</t>
  </si>
  <si>
    <t>1030/98</t>
  </si>
  <si>
    <t>1030/99</t>
  </si>
  <si>
    <t>1030/100</t>
  </si>
  <si>
    <t>1040/01</t>
  </si>
  <si>
    <t>1040/02</t>
  </si>
  <si>
    <t>1040/03</t>
  </si>
  <si>
    <t>1040/04</t>
  </si>
  <si>
    <t>1040/05</t>
  </si>
  <si>
    <t>1040/06</t>
  </si>
  <si>
    <t>1040/07</t>
  </si>
  <si>
    <t>1400/89</t>
  </si>
  <si>
    <t>1400/90</t>
  </si>
  <si>
    <t>1400/91</t>
  </si>
  <si>
    <t>1400/92</t>
  </si>
  <si>
    <t>Manguera carga lavarropa x 250 cm</t>
  </si>
  <si>
    <t>Manguera carga lavarropa x 300 cm</t>
  </si>
  <si>
    <t>Manguera descarga lavarropa x 120 cm</t>
  </si>
  <si>
    <t>Manguera descarga lavarropa x 250 cm</t>
  </si>
  <si>
    <t>Manguera descarga lavarropa x 180 cm</t>
  </si>
  <si>
    <t>Nicho con puerta de chapa aprobada 40 x 50</t>
  </si>
  <si>
    <t>Nicho con puerta de chapa aprobada 40 x 60</t>
  </si>
  <si>
    <t>Nicho con puerta de chapa aprobada 45 x 65</t>
  </si>
  <si>
    <t>Nicho con puerta de chapa aprobada 27 x 65</t>
  </si>
  <si>
    <t>Puerta de chapa aprobada 40 x 50</t>
  </si>
  <si>
    <t>Puerta de chapa aprobada 40 x 60</t>
  </si>
  <si>
    <t>Puerta de chapa aprobada 45 x 65</t>
  </si>
  <si>
    <t>Puerta de chapa aprobada 27 x 65</t>
  </si>
  <si>
    <t>Union reductora 1/2 x 3/8</t>
  </si>
  <si>
    <t>Union reductora 3/4 x 1/2</t>
  </si>
  <si>
    <t>Union reductora 3/4 x 3/8</t>
  </si>
  <si>
    <t xml:space="preserve">Cono para deposito gastado chico </t>
  </si>
  <si>
    <t>Cono para deposito gastado grande</t>
  </si>
  <si>
    <t>1400/175</t>
  </si>
  <si>
    <t>1400/176</t>
  </si>
  <si>
    <t>1400/177</t>
  </si>
  <si>
    <t>1400/178</t>
  </si>
  <si>
    <t>1400/179</t>
  </si>
  <si>
    <t>1400/180</t>
  </si>
  <si>
    <t>1400/181</t>
  </si>
  <si>
    <t>1400/182</t>
  </si>
  <si>
    <t>1400/183</t>
  </si>
  <si>
    <t>1400/184</t>
  </si>
  <si>
    <t>1400/185</t>
  </si>
  <si>
    <t>1400/186</t>
  </si>
  <si>
    <t>1400/187</t>
  </si>
  <si>
    <t>1400/188</t>
  </si>
  <si>
    <t>1400/189</t>
  </si>
  <si>
    <t>1400/190</t>
  </si>
  <si>
    <t>1400/191</t>
  </si>
  <si>
    <t>1400/192</t>
  </si>
  <si>
    <t>1400/193</t>
  </si>
  <si>
    <t>1400/194</t>
  </si>
  <si>
    <t>1400/195</t>
  </si>
  <si>
    <t>1400/196</t>
  </si>
  <si>
    <t>Nuez invertida para brazo de lluvia</t>
  </si>
  <si>
    <t>Obturador para mochila con alambre</t>
  </si>
  <si>
    <t>Obturador para mochila con gancho</t>
  </si>
  <si>
    <t>1420/14</t>
  </si>
  <si>
    <t>1430/01</t>
  </si>
  <si>
    <t>1440/01</t>
  </si>
  <si>
    <t>1440/02</t>
  </si>
  <si>
    <t>1440/03</t>
  </si>
  <si>
    <t>1440/04</t>
  </si>
  <si>
    <t>1450/01</t>
  </si>
  <si>
    <t>1450/02</t>
  </si>
  <si>
    <t>1460/01</t>
  </si>
  <si>
    <t>1460/02</t>
  </si>
  <si>
    <t>1460/03</t>
  </si>
  <si>
    <t>1460/04</t>
  </si>
  <si>
    <t>1460/05</t>
  </si>
  <si>
    <t>1050/09</t>
  </si>
  <si>
    <t>1050/10</t>
  </si>
  <si>
    <t>1050/11</t>
  </si>
  <si>
    <t>1050/12</t>
  </si>
  <si>
    <t>1050/13</t>
  </si>
  <si>
    <t>1050/14</t>
  </si>
  <si>
    <t>1050/15</t>
  </si>
  <si>
    <t>1050/16</t>
  </si>
  <si>
    <t>1050/17</t>
  </si>
  <si>
    <t>1050/18</t>
  </si>
  <si>
    <t>1050/19</t>
  </si>
  <si>
    <t>1050/20</t>
  </si>
  <si>
    <t>1050/21</t>
  </si>
  <si>
    <t>1050/22</t>
  </si>
  <si>
    <t>1050/23</t>
  </si>
  <si>
    <t>1050/24</t>
  </si>
  <si>
    <t>1050/25</t>
  </si>
  <si>
    <t>1050/26</t>
  </si>
  <si>
    <t>1050/27</t>
  </si>
  <si>
    <t>1050/28</t>
  </si>
  <si>
    <t>1050/29</t>
  </si>
  <si>
    <t>1050/30</t>
  </si>
  <si>
    <t>1050/31</t>
  </si>
  <si>
    <t>1050/32</t>
  </si>
  <si>
    <t>1050/33</t>
  </si>
  <si>
    <t>1050/34</t>
  </si>
  <si>
    <t>1050/35</t>
  </si>
  <si>
    <t>1050/36</t>
  </si>
  <si>
    <t>1050/37</t>
  </si>
  <si>
    <t>1050/38</t>
  </si>
  <si>
    <t>1050/39</t>
  </si>
  <si>
    <t>1050/40</t>
  </si>
  <si>
    <t>1050/41</t>
  </si>
  <si>
    <t>1050/42</t>
  </si>
  <si>
    <t>1050/43</t>
  </si>
  <si>
    <t>1050/44</t>
  </si>
  <si>
    <t>1050/45</t>
  </si>
  <si>
    <t>1050/46</t>
  </si>
  <si>
    <t>1050/47</t>
  </si>
  <si>
    <t>1050/48</t>
  </si>
  <si>
    <t>1050/49</t>
  </si>
  <si>
    <t>1050/50</t>
  </si>
  <si>
    <t>1050/51</t>
  </si>
  <si>
    <t>1050/52</t>
  </si>
  <si>
    <t>1050/53</t>
  </si>
  <si>
    <t>1050/54</t>
  </si>
  <si>
    <t>1050/55</t>
  </si>
  <si>
    <t>1050/56</t>
  </si>
  <si>
    <t>1050/57</t>
  </si>
  <si>
    <t>1050/58</t>
  </si>
  <si>
    <t>1050/59</t>
  </si>
  <si>
    <t>1050/60</t>
  </si>
  <si>
    <t>1050/61</t>
  </si>
  <si>
    <t>1050/62</t>
  </si>
  <si>
    <t>1050/63</t>
  </si>
  <si>
    <t>1050/64</t>
  </si>
  <si>
    <t>Aalargue canilla cromo 1/2 x 1 1/4</t>
  </si>
  <si>
    <t>Aalargue canilla cromo 1/2 x 1 1/2</t>
  </si>
  <si>
    <t xml:space="preserve">Aalargue canilla cromo 1/2 x 2 </t>
  </si>
  <si>
    <t>Aalargue canilla cromo 3/4 x 1</t>
  </si>
  <si>
    <t>Alargue o prolongador de griferia para mesada</t>
  </si>
  <si>
    <t>Arandela ajuste plastica cromada para tapa ideal</t>
  </si>
  <si>
    <t>Arandela fibra 1/2 fina</t>
  </si>
  <si>
    <t>Arandela fibra 1/2 ancha</t>
  </si>
  <si>
    <t>Arandela fibra 3/4 fina</t>
  </si>
  <si>
    <t>Arandela fibra 3/4 ancha</t>
  </si>
  <si>
    <t>Tee 2 x 1/2 bronce</t>
  </si>
  <si>
    <t>Curva MH 45° 1/2 bronce</t>
  </si>
  <si>
    <t>Curva MH 45° 3/4 bronce</t>
  </si>
  <si>
    <t>Curva MH 45° 1  bronce</t>
  </si>
  <si>
    <t>Curva HH 45° 1/2 bronce</t>
  </si>
  <si>
    <t>Curva HH 45° 3/4 bronce</t>
  </si>
  <si>
    <t>Curva HH 45° 1  bronce</t>
  </si>
  <si>
    <t>Curva HH 90° 1/2 bronce</t>
  </si>
  <si>
    <t>Curva HH 90° 3/4 bronce</t>
  </si>
  <si>
    <t>Curva HH 90° 1  bronce</t>
  </si>
  <si>
    <t>Curva MH 90° 1/2 bronce</t>
  </si>
  <si>
    <t>Curva MH 90° 3/4 bronce</t>
  </si>
  <si>
    <t>Curva MH 90° 1  bronce</t>
  </si>
  <si>
    <t>Union doble 1/2 bronce</t>
  </si>
  <si>
    <t>Union doble 3/4 bronce</t>
  </si>
  <si>
    <t>Union doble 1  bronce</t>
  </si>
  <si>
    <t>Union doble 1 1/4 bronce</t>
  </si>
  <si>
    <t>Union doble 1 1/2 bronce</t>
  </si>
  <si>
    <t>Union doble 2 bronce</t>
  </si>
  <si>
    <t>Curva MH 90° 1/2 Epoxi</t>
  </si>
  <si>
    <t>Curva MH 90° 3/4 Epoxi</t>
  </si>
  <si>
    <t>Curva MH 90° 1  Epoxi</t>
  </si>
  <si>
    <t>Curva HH 90° 1/2 Epoxi</t>
  </si>
  <si>
    <t>Curva HH 90° 3/4 Epoxi</t>
  </si>
  <si>
    <t>Curva HH 90° 1  Epoxi</t>
  </si>
  <si>
    <t>Curva MH 45° 1/2 Epoxi</t>
  </si>
  <si>
    <t>Curva MH 45° 3/4 Epoxi</t>
  </si>
  <si>
    <t>Curva HH 45° 1/2 Epoxi</t>
  </si>
  <si>
    <t>Curva HH 45° 3/4 Epoxi</t>
  </si>
  <si>
    <t>Curva HH 45° 1 Epoxi</t>
  </si>
  <si>
    <t>Codo HH 1/2 Epoxi</t>
  </si>
  <si>
    <t>Codo HH 3/4 Epoxi</t>
  </si>
  <si>
    <t>Codo HH 1  Epoxi</t>
  </si>
  <si>
    <t>Codo MH 1/2 Epoxi</t>
  </si>
  <si>
    <t>Codo MH 3/4 Epoxi</t>
  </si>
  <si>
    <t>Codo MH 1  Epoxi</t>
  </si>
  <si>
    <t>1050/66</t>
  </si>
  <si>
    <t>1050/67</t>
  </si>
  <si>
    <t>1050/68</t>
  </si>
  <si>
    <t>1050/69</t>
  </si>
  <si>
    <t>1050/70</t>
  </si>
  <si>
    <t>1050/71</t>
  </si>
  <si>
    <t>1050/72</t>
  </si>
  <si>
    <t>1050/73</t>
  </si>
  <si>
    <t>1050/74</t>
  </si>
  <si>
    <t>1050/75</t>
  </si>
  <si>
    <t>1050/76</t>
  </si>
  <si>
    <t>1050/77</t>
  </si>
  <si>
    <t>1050/78</t>
  </si>
  <si>
    <t>1050/79</t>
  </si>
  <si>
    <t>1050/80</t>
  </si>
  <si>
    <t>1050/81</t>
  </si>
  <si>
    <t>1050/82</t>
  </si>
  <si>
    <t>1050/83</t>
  </si>
  <si>
    <t>1050/84</t>
  </si>
  <si>
    <t>1050/85</t>
  </si>
  <si>
    <t>1050/86</t>
  </si>
  <si>
    <t>1050/87</t>
  </si>
  <si>
    <t>1050/88</t>
  </si>
  <si>
    <t>1050/89</t>
  </si>
  <si>
    <t>1050/90</t>
  </si>
  <si>
    <t>1050/91</t>
  </si>
  <si>
    <t>1050/92</t>
  </si>
  <si>
    <t>1050/93</t>
  </si>
  <si>
    <t>1050/94</t>
  </si>
  <si>
    <t>1050/95</t>
  </si>
  <si>
    <t>1050/96</t>
  </si>
  <si>
    <t>1050/97</t>
  </si>
  <si>
    <t>1050/98</t>
  </si>
  <si>
    <t>1050/99</t>
  </si>
  <si>
    <t>1050/100</t>
  </si>
  <si>
    <t>1050/101</t>
  </si>
  <si>
    <t>1050/102</t>
  </si>
  <si>
    <t>1050/103</t>
  </si>
  <si>
    <t>1050/104</t>
  </si>
  <si>
    <t>1050/105</t>
  </si>
  <si>
    <t>1050/106</t>
  </si>
  <si>
    <t>1050/107</t>
  </si>
  <si>
    <t>1050/108</t>
  </si>
  <si>
    <t>1050/109</t>
  </si>
  <si>
    <t>ACCESORIOS PVC LINEA 110 (REFORZADO)</t>
  </si>
  <si>
    <t>1050/110</t>
  </si>
  <si>
    <t>1050/113</t>
  </si>
  <si>
    <t>1050/114</t>
  </si>
  <si>
    <t>1050/115</t>
  </si>
  <si>
    <t>1050/116</t>
  </si>
  <si>
    <t>1050/119</t>
  </si>
  <si>
    <t>1050/120</t>
  </si>
  <si>
    <t>1050/123</t>
  </si>
  <si>
    <t>1050/124</t>
  </si>
  <si>
    <t>1050/127</t>
  </si>
  <si>
    <t>1050/128</t>
  </si>
  <si>
    <t>DESENGRASADORA 2 BOCAS</t>
  </si>
  <si>
    <t>DESENGRASADORA 3 BOCAS</t>
  </si>
  <si>
    <t>1050/129</t>
  </si>
  <si>
    <t>1050/130</t>
  </si>
  <si>
    <t>1050/131</t>
  </si>
  <si>
    <t>1050/132</t>
  </si>
  <si>
    <t>1050/133</t>
  </si>
  <si>
    <t>1050/134</t>
  </si>
  <si>
    <t>1050/135</t>
  </si>
  <si>
    <t>1050/136</t>
  </si>
  <si>
    <t>1050/137</t>
  </si>
  <si>
    <t>1050/138</t>
  </si>
  <si>
    <t>1050/141</t>
  </si>
  <si>
    <t>1050/142</t>
  </si>
  <si>
    <t>1050/143</t>
  </si>
  <si>
    <t>1050/146</t>
  </si>
  <si>
    <t>1050/147</t>
  </si>
  <si>
    <t>1050/148</t>
  </si>
  <si>
    <t>1050/149</t>
  </si>
  <si>
    <t>1050/150</t>
  </si>
  <si>
    <t>1050/151</t>
  </si>
  <si>
    <t>1050/152</t>
  </si>
  <si>
    <t>CAÑOS PVC</t>
  </si>
  <si>
    <t>1220/19</t>
  </si>
  <si>
    <t>Caño 50 x 4 mts 3,2</t>
  </si>
  <si>
    <t>1220/20</t>
  </si>
  <si>
    <t>1220/21</t>
  </si>
  <si>
    <t>1220/22</t>
  </si>
  <si>
    <t>1220/23</t>
  </si>
  <si>
    <t>1220/24</t>
  </si>
  <si>
    <t>1220/25</t>
  </si>
  <si>
    <t>1220/26</t>
  </si>
  <si>
    <t>1220/27</t>
  </si>
  <si>
    <t xml:space="preserve">Masilla 1/2 kilo </t>
  </si>
  <si>
    <t xml:space="preserve">Masilla 1 kilo </t>
  </si>
  <si>
    <t>Curva MH 45° 1 Epoxi</t>
  </si>
  <si>
    <t>1080/06A</t>
  </si>
  <si>
    <t>1080/06B</t>
  </si>
  <si>
    <t>Alargue canilla cromo 1/2 x 4</t>
  </si>
  <si>
    <t>Alargue canilla cromo 1/2 x 3</t>
  </si>
  <si>
    <t>1180/11</t>
  </si>
  <si>
    <t>1180/12</t>
  </si>
  <si>
    <t>Camara de inspeccion</t>
  </si>
  <si>
    <t>Aros de suplemento</t>
  </si>
  <si>
    <t>Flexible mallado para monocomando cada uno</t>
  </si>
  <si>
    <t>1300/46B</t>
  </si>
  <si>
    <t>1300/46E</t>
  </si>
  <si>
    <t>Flexible gas aprobado fijo x 45 cm</t>
  </si>
  <si>
    <t>Flexible gas aprobado fijo x 90 cm</t>
  </si>
  <si>
    <t>1330/03A</t>
  </si>
  <si>
    <t>1490/05</t>
  </si>
  <si>
    <t>1490/06</t>
  </si>
  <si>
    <t>1490/07</t>
  </si>
  <si>
    <t>1490/08</t>
  </si>
  <si>
    <t>1310/04</t>
  </si>
  <si>
    <t>1310/05</t>
  </si>
  <si>
    <t>1310/06</t>
  </si>
  <si>
    <t>1310/07</t>
  </si>
  <si>
    <t>1310/08</t>
  </si>
  <si>
    <t>1310/09</t>
  </si>
  <si>
    <t>1310/10</t>
  </si>
  <si>
    <t>Niple conexión 1/2 x 10</t>
  </si>
  <si>
    <t>Niple conexión 1/2 x 15</t>
  </si>
  <si>
    <t>Niple conexión 1/2 x 20</t>
  </si>
  <si>
    <t>Niple conexión 1/2 x 25</t>
  </si>
  <si>
    <t>Niple conexión 1/2 x 30</t>
  </si>
  <si>
    <t>Niple conexión 3/4 x 10</t>
  </si>
  <si>
    <t>Niple conexión 3/4 x 15</t>
  </si>
  <si>
    <t>Niple conexión 3/4 x 20</t>
  </si>
  <si>
    <t>Niple conexión 3/4 x 25</t>
  </si>
  <si>
    <t>Niple conexión 3/4 x 30</t>
  </si>
  <si>
    <t>Niple conexión 1 x 10</t>
  </si>
  <si>
    <t>Niple conexión 1 x 15</t>
  </si>
  <si>
    <t>Niple conexión 1 x 20</t>
  </si>
  <si>
    <t>Niple conexión 1 x 25</t>
  </si>
  <si>
    <t>Niple conexión 1 x 30</t>
  </si>
  <si>
    <t>Niple conexión 1 1/4 x 10</t>
  </si>
  <si>
    <t>Niple conexión 1 1/4 x 15</t>
  </si>
  <si>
    <t>Niple conexión 1 1/4 x 20</t>
  </si>
  <si>
    <t>Niple conexión 1 1/2 x 10</t>
  </si>
  <si>
    <t>Niple conexión 1 1/2 x 15</t>
  </si>
  <si>
    <t>Niple conexión 1 1/2 x 20</t>
  </si>
  <si>
    <t>Niple conexión 2 x 10</t>
  </si>
  <si>
    <t>Niple conexión 2 x 15</t>
  </si>
  <si>
    <t>1400/93</t>
  </si>
  <si>
    <t>1400/94</t>
  </si>
  <si>
    <t>1400/95</t>
  </si>
  <si>
    <t>1400/96</t>
  </si>
  <si>
    <t>1400/106</t>
  </si>
  <si>
    <t>1400/107</t>
  </si>
  <si>
    <t>1400/108</t>
  </si>
  <si>
    <t>1400/109</t>
  </si>
  <si>
    <t>1400/110</t>
  </si>
  <si>
    <t>1400/111</t>
  </si>
  <si>
    <t>1400/112</t>
  </si>
  <si>
    <t>1400/113</t>
  </si>
  <si>
    <t>1400/114</t>
  </si>
  <si>
    <t>1400/119</t>
  </si>
  <si>
    <t>1400/120</t>
  </si>
  <si>
    <t>1400/121</t>
  </si>
  <si>
    <t>1400/122</t>
  </si>
  <si>
    <t>1400/123</t>
  </si>
  <si>
    <t>1400/124</t>
  </si>
  <si>
    <t>1400/125</t>
  </si>
  <si>
    <t>1400/126</t>
  </si>
  <si>
    <t>1400/127</t>
  </si>
  <si>
    <t>1400/132</t>
  </si>
  <si>
    <t>1400/133</t>
  </si>
  <si>
    <t>1400/134</t>
  </si>
  <si>
    <t>1400/135</t>
  </si>
  <si>
    <t>1400/136</t>
  </si>
  <si>
    <t>1400/137</t>
  </si>
  <si>
    <t>Flexible de gas x 50 cm</t>
  </si>
  <si>
    <t>Flexible de gas x 60 cm</t>
  </si>
  <si>
    <t>Flexible de gas x 70 cm</t>
  </si>
  <si>
    <t>Flexible de gas x 80 cm</t>
  </si>
  <si>
    <t>Flexible de gas x 1,00 cm</t>
  </si>
  <si>
    <t>Flexible de gas x 1,20 cm</t>
  </si>
  <si>
    <t>Flotante alta presion 1/2</t>
  </si>
  <si>
    <t>Flotante alta presion 3/4</t>
  </si>
  <si>
    <t xml:space="preserve">Flotante alta presion 1 </t>
  </si>
  <si>
    <t>Flotante alta presion 1 1/4</t>
  </si>
  <si>
    <t>Flotante alta presion 1 1/2</t>
  </si>
  <si>
    <t>Flotante alta presion 2</t>
  </si>
  <si>
    <t>Flotante semi presion 1/2 cola macho</t>
  </si>
  <si>
    <t>Flotante semi presion 1/2 cola hembra</t>
  </si>
  <si>
    <t>Flotante semi presion 3/4 cola macho</t>
  </si>
  <si>
    <t>Flotante semi presion 3/4 coal hembra</t>
  </si>
  <si>
    <t>Goma para flotante de tanque 1/2 y 3/4</t>
  </si>
  <si>
    <t>Goma para flotante de tanque 1</t>
  </si>
  <si>
    <t>Goma para camara silenciosa</t>
  </si>
  <si>
    <t>Goma puntera garrafa 10 KG</t>
  </si>
  <si>
    <t>Goma repuesto obturador IDEAL</t>
  </si>
  <si>
    <t>1000/30</t>
  </si>
  <si>
    <t>1000/31</t>
  </si>
  <si>
    <t>1000/32</t>
  </si>
  <si>
    <t>1000/33</t>
  </si>
  <si>
    <t>1000/34</t>
  </si>
  <si>
    <t>1000/35</t>
  </si>
  <si>
    <t>1000/36</t>
  </si>
  <si>
    <t>1000/37</t>
  </si>
  <si>
    <t>1000/38</t>
  </si>
  <si>
    <t>1000/39</t>
  </si>
  <si>
    <t>1000/40</t>
  </si>
  <si>
    <t>1000/41</t>
  </si>
  <si>
    <t>1000/42</t>
  </si>
  <si>
    <t>1000/43</t>
  </si>
  <si>
    <t>1000/44</t>
  </si>
  <si>
    <t>1000/45</t>
  </si>
  <si>
    <t>1000/46</t>
  </si>
  <si>
    <t>1000/47</t>
  </si>
  <si>
    <t>1000/48</t>
  </si>
  <si>
    <t>1000/49</t>
  </si>
  <si>
    <t>1000/50</t>
  </si>
  <si>
    <t>1000/51</t>
  </si>
  <si>
    <t>1000/52</t>
  </si>
  <si>
    <t>1000/53</t>
  </si>
  <si>
    <t>1000/54</t>
  </si>
  <si>
    <t>1000/55</t>
  </si>
  <si>
    <t>1000/56</t>
  </si>
  <si>
    <t>1000/57</t>
  </si>
  <si>
    <t>1000/58</t>
  </si>
  <si>
    <t>1000/59</t>
  </si>
  <si>
    <t>1000/60</t>
  </si>
  <si>
    <t>1000/61</t>
  </si>
  <si>
    <t>1000/62</t>
  </si>
  <si>
    <t>1000/63</t>
  </si>
  <si>
    <t>1000/64</t>
  </si>
  <si>
    <t>1000/65</t>
  </si>
  <si>
    <t>1000/66</t>
  </si>
  <si>
    <t>1000/67</t>
  </si>
  <si>
    <t>1000/68</t>
  </si>
  <si>
    <t>Cupla reducccion 25 mm x 20 mm</t>
  </si>
  <si>
    <t>Cupla reducccion 32 mm x 20 mm</t>
  </si>
  <si>
    <t>Cupla reducccion 32 mm x 25 mm</t>
  </si>
  <si>
    <t>Tapa 20 mm</t>
  </si>
  <si>
    <t>Tapa 25 mm</t>
  </si>
  <si>
    <t>Tapa 32 mm</t>
  </si>
  <si>
    <t>Tee 20 mm</t>
  </si>
  <si>
    <t>Tee 25 mm</t>
  </si>
  <si>
    <t>Tee 32 mm</t>
  </si>
  <si>
    <t>Manguera de goma para gas aprobada x 25 mts.</t>
  </si>
  <si>
    <t>1030/35</t>
  </si>
  <si>
    <t>1030/36</t>
  </si>
  <si>
    <t>1030/37</t>
  </si>
  <si>
    <t>1030/38</t>
  </si>
  <si>
    <t>1030/39</t>
  </si>
  <si>
    <t>1030/40</t>
  </si>
  <si>
    <t>1030/41</t>
  </si>
  <si>
    <t>1030/42</t>
  </si>
  <si>
    <t>1030/43</t>
  </si>
  <si>
    <t>1030/44</t>
  </si>
  <si>
    <t>1030/45</t>
  </si>
  <si>
    <t>1030/46</t>
  </si>
  <si>
    <t>1030/47</t>
  </si>
  <si>
    <t>1030/48</t>
  </si>
  <si>
    <t>1030/49</t>
  </si>
  <si>
    <t>1030/50</t>
  </si>
  <si>
    <t>1030/51</t>
  </si>
  <si>
    <t>1030/52</t>
  </si>
  <si>
    <t>1030/53</t>
  </si>
  <si>
    <t>1030/54</t>
  </si>
  <si>
    <t>1030/55</t>
  </si>
  <si>
    <t>1030/56</t>
  </si>
  <si>
    <t>1030/57</t>
  </si>
  <si>
    <t>1030/58</t>
  </si>
  <si>
    <t>1030/59</t>
  </si>
  <si>
    <t>1030/60</t>
  </si>
  <si>
    <t>1030/61</t>
  </si>
  <si>
    <t>1030/62</t>
  </si>
  <si>
    <t>1030/63</t>
  </si>
  <si>
    <t>1030/64</t>
  </si>
  <si>
    <t>1030/65</t>
  </si>
  <si>
    <t>1030/66</t>
  </si>
  <si>
    <t>1030/67</t>
  </si>
  <si>
    <t>1030/68</t>
  </si>
  <si>
    <t>1030/69</t>
  </si>
  <si>
    <t>1030/70</t>
  </si>
  <si>
    <t>1030/71</t>
  </si>
  <si>
    <t>1030/72</t>
  </si>
  <si>
    <t>1030/73</t>
  </si>
  <si>
    <t>1030/74</t>
  </si>
  <si>
    <t>1030/75</t>
  </si>
  <si>
    <t>1030/76</t>
  </si>
  <si>
    <t>1030/77</t>
  </si>
  <si>
    <t>1030/78</t>
  </si>
  <si>
    <t>1030/79</t>
  </si>
  <si>
    <t>1030/80</t>
  </si>
  <si>
    <t>1030/81</t>
  </si>
  <si>
    <t>1030/82</t>
  </si>
  <si>
    <t>1030/83</t>
  </si>
  <si>
    <t>1030/84</t>
  </si>
  <si>
    <t>1030/85</t>
  </si>
  <si>
    <t>1030/86</t>
  </si>
  <si>
    <t>1030/87</t>
  </si>
  <si>
    <t>1030/88</t>
  </si>
  <si>
    <t>1030/89</t>
  </si>
  <si>
    <t>1030/90</t>
  </si>
  <si>
    <t>REJAS Y TAPAS DE ACERO INOXIDABLE</t>
  </si>
  <si>
    <t>Reja acero m/piso 10 x 10</t>
  </si>
  <si>
    <t>Reja acero m/piso 15 x 15</t>
  </si>
  <si>
    <t>Reja acero m/piso 20 x 20</t>
  </si>
  <si>
    <t>Tapa acero m/piso 10 x 10</t>
  </si>
  <si>
    <t>Tapa acero m/piso 15 x 15</t>
  </si>
  <si>
    <t>Tapa acero m/piso 20 x 20</t>
  </si>
  <si>
    <t>1490/10</t>
  </si>
  <si>
    <t>1490/11</t>
  </si>
  <si>
    <t>1490/12</t>
  </si>
  <si>
    <t>1490/13</t>
  </si>
  <si>
    <t>1490/14</t>
  </si>
  <si>
    <t>1490/15</t>
  </si>
  <si>
    <t>1490/16</t>
  </si>
  <si>
    <t>*CABEZAL PEIRANO MODELO FUNCIONAL</t>
  </si>
  <si>
    <t>2045/01</t>
  </si>
  <si>
    <t>*CABEZAL 1ª MARCA CORTO NO ASCENDENTE</t>
  </si>
  <si>
    <t>2062/01</t>
  </si>
  <si>
    <t>*CABEZAL FV CORTO C/O'RING FINO</t>
  </si>
  <si>
    <t>*CABEZAL FV LARGO C/O'RING FINO</t>
  </si>
  <si>
    <t>2080/01</t>
  </si>
  <si>
    <t>*CABEZAL LA TOSCANA TRANSFERENCIA LLUVIA</t>
  </si>
  <si>
    <t>*CABEZAL PIAZZA CORTO/QUEIJA  REEMPLAZA CERÁMICO</t>
  </si>
  <si>
    <t>*CABEZAL PIAZZA LIVIANO LAVATORIO,LLUVIA</t>
  </si>
  <si>
    <t>*CABEZAL ECONÓMICO 1ª MARCA MESADA,LAVAT.,BIDET (cod.DISA 2135)</t>
  </si>
  <si>
    <t>*CABEZAL ECONÓMICO 1ª MARCA MESADA VÁSTAGO CORTO (cod.DISA 2139)</t>
  </si>
  <si>
    <t>*CABEZAL ECONÓMICO 1ª MARCA LATERAL BAÑERA (cod.DISA 2136)</t>
  </si>
  <si>
    <t>*CABEZAL PIAZZA CERÁMICO CORTO FRÍO (cod.DISA 2141)</t>
  </si>
  <si>
    <t>*CABEZAL PIAZZA CERÁMICO MEDIANO FRÍO (cod.DISA 2142)</t>
  </si>
  <si>
    <t>*CABEZAL PIAZZA CERÁMICO MEDIANO CALIENTE  (cod.DISA 2142)</t>
  </si>
  <si>
    <t>*CABEZAL PIAZZA CERÁMICO LARGO FRÍO (cod.DISA 2143)</t>
  </si>
  <si>
    <t>*CABEZAL PIAZZA CERÁMICO LARGO CALIENTE (cod.DISA 2143)</t>
  </si>
  <si>
    <t>*CABEZAL P/CANILLA DE LAVARROPA FINO (cod.DISA 2149)</t>
  </si>
  <si>
    <t>*CABEZAL DE MESADA IMPORTADA DE 1/2" (cod.Disa 2170)</t>
  </si>
  <si>
    <t>*CABEZAL LLUVIA ESTRÍA FINA REEMPLAZA PLÁSTICOS</t>
  </si>
  <si>
    <t>*CABEZAL LAVATORIO Y BIDET  REEMPLAZA PLÁSTICOS</t>
  </si>
  <si>
    <t>3040/2</t>
  </si>
  <si>
    <t>Espiga 3/4 rosca hembra 1/2 polietileno</t>
  </si>
  <si>
    <t>Espiga 1/2 rosca hembra 3/4 polietileno</t>
  </si>
  <si>
    <t>Espiga rosca macho 1/2 polietileno</t>
  </si>
  <si>
    <t>Espiga rosca macho 3/4 polietileno</t>
  </si>
  <si>
    <t>Espiga rosca macho 1  polietileno</t>
  </si>
  <si>
    <t>Espiga rosca macho 1 1/4 polietileno</t>
  </si>
  <si>
    <t>Espiga rosca macho 1 1/2 polietileno</t>
  </si>
  <si>
    <t>Espiga rosca macho 2  polietileno</t>
  </si>
  <si>
    <t>Espiga 3/4 rosca macho 1/2 polietileno</t>
  </si>
  <si>
    <t>Espiga 1/2 rosca macho 3/4 polietileno</t>
  </si>
  <si>
    <t>Espiga 1/2 rosca macho 1 polietileno</t>
  </si>
  <si>
    <t>Espiga 3/4 rosca macho 1 polietileno</t>
  </si>
  <si>
    <t>Tee espiga espiga 1/2 polietileno</t>
  </si>
  <si>
    <t>Tee espiga espiga 3/4 polietileno</t>
  </si>
  <si>
    <t>Tee espiga espiga 1  polietileno</t>
  </si>
  <si>
    <t>Tee espiga espiga 1 1/4 polietileno</t>
  </si>
  <si>
    <t>Tee espiga espiga 1 1/2 polietileno</t>
  </si>
  <si>
    <t>Tee espiga espiga 2  polietileno</t>
  </si>
  <si>
    <t>Tee espiga rosca hembra 1/2 polietileno</t>
  </si>
  <si>
    <t>Tee espiga rosca hembra 3/4 polietileno</t>
  </si>
  <si>
    <t>Tee espiga rosca hembra 1  polietileno</t>
  </si>
  <si>
    <t>Tee espiga rosca hembra 1 1/4 polietileno</t>
  </si>
  <si>
    <t>Tee espiga rosca hembra 1 1/2 polietileno</t>
  </si>
  <si>
    <t>Tee espiga rosca hembra 2  polietileno</t>
  </si>
  <si>
    <t>Acople rapido 1/2 duke</t>
  </si>
  <si>
    <t>Acople rapido 3/4 duke</t>
  </si>
  <si>
    <t>Acople rapido 1 duke</t>
  </si>
  <si>
    <t>Arandela ajuste plastica cromada para tapa yunque</t>
  </si>
  <si>
    <t>Arandela ajuste plastica blanca para tapa yunque</t>
  </si>
  <si>
    <t>Arandela ajuste plastica blancapara tapa ideal</t>
  </si>
  <si>
    <t>1100/03B</t>
  </si>
  <si>
    <t>1100/37</t>
  </si>
  <si>
    <t>1100/38</t>
  </si>
  <si>
    <t>ARO DESPLAZA INODORO</t>
  </si>
  <si>
    <t>1110/03</t>
  </si>
  <si>
    <t>1110/04</t>
  </si>
  <si>
    <t xml:space="preserve">Aro desplaza inodoro  5 cm </t>
  </si>
  <si>
    <t xml:space="preserve">Aro desplaza inodoro  15 cm </t>
  </si>
  <si>
    <t>1190/04</t>
  </si>
  <si>
    <t>1200/09</t>
  </si>
  <si>
    <t>1200/10</t>
  </si>
  <si>
    <t>1200/04A</t>
  </si>
  <si>
    <t>Campana plastica Funcional FV</t>
  </si>
  <si>
    <t>Teflon alta densidad 3/4 x 10</t>
  </si>
  <si>
    <t>Teflon alta densidad 3/4 x 40</t>
  </si>
  <si>
    <t>Chupete de goma 1/2</t>
  </si>
  <si>
    <t>Chupete de goma 3/4</t>
  </si>
  <si>
    <t>1400/10</t>
  </si>
  <si>
    <t>1400/11</t>
  </si>
  <si>
    <t>1400/12</t>
  </si>
  <si>
    <t>1400/13</t>
  </si>
  <si>
    <t>1400/14</t>
  </si>
  <si>
    <t>1400/19</t>
  </si>
  <si>
    <t>1400/20</t>
  </si>
  <si>
    <t>1400/21</t>
  </si>
  <si>
    <t>1400/22</t>
  </si>
  <si>
    <t>1400/23</t>
  </si>
  <si>
    <t>1400/55</t>
  </si>
  <si>
    <t>1400/56</t>
  </si>
  <si>
    <t>1400/57</t>
  </si>
  <si>
    <t>1400/58</t>
  </si>
  <si>
    <t>1400/59</t>
  </si>
  <si>
    <t>1400/60</t>
  </si>
  <si>
    <t>1400/61</t>
  </si>
  <si>
    <t>1400/62</t>
  </si>
  <si>
    <t>1400/72</t>
  </si>
  <si>
    <t>1400/73</t>
  </si>
  <si>
    <t>1400/74</t>
  </si>
  <si>
    <t>1400/75</t>
  </si>
  <si>
    <t>1040/16</t>
  </si>
  <si>
    <t>1040/17</t>
  </si>
  <si>
    <t>1040/18</t>
  </si>
  <si>
    <t>1040/19</t>
  </si>
  <si>
    <t>1040/20</t>
  </si>
  <si>
    <t>1040/21</t>
  </si>
  <si>
    <t>1040/22</t>
  </si>
  <si>
    <t>1040/23</t>
  </si>
  <si>
    <t>1040/24</t>
  </si>
  <si>
    <t>1040/25</t>
  </si>
  <si>
    <t>1040/26</t>
  </si>
  <si>
    <t>1040/27</t>
  </si>
  <si>
    <t>1040/28</t>
  </si>
  <si>
    <t>1040/29</t>
  </si>
  <si>
    <t>1040/30</t>
  </si>
  <si>
    <t>1040/31</t>
  </si>
  <si>
    <t>1050/01</t>
  </si>
  <si>
    <t>1050/02</t>
  </si>
  <si>
    <t>1050/03</t>
  </si>
  <si>
    <t>1050/04</t>
  </si>
  <si>
    <t>1050/05</t>
  </si>
  <si>
    <t>1050/06</t>
  </si>
  <si>
    <t>1050/07</t>
  </si>
  <si>
    <t>1050/08</t>
  </si>
  <si>
    <t>Conexión fuelle PVC mochila extralargo</t>
  </si>
  <si>
    <t>Conexión fuelle extensible inodoro</t>
  </si>
  <si>
    <t>Conexión PVC tubuluar Magnano</t>
  </si>
  <si>
    <t>Conexión PVC Olmos</t>
  </si>
  <si>
    <t>Conexión PVC Traful comun</t>
  </si>
  <si>
    <t>Conexión PVC 1 1/2 para inodoro importado</t>
  </si>
  <si>
    <t>Conexión PVC para deposito de colgar</t>
  </si>
  <si>
    <t>Conexión PVC para conexión cromada</t>
  </si>
  <si>
    <t>1260/31</t>
  </si>
  <si>
    <t>CONEXIONES ARTICULADAS METALICAS PARA MIGITORIO</t>
  </si>
  <si>
    <t>1260/32</t>
  </si>
  <si>
    <t>CONEXIONES ARTICULADAS METALICAS PARA INODORO</t>
  </si>
  <si>
    <t>1260/33</t>
  </si>
  <si>
    <t>1260/34</t>
  </si>
  <si>
    <t>CONEXIONES ARTICULADAS METALICAS PARA LAVATORIO</t>
  </si>
  <si>
    <t>1260/35</t>
  </si>
  <si>
    <t>1260/36</t>
  </si>
  <si>
    <t>1260/37</t>
  </si>
  <si>
    <t>1260/38</t>
  </si>
  <si>
    <t>1260/39</t>
  </si>
  <si>
    <t>1260/40</t>
  </si>
  <si>
    <t>1260/41</t>
  </si>
  <si>
    <t>1460/41</t>
  </si>
  <si>
    <t>1460/41A</t>
  </si>
  <si>
    <t>Buje 1 1/4 x 1/2 polipropileno</t>
  </si>
  <si>
    <t>Buje 1 1/4 x 3/4 polipropileno</t>
  </si>
  <si>
    <t>1030/33A</t>
  </si>
  <si>
    <t>1030/33B</t>
  </si>
  <si>
    <t>Conexión tanque completa 1/2</t>
  </si>
  <si>
    <t>Conexión tanque completa 3/4</t>
  </si>
  <si>
    <t>Conexión tanque completa 1</t>
  </si>
  <si>
    <t>Conexión tanque completa 1 1/4</t>
  </si>
  <si>
    <t>Conexión tanque completa 1 1/2</t>
  </si>
  <si>
    <t>Conexión tanque completa 2</t>
  </si>
  <si>
    <t>1030/101</t>
  </si>
  <si>
    <t>1030/102</t>
  </si>
  <si>
    <t>1030/103</t>
  </si>
  <si>
    <t>1030/104</t>
  </si>
  <si>
    <t>1030/105</t>
  </si>
  <si>
    <t>1030/106</t>
  </si>
  <si>
    <t>1030/107</t>
  </si>
  <si>
    <t>1030/108</t>
  </si>
  <si>
    <t>Cruz 1/2 polipropileno</t>
  </si>
  <si>
    <t>1030/109</t>
  </si>
  <si>
    <t>1030/110</t>
  </si>
  <si>
    <t>1030/111</t>
  </si>
  <si>
    <t>Cupla MH 1/2 polipropileno</t>
  </si>
  <si>
    <t>Cupla MH 3/4 polipropileno</t>
  </si>
  <si>
    <t>Cupla MH 1 polipropileno</t>
  </si>
  <si>
    <t>1080/07A</t>
  </si>
  <si>
    <t>Alargue canilla cromo 3/4 x 3/4</t>
  </si>
  <si>
    <t xml:space="preserve">Arandela fibra 3/8 </t>
  </si>
  <si>
    <t>Arandela PVC 1/2 x 100 unidades</t>
  </si>
  <si>
    <t>Arandela PVC 3/4 x 100 unidades</t>
  </si>
  <si>
    <t>1100/29A</t>
  </si>
  <si>
    <t>Arandelas conicas para flexible 1/2</t>
  </si>
  <si>
    <t>Arandela de goma para cuello de piston x 100 unidades</t>
  </si>
  <si>
    <t>Arandela de goma para garrafa de 3 KG x 100 unidades</t>
  </si>
  <si>
    <t>Arandela de goma plana para flexible 1/2 ala ancha x 100 unidades</t>
  </si>
  <si>
    <t>Arandela de goma plana para flexible 3/4 ala ancha x 100 unidades</t>
  </si>
  <si>
    <t>1300/12B</t>
  </si>
  <si>
    <t xml:space="preserve">Flexible mallado 3/4 x 35 cm </t>
  </si>
  <si>
    <t xml:space="preserve">BUJES Y GOMAS PARA TRANSFERENCIAS        </t>
  </si>
  <si>
    <t xml:space="preserve">CABEZALES PARA GRIFERIA       </t>
  </si>
  <si>
    <t xml:space="preserve">CALEFONES ELECTRICOS    </t>
  </si>
  <si>
    <t xml:space="preserve">CAMARA SILENCIOSA PARA DEPOSITO        </t>
  </si>
  <si>
    <t xml:space="preserve">Camara silenciosa hembra de bronce  </t>
  </si>
  <si>
    <t>1190/05</t>
  </si>
  <si>
    <t>1190/06</t>
  </si>
  <si>
    <t>Brazo completo para camara silenciosa</t>
  </si>
  <si>
    <t>Piston de bronce para camara silenciosa</t>
  </si>
  <si>
    <t xml:space="preserve">CAMPANAS PLASTICAS PARA GRIFERIA Y LLAVES DE GAS       </t>
  </si>
  <si>
    <t xml:space="preserve">CANILLAS DE BRONCE            </t>
  </si>
  <si>
    <t xml:space="preserve">CANILLAS ESFERICAS METALICAS        </t>
  </si>
  <si>
    <t xml:space="preserve">CANILLAS PLASTICAS            </t>
  </si>
  <si>
    <t xml:space="preserve">CANILLAS VARIAS            </t>
  </si>
  <si>
    <t xml:space="preserve">CAÑO COBRE          </t>
  </si>
  <si>
    <t>Codo HH 2 bronce</t>
  </si>
  <si>
    <t>Codo 3/4 x 1/2 bronce</t>
  </si>
  <si>
    <t>Codo 1 x 3/4 bronce</t>
  </si>
  <si>
    <t>Codo 1 x 1/2 bronce</t>
  </si>
  <si>
    <t>Codo 1 1/4 x 3/4 bronce</t>
  </si>
  <si>
    <t>Codo MH 1/2 bronce</t>
  </si>
  <si>
    <t>Codo MH 3/4 bronce</t>
  </si>
  <si>
    <t>Codo MH 1  bronce</t>
  </si>
  <si>
    <t>Codo MH 1 1/4 bronce</t>
  </si>
  <si>
    <t>Codo MH 1 1/2 bronce</t>
  </si>
  <si>
    <t>Codo MH 2 bronce</t>
  </si>
  <si>
    <t>Buje 3/4 x 1/2 bronce</t>
  </si>
  <si>
    <t>Buje 1 x 3/4 bronce</t>
  </si>
  <si>
    <t>Buje 1 x 1/2 bronce</t>
  </si>
  <si>
    <t>Buje 1 1/4 x 1 bronce</t>
  </si>
  <si>
    <t>Buje 1 1/4 x 3/4 bronce</t>
  </si>
  <si>
    <t>Buje 1 1/4 x 1/2 bronce</t>
  </si>
  <si>
    <t>Buje 1 1/2 x 1 1/4 bronce</t>
  </si>
  <si>
    <t>Buje 1 1/2 x 1 bronce</t>
  </si>
  <si>
    <t>Buje 1 1/2 x 3/4 bronce</t>
  </si>
  <si>
    <t>Buje 1 1/2 x 1/2 bronce</t>
  </si>
  <si>
    <t>Buje 2 x 1 1/2 bronce</t>
  </si>
  <si>
    <t>Buje 2 x 1 1/4 bronce</t>
  </si>
  <si>
    <t>Buje 2 x 1 bronce</t>
  </si>
  <si>
    <t>Buje 2 x 3/4 bronce</t>
  </si>
  <si>
    <t>Buje 2 x 1/2 bronce</t>
  </si>
  <si>
    <t>Tapa hembra 1/2 bronce</t>
  </si>
  <si>
    <t>Tapa hembra 3/4 bronce</t>
  </si>
  <si>
    <t>Tapa hembra 1 bronce</t>
  </si>
  <si>
    <t>Tapa hembra 1 1/4 bronce</t>
  </si>
  <si>
    <t>Tapa hembra 1 1/2 bronce</t>
  </si>
  <si>
    <t>Tapa hembra 2 bronce</t>
  </si>
  <si>
    <t>Tee 1/2 bronce</t>
  </si>
  <si>
    <t>Tee 3/4 bronce</t>
  </si>
  <si>
    <t>Tee 1 bronce</t>
  </si>
  <si>
    <t>Tee 1 1/4 bronce</t>
  </si>
  <si>
    <t>Tee 1 1/2 bronce</t>
  </si>
  <si>
    <t>Tee 2 bronce</t>
  </si>
  <si>
    <t>Tee 3/4 x 1/2 bronce</t>
  </si>
  <si>
    <t>Tee 1 x 3/4 bronce</t>
  </si>
  <si>
    <t>Tee 1 x 1/2 bronce</t>
  </si>
  <si>
    <t>Tee 1 1/4 x 1 bronce</t>
  </si>
  <si>
    <t>Tee 1 1/4 x 3/4 bronce</t>
  </si>
  <si>
    <t>Tee 1 1/4 x 1/2 bronce</t>
  </si>
  <si>
    <t>Tee 1 1/2 x 1 1/4 bronce</t>
  </si>
  <si>
    <t>Tee 1 1/2 x 1   bronce</t>
  </si>
  <si>
    <t>Tee 1 1/2 x 3/4 bronce</t>
  </si>
  <si>
    <t>Tee 1 1/2 x 1/2 bronce</t>
  </si>
  <si>
    <t>1500/02</t>
  </si>
  <si>
    <t>1500/03</t>
  </si>
  <si>
    <t>1500/04</t>
  </si>
  <si>
    <t>1500/05</t>
  </si>
  <si>
    <t>1500/06</t>
  </si>
  <si>
    <t>1510/01</t>
  </si>
  <si>
    <t>1520/01</t>
  </si>
  <si>
    <t>1540/04</t>
  </si>
  <si>
    <t>1540/05</t>
  </si>
  <si>
    <t>1540/06</t>
  </si>
  <si>
    <t>1540/07</t>
  </si>
  <si>
    <t>1540/08</t>
  </si>
  <si>
    <t>1550/01</t>
  </si>
  <si>
    <t>1550/02</t>
  </si>
  <si>
    <t>1550/03</t>
  </si>
  <si>
    <t>1550/04</t>
  </si>
  <si>
    <t>1550/05</t>
  </si>
  <si>
    <t>1550/06</t>
  </si>
  <si>
    <t>1560/01</t>
  </si>
  <si>
    <t>1560/02</t>
  </si>
  <si>
    <t>1560/03</t>
  </si>
  <si>
    <t>1560/04</t>
  </si>
  <si>
    <t>1560/05</t>
  </si>
  <si>
    <t>1560/06</t>
  </si>
  <si>
    <t>1560/07</t>
  </si>
  <si>
    <t>1560/08</t>
  </si>
  <si>
    <t>1560/09</t>
  </si>
  <si>
    <t>*ARANDELA T 80 CONICA DE APOYO MOCHILA</t>
  </si>
  <si>
    <t>1300/52</t>
  </si>
  <si>
    <t>1300/53</t>
  </si>
  <si>
    <t>1600/27</t>
  </si>
  <si>
    <t>1600/28</t>
  </si>
  <si>
    <t>1600/29</t>
  </si>
  <si>
    <t>1610/01</t>
  </si>
  <si>
    <t>1610/02</t>
  </si>
  <si>
    <t>1610/03</t>
  </si>
  <si>
    <t>1610/04</t>
  </si>
  <si>
    <t>1610/05</t>
  </si>
  <si>
    <t>1610/06</t>
  </si>
  <si>
    <t>1610/07</t>
  </si>
  <si>
    <t>1610/08</t>
  </si>
  <si>
    <t>1610/09</t>
  </si>
  <si>
    <t>1610/10</t>
  </si>
  <si>
    <t>1610/11</t>
  </si>
  <si>
    <t>1610/12</t>
  </si>
  <si>
    <t>1610/13</t>
  </si>
  <si>
    <t>1610/14</t>
  </si>
  <si>
    <t>1620/01</t>
  </si>
  <si>
    <t>1620/02</t>
  </si>
  <si>
    <t>1620/03</t>
  </si>
  <si>
    <t>Sopapa PVC de 40</t>
  </si>
  <si>
    <t>Sopapa bronce para cocina de 2</t>
  </si>
  <si>
    <t>Sopapa bronce para cocina de 1 1/2</t>
  </si>
  <si>
    <t>Tapa camara 20 x 20</t>
  </si>
  <si>
    <t>Tapa camara 25 x 25</t>
  </si>
  <si>
    <t>Tapa camara 30 x 30</t>
  </si>
  <si>
    <t>Tapa camara 40 x 40</t>
  </si>
  <si>
    <t>Tapa camara 50 x 50</t>
  </si>
  <si>
    <t>Tapa camara 60 x 60</t>
  </si>
  <si>
    <t>*PALANCA METALICA P/MANIJA CUADRADA</t>
  </si>
  <si>
    <t>1270/08</t>
  </si>
  <si>
    <t>Deposito de embutir chato universal con boton plastico</t>
  </si>
  <si>
    <t>Deposito de embutir chato universal con boton bronce cromado</t>
  </si>
  <si>
    <t>Deposito de embutir chato universal con balancin y tapa de acero inox.</t>
  </si>
  <si>
    <t>DEPOSITOS DE COLGAR Y MOCHILAS PLASTICOS</t>
  </si>
  <si>
    <t>1270/09</t>
  </si>
  <si>
    <t>1270/10</t>
  </si>
  <si>
    <t>1270/11</t>
  </si>
  <si>
    <t>1270/12</t>
  </si>
  <si>
    <t>1270/13</t>
  </si>
  <si>
    <t>1280/05</t>
  </si>
  <si>
    <t>1290/03</t>
  </si>
  <si>
    <t>1290/04</t>
  </si>
  <si>
    <t>ENTREROSCAS PARA ENTRADA DE DEPOSITO</t>
  </si>
  <si>
    <t>1290/05</t>
  </si>
  <si>
    <t>Entrerosca de plastico 1/2 x 1/2</t>
  </si>
  <si>
    <t>Entrerosca de bronce 1/2 x 3/8</t>
  </si>
  <si>
    <t>Entrerosca de bronce 1/2 x 1/2</t>
  </si>
  <si>
    <t>Flexible de gas x 1,50 cm</t>
  </si>
  <si>
    <t>Flexible corrugado rosca 1 1/4</t>
  </si>
  <si>
    <t>Flexible corrugado rosca 1 1/2</t>
  </si>
  <si>
    <t>Flexible corrugado extensible (40/50) 1 metro cormado</t>
  </si>
  <si>
    <t>1010/14</t>
  </si>
  <si>
    <t>1010/15</t>
  </si>
  <si>
    <t>1010/16</t>
  </si>
  <si>
    <t>1010/17</t>
  </si>
  <si>
    <t>1010/18</t>
  </si>
  <si>
    <t>1010/19</t>
  </si>
  <si>
    <t>1010/20</t>
  </si>
  <si>
    <t>1010/21</t>
  </si>
  <si>
    <t>1010/22</t>
  </si>
  <si>
    <t>1010/23</t>
  </si>
  <si>
    <t>1010/24</t>
  </si>
  <si>
    <t>1010/25</t>
  </si>
  <si>
    <t>1010/26</t>
  </si>
  <si>
    <t>1010/27</t>
  </si>
  <si>
    <t>1010/28</t>
  </si>
  <si>
    <t>1010/29</t>
  </si>
  <si>
    <t>1010/30</t>
  </si>
  <si>
    <t>1010/31</t>
  </si>
  <si>
    <t>1010/32</t>
  </si>
  <si>
    <t>1010/33</t>
  </si>
  <si>
    <t>1010/34</t>
  </si>
  <si>
    <t>1010/35</t>
  </si>
  <si>
    <t>1010/36</t>
  </si>
  <si>
    <t>1010/37</t>
  </si>
  <si>
    <t>1010/38</t>
  </si>
  <si>
    <t>1010/39</t>
  </si>
  <si>
    <t>1010/40</t>
  </si>
  <si>
    <t>1010/41</t>
  </si>
  <si>
    <t>1010/42</t>
  </si>
  <si>
    <t>1010/43</t>
  </si>
  <si>
    <t>1010/44</t>
  </si>
  <si>
    <t>1620/04</t>
  </si>
  <si>
    <t>1620/05</t>
  </si>
  <si>
    <t>1620/06</t>
  </si>
  <si>
    <t>1630/01</t>
  </si>
  <si>
    <t>1630/02</t>
  </si>
  <si>
    <t>1640/01</t>
  </si>
  <si>
    <t>1640/02</t>
  </si>
  <si>
    <t>1640/03</t>
  </si>
  <si>
    <t>1640/04</t>
  </si>
  <si>
    <t>1640/05</t>
  </si>
  <si>
    <t>1650/01</t>
  </si>
  <si>
    <t>1650/02</t>
  </si>
  <si>
    <t>1650/03</t>
  </si>
  <si>
    <t>1650/04</t>
  </si>
  <si>
    <t>1650/05</t>
  </si>
  <si>
    <t>1650/06</t>
  </si>
  <si>
    <t>1650/07</t>
  </si>
  <si>
    <t>1650/08</t>
  </si>
  <si>
    <t>1650/09</t>
  </si>
  <si>
    <t>1650/10</t>
  </si>
  <si>
    <t>1650/11</t>
  </si>
  <si>
    <t>1650/12</t>
  </si>
  <si>
    <t>1660/01</t>
  </si>
  <si>
    <t>1660/02</t>
  </si>
  <si>
    <t>1660/03</t>
  </si>
  <si>
    <t>1660/04</t>
  </si>
  <si>
    <t>1660/05</t>
  </si>
  <si>
    <t>1670/01</t>
  </si>
  <si>
    <t>1670/02</t>
  </si>
  <si>
    <t>1670/03</t>
  </si>
  <si>
    <t>1670/04</t>
  </si>
  <si>
    <t>1670/05</t>
  </si>
  <si>
    <t>1670/06</t>
  </si>
  <si>
    <t>1670/07</t>
  </si>
  <si>
    <t>CABEZAL PEIRANO NUEVO QUEIJA CUADRADO</t>
  </si>
  <si>
    <t>CABEZAL MESADA HEXAGONO LARGO ESTRIA IMPORTADA</t>
  </si>
  <si>
    <t>3037/1</t>
  </si>
  <si>
    <t>CABEZAL MESADA HEXAGONO LARGO ESTRIA CUADRADA</t>
  </si>
  <si>
    <t>3037/2</t>
  </si>
  <si>
    <t>CABEZAL MESADA HEXAGONO LARGO ESTRIA FINA</t>
  </si>
  <si>
    <t>*CABEZAL P/CANILLA DE LAVARROPA ESTRIA ESPECIAL (cod.DISA 2169)</t>
  </si>
  <si>
    <t>3038/1</t>
  </si>
  <si>
    <t>*CABEZAL P/CANILLA DE LAVARROPA CUADRADO (cod.DISA 2150)</t>
  </si>
  <si>
    <t>3038/2</t>
  </si>
  <si>
    <t>*CABEZAL DE MESADA IMPORTADA DE 3/8" ESTRIA IMPORTADA</t>
  </si>
  <si>
    <t>3039/1</t>
  </si>
  <si>
    <t>*CABEZAL DE MESADA IMPORTADA DE 3/8" ESTRIA CUADRADA</t>
  </si>
  <si>
    <t>3039/2</t>
  </si>
  <si>
    <t>*CABEZAL DE MESADA IMPORTADA DE 3/8" ESTRIA FINA</t>
  </si>
  <si>
    <t>3040/1</t>
  </si>
  <si>
    <t>CABEZAL CENTAURO LATERAL LLUVIA(2069 SIN PATA)</t>
  </si>
  <si>
    <t>CABEZAL PIAZZA 1/2 (IGUAL 2114 SIN ROSCA PARA CAMPANA)</t>
  </si>
  <si>
    <t>*CABEZAL SUDAMERICANA LAVATORIO BIDET</t>
  </si>
  <si>
    <t>3115/1</t>
  </si>
  <si>
    <t>CABEZAL SUDAMERICANA CON CAPUCHON FINO</t>
  </si>
  <si>
    <t>3115/2</t>
  </si>
  <si>
    <t xml:space="preserve">CABEZAL BAYCO-SUDAMERICANA CON C/CAPUCHON GRUESO </t>
  </si>
  <si>
    <t>CABEZAL SUDAMERICANA TRANSF. LLUVIA</t>
  </si>
  <si>
    <t>3116/1</t>
  </si>
  <si>
    <t>*CABEZAL SUDAMERICANA IGUAL 3116 C/CAPUCHON FINO</t>
  </si>
  <si>
    <t>3116/2</t>
  </si>
  <si>
    <t>*CABEZAL SUDAMERICANA IGUAL 3116 C/CAPUCHON GRUESO</t>
  </si>
  <si>
    <t>CABEZAL FV LATERAL LLUVIA LINEA ECONOMICA</t>
  </si>
  <si>
    <t>CABEZAL FV TRANSF. LLUVIA LINEA KANSAS ALABAMA</t>
  </si>
  <si>
    <t>3121/1</t>
  </si>
  <si>
    <t>CABEZAL FV MALENA</t>
  </si>
  <si>
    <t>CABEZAL FV TRANSF. DUCHA PARA JUEGOS CERAMICOS</t>
  </si>
  <si>
    <t>CD-02</t>
  </si>
  <si>
    <t>CI-02</t>
  </si>
  <si>
    <t>CD-03</t>
  </si>
  <si>
    <t>CI-03</t>
  </si>
  <si>
    <t>CD-04</t>
  </si>
  <si>
    <t>CI-04</t>
  </si>
  <si>
    <t>*CABEZAL PIAZZA CERÁMICO CORTO CALIENTE (cod.DISA 2141)</t>
  </si>
  <si>
    <t>CD-05</t>
  </si>
  <si>
    <t>CI-05</t>
  </si>
  <si>
    <t>CD-06</t>
  </si>
  <si>
    <t>CI-06</t>
  </si>
  <si>
    <t>CI-07</t>
  </si>
  <si>
    <t>*CABEZAL 1º MARCA CERÁMICO CORTO CALIENTE (cod.Disa 2145)</t>
  </si>
  <si>
    <t>CD-07</t>
  </si>
  <si>
    <t>*CABEZAL 1º MARCA CERÁMICO CORTO FRÍO (cod.Disa 2145)</t>
  </si>
  <si>
    <t>CI-08</t>
  </si>
  <si>
    <t>CD-08</t>
  </si>
  <si>
    <t xml:space="preserve">Sobrepaso largo 20 mm </t>
  </si>
  <si>
    <t xml:space="preserve">Sobrepaso largo 25 mm </t>
  </si>
  <si>
    <t xml:space="preserve">Sobrepaso largo 32 mm </t>
  </si>
  <si>
    <t>PICOS PARA GRIFERIA</t>
  </si>
  <si>
    <t>1430/02</t>
  </si>
  <si>
    <t>1430/03</t>
  </si>
  <si>
    <t>1430/04</t>
  </si>
  <si>
    <t>Pico J para griferia</t>
  </si>
  <si>
    <t>Pico S para griferia</t>
  </si>
  <si>
    <t>Niples de polipropileno 3/4 x 10</t>
  </si>
  <si>
    <t>Niples de polipropileno 3/4 x 12</t>
  </si>
  <si>
    <t>Niples de polipropileno 3/4 x 15</t>
  </si>
  <si>
    <t>Niples de polipropileno 3/4 x 20</t>
  </si>
  <si>
    <t>Niples de polipropileno 3/4 x 25</t>
  </si>
  <si>
    <t>Niples de polipropileno 3/4 x 30</t>
  </si>
  <si>
    <t>Niples de polipropileno 1 x 5</t>
  </si>
  <si>
    <t>Niples de polipropileno 1 x 8</t>
  </si>
  <si>
    <t>Niples de polipropileno 1 x 10</t>
  </si>
  <si>
    <t>Niples de polipropileno 1 x 12</t>
  </si>
  <si>
    <t>Niples de polipropileno 1 x 15</t>
  </si>
  <si>
    <t>Niples de polipropileno 1 x 20</t>
  </si>
  <si>
    <t>Niples de polipropileno 1 x 25</t>
  </si>
  <si>
    <t>Niples de polipropileno 1 x 30</t>
  </si>
  <si>
    <t>Niple epoxi 1/2 x 5</t>
  </si>
  <si>
    <t>Niple epoxi 1/2 x 8</t>
  </si>
  <si>
    <t>Niple epoxi 1/2 x 10</t>
  </si>
  <si>
    <t>Niple epoxi 1/2 x 12</t>
  </si>
  <si>
    <t>Niple epoxi 1/2 x 15</t>
  </si>
  <si>
    <t>Niple epoxi 1/2 x 18</t>
  </si>
  <si>
    <t>Niple epoxi 1/2 x 20</t>
  </si>
  <si>
    <t>Niple epoxi 1/2 x 25</t>
  </si>
  <si>
    <t>Niple epoxi 1/2 x 30</t>
  </si>
  <si>
    <t>Tornillo 3/16 x 3/8 cabeza redonda PEIRANO</t>
  </si>
  <si>
    <t>Tornillo 3/16 x 3/8 cabeza tanque PEIRANO</t>
  </si>
  <si>
    <t>1400/76</t>
  </si>
  <si>
    <t>1400/77</t>
  </si>
  <si>
    <t>1400/78</t>
  </si>
  <si>
    <t>1400/79</t>
  </si>
  <si>
    <t>CABEZAL PEIRANO MODELO VIEJO ROSCA GRUESA ESTRIA GRUESA</t>
  </si>
  <si>
    <t>2041BIS</t>
  </si>
  <si>
    <t>2041/1</t>
  </si>
  <si>
    <t>2041/3</t>
  </si>
  <si>
    <t>CABEZAL LLAVE PASO FV 1/2 FINA VOLANTE CRUZ CROMO</t>
  </si>
  <si>
    <t>2042/1</t>
  </si>
  <si>
    <t>2044/1</t>
  </si>
  <si>
    <t>CABEZAL FV P/ CANILLA 3/4 CROMO</t>
  </si>
  <si>
    <t>2044/3</t>
  </si>
  <si>
    <t>2044/4</t>
  </si>
  <si>
    <t>2044/5</t>
  </si>
  <si>
    <t>CABEZAL LLAVE PASO FV CON VOLANTE CRUZ ROSCA FINA</t>
  </si>
  <si>
    <t>2044/6</t>
  </si>
  <si>
    <t>CABEZAL LLAVE PASO FV CON VOLANTE CRUZ ROSCA GRUESA</t>
  </si>
  <si>
    <t>2047/1</t>
  </si>
  <si>
    <t>CABEZAL FV PICO MOVIL AGUATERO ESTRIA FINA</t>
  </si>
  <si>
    <t>2048/1</t>
  </si>
  <si>
    <t>2061/1</t>
  </si>
  <si>
    <t>2062/b</t>
  </si>
  <si>
    <t>2062/1b</t>
  </si>
  <si>
    <t>2067/1</t>
  </si>
  <si>
    <t>2067/2</t>
  </si>
  <si>
    <t>CABEZAL TRANSF. LLUVIA LISO CUADRADO</t>
  </si>
  <si>
    <t>2067/3</t>
  </si>
  <si>
    <t>CABEZAL TRANSF. LLUVIA ESTRIA FINA</t>
  </si>
  <si>
    <t>2068/1</t>
  </si>
  <si>
    <t>2071/1</t>
  </si>
  <si>
    <t>CABEZAL PEIRANO SIN CROMADO IGUAL 2071</t>
  </si>
  <si>
    <t>2071/2</t>
  </si>
  <si>
    <t>CABEZAL PEIRANO MODELO NUEVO PERNO NIQUELADO</t>
  </si>
  <si>
    <t>2072/1</t>
  </si>
  <si>
    <t>CABEZAL PEIRANO MESADA MODELO NUEVO PERNO NIQUELADO</t>
  </si>
  <si>
    <t>2073/1</t>
  </si>
  <si>
    <t>CABEZAL PEIRANO TRANSF. BIDET ROSCA FINA</t>
  </si>
  <si>
    <t>2073/2</t>
  </si>
  <si>
    <t>CABEZAL PEIRANO TRASF. BIDET ROSCA GRUESA ESTRIA FINA</t>
  </si>
  <si>
    <t>2078/1</t>
  </si>
  <si>
    <t>*CABEZAL 1ª MARCA CORTO C/O'RING GRUESO</t>
  </si>
  <si>
    <t>2078/2</t>
  </si>
  <si>
    <t>CABEZAL FV C/ORING MESADA ROSACA GRUESA</t>
  </si>
  <si>
    <t>2078/3</t>
  </si>
  <si>
    <t>CABEZAL FV C/ORING MESADA ROSACA FINA</t>
  </si>
  <si>
    <t>2078/4</t>
  </si>
  <si>
    <t>CABEZAL FV C/ORING LLAVE PASO ROSCA FINA</t>
  </si>
  <si>
    <t>2078/5</t>
  </si>
  <si>
    <t>CABEZAL FV C/ORING LLAVE PASO ROSCA GRUESA</t>
  </si>
  <si>
    <t>2079/1</t>
  </si>
  <si>
    <t>*CABEZAL 1ª MARCA LARGO C/O'RING GRUESO</t>
  </si>
  <si>
    <t>2079/2</t>
  </si>
  <si>
    <t>CABEZAL FV C/ORING CUERPO 1/2 SIN PATA ESTRIA FINA</t>
  </si>
  <si>
    <t>2079/3</t>
  </si>
  <si>
    <t>CABEZAL FV C/ORING CUERPO 1/2 SIN PATA ESTRIA GRUESA</t>
  </si>
  <si>
    <t>2079/4</t>
  </si>
  <si>
    <t>CABEZAL FV LLAVE PASO 3/4 ROSCA FINA</t>
  </si>
  <si>
    <t>2079/5</t>
  </si>
  <si>
    <t>CABEZAL FV LLAVE PASO 3/4 ROSCA GRUESA</t>
  </si>
  <si>
    <t>2084/1</t>
  </si>
  <si>
    <t>CABEZAL LLAVE PASO 1/2 CON VOLANTE CRUZ BRONCE</t>
  </si>
  <si>
    <t>Codo MM 1/4</t>
  </si>
  <si>
    <t>Codo MM 1/8</t>
  </si>
  <si>
    <t>Cupla 3/8</t>
  </si>
  <si>
    <t>Rosca con tuerca 3/8</t>
  </si>
  <si>
    <t>Rosca con tuerca 1/4</t>
  </si>
  <si>
    <t>Rosca con tuerca 1/8</t>
  </si>
  <si>
    <t>Tee H 3/8</t>
  </si>
  <si>
    <t>Tee H 1/4</t>
  </si>
  <si>
    <t>Tee H 1/8</t>
  </si>
  <si>
    <t>Tee M 3/8</t>
  </si>
  <si>
    <t>Tee M 1/4</t>
  </si>
  <si>
    <t>Tee M 1/8</t>
  </si>
  <si>
    <t>Teton H 1/2</t>
  </si>
  <si>
    <t>Teton H 3/8</t>
  </si>
  <si>
    <t>Teton H 1/4</t>
  </si>
  <si>
    <t>Teton H 1/8</t>
  </si>
  <si>
    <t>Teton M 1/2</t>
  </si>
  <si>
    <t>Teton M 3/8</t>
  </si>
  <si>
    <t>Teton M 1/4</t>
  </si>
  <si>
    <t>Teton M 1/8</t>
  </si>
  <si>
    <t>Teton curvo H 1/2</t>
  </si>
  <si>
    <t>Teton curvo M 1/2</t>
  </si>
  <si>
    <t>Tuerca de ajuste 1/2</t>
  </si>
  <si>
    <t>Tuerca de ajuste 3/8</t>
  </si>
  <si>
    <t>*ARANDELA AJUSTE ENTRADA AGUA 1/2"</t>
  </si>
  <si>
    <t>*BUJE ESTRIADO P/PALANCA DE FIJACION</t>
  </si>
  <si>
    <t>*BUJE ROSCADO VERONA</t>
  </si>
  <si>
    <t>*BUJE P/MANIJA CUADRADA</t>
  </si>
  <si>
    <t>*BUJE P/MANIJA ESTRIADA</t>
  </si>
  <si>
    <t>*CABEZA P/ENTRADA AGUA PASO GRUESO</t>
  </si>
  <si>
    <t>*CABEZA P/ENTRADA AGUA PASO FINO</t>
  </si>
  <si>
    <t>*CODO CORTO DE MOCHILA</t>
  </si>
  <si>
    <t>*CODO LARGO P/MOCHILA</t>
  </si>
  <si>
    <t>*DESCARGA APOYO C/FLAPPER MODELO ANTIGUO</t>
  </si>
  <si>
    <t>*DESCARGA APOYO C/VASO MODELO ACTUAL</t>
  </si>
  <si>
    <t>*DESCARGA A CODO C/FLAPPER MODELO ANTIGUO</t>
  </si>
  <si>
    <t>*DESCARGA A CODO C/VASO MODELO  ACTUAL</t>
  </si>
  <si>
    <t>*FLAPPER RIGIDO P/DESCARGA C/ALETA</t>
  </si>
  <si>
    <t>*FLAPPER P/DESCARGA MODELO ANTIGUO C/ALETA</t>
  </si>
  <si>
    <t>*FLAPPER P/DESCARGA MODELO P/VASITO S/ALETA</t>
  </si>
  <si>
    <t>*FLAPPER CON VASO PLASTICO COMPLETO</t>
  </si>
  <si>
    <t>*GUIA O ESTRELLA P/OBTURADOR DE MOCHILA</t>
  </si>
  <si>
    <t>*MANIJA PLASTICA ESTRIADA CROMO</t>
  </si>
  <si>
    <t>*MANIJA PLASTICA CUADRADA CROMO</t>
  </si>
  <si>
    <t>*MANIJA ESTRIADA METALICA CROMO</t>
  </si>
  <si>
    <t>*MANIJA CUADRADA METALICA CROMO</t>
  </si>
  <si>
    <t>*PERILLA DE PLASTICO CROMO ROSCA 3/16"</t>
  </si>
  <si>
    <t>*PERILLA DE PLASTICO CROMO ROSCA 1/4"</t>
  </si>
  <si>
    <t>*PERILLA DE LOZA BLANCA</t>
  </si>
  <si>
    <t>*PERILLA DE LOZA COLOR</t>
  </si>
  <si>
    <t>*PALANCA PLASTICA P/MANIJA ESTRIADA.</t>
  </si>
  <si>
    <t>*PALANCA PLASTICA COMPLETA P/MANIJA ESTRIADA</t>
  </si>
  <si>
    <t>Llave paso plastica 1 1/2</t>
  </si>
  <si>
    <t>Llave paso plastica 2</t>
  </si>
  <si>
    <t>Gatillo de bronce boton flumax</t>
  </si>
  <si>
    <t>Gatillo de bronce boton franklin</t>
  </si>
  <si>
    <t>Boton de plastico blanco para deposito</t>
  </si>
  <si>
    <t>Codo reduccion 3/4 x 1/2 Epoxi</t>
  </si>
  <si>
    <t>Codo reduccion 1 x 3/4 Epoxi</t>
  </si>
  <si>
    <t>Cuplas 1/2 Epoxi</t>
  </si>
  <si>
    <t>Cuplas 3/4 Epoxi</t>
  </si>
  <si>
    <t>Cuplas 1 Epoxi</t>
  </si>
  <si>
    <t>Tapon macho 1/2 Epoxi</t>
  </si>
  <si>
    <t>Tapon macho 1  Epoxi</t>
  </si>
  <si>
    <t>Tapa hembra 1/2 Epoxi</t>
  </si>
  <si>
    <t>Tapa hembra 3/4 Epoxi</t>
  </si>
  <si>
    <t>Tapa hembra 1  Epoxi</t>
  </si>
  <si>
    <t>Tuercas planas 1/2 Epoxi</t>
  </si>
  <si>
    <t>Tuercas planas 3/4 Epoxi</t>
  </si>
  <si>
    <t>Tuercas planas 1  Epoxi</t>
  </si>
  <si>
    <t>Brida 1/2 Epoxi</t>
  </si>
  <si>
    <t>Brida 3/4 Epoxi</t>
  </si>
  <si>
    <t>Brida 1  Epoxi</t>
  </si>
  <si>
    <t>Union doble conica 1/2 Epoxi</t>
  </si>
  <si>
    <t>Union doble conica 3/4 Epoxi</t>
  </si>
  <si>
    <t>Union doble conica 1  Epoxi</t>
  </si>
  <si>
    <t>Codo 1 x 3/4 polipropileno</t>
  </si>
  <si>
    <t>Codo 1 x 1/2 polipropileno</t>
  </si>
  <si>
    <t>Curva HH 90° 1/2 polipropileno</t>
  </si>
  <si>
    <t>Curva HH 90° 3/4 polipropileno</t>
  </si>
  <si>
    <t>Curva HH 90° 1  polipropileno</t>
  </si>
  <si>
    <t>Curva HH 90° 1 1/4 polipropileno</t>
  </si>
  <si>
    <t>Curva HH 90° 1 1/2 polipropileno</t>
  </si>
  <si>
    <t>Curva HH 90° 2 polipropileno</t>
  </si>
  <si>
    <t>Curva HH 45° 1/2 polipropileno</t>
  </si>
  <si>
    <t>Curva HH 45° 3/4 polipropileno</t>
  </si>
  <si>
    <t>Curva HH 45° 1  polipropileno</t>
  </si>
  <si>
    <t>Curva MH 90° 1/2 polipropileno</t>
  </si>
  <si>
    <t>Curva MH 90° 3/4 polipropileno</t>
  </si>
  <si>
    <t>Curva MH 90° 1  polipropileno</t>
  </si>
  <si>
    <t>Curva MH 90° 1 1/4 polipropileno</t>
  </si>
  <si>
    <t>Curva MH 90° 1 1/2 polipropileno</t>
  </si>
  <si>
    <t>Curva MH 90° 2 polipropileno</t>
  </si>
  <si>
    <t>Curva MH 45° 1/2 polipropileno</t>
  </si>
  <si>
    <t>Curva MH 45° 3/4 polipropileno</t>
  </si>
  <si>
    <t>Curva MH 45° 1  polipropileno</t>
  </si>
  <si>
    <t>Tee 1/2 polipropileno</t>
  </si>
  <si>
    <t>Tee 3/4 polipropileno</t>
  </si>
  <si>
    <t>Tee 1  polipropileno</t>
  </si>
  <si>
    <t>Tee 1 1/4 polipropileno</t>
  </si>
  <si>
    <t>Tee 1 1/2 polipropileno</t>
  </si>
  <si>
    <t>Tee 2 polipropileno</t>
  </si>
  <si>
    <t>Tee 3/4 x 1/2 polipropileno</t>
  </si>
  <si>
    <t>Tee 1 x 3/4 polipropileno</t>
  </si>
  <si>
    <t>Tee 1 x 1/2 polipropileno</t>
  </si>
  <si>
    <t>1320/05</t>
  </si>
  <si>
    <t>1320/06</t>
  </si>
  <si>
    <t>1320/07</t>
  </si>
  <si>
    <t>1320/08</t>
  </si>
  <si>
    <t>1320/09</t>
  </si>
  <si>
    <t>1320/10</t>
  </si>
  <si>
    <t>1320/11</t>
  </si>
  <si>
    <t>1320/12</t>
  </si>
  <si>
    <t>1330/01</t>
  </si>
  <si>
    <t>1330/02</t>
  </si>
  <si>
    <t>1330/03</t>
  </si>
  <si>
    <t>1330/04</t>
  </si>
  <si>
    <t>1330/05</t>
  </si>
  <si>
    <t>1330/06</t>
  </si>
  <si>
    <t>1330/07</t>
  </si>
  <si>
    <t>1330/08</t>
  </si>
  <si>
    <t>1330/09</t>
  </si>
  <si>
    <t>1330/10</t>
  </si>
  <si>
    <t>Brida 1 1/2 polipropileno</t>
  </si>
  <si>
    <t>Brida 2 polipropileno</t>
  </si>
  <si>
    <t>Buje 1/2 x 3/8 polipropileno</t>
  </si>
  <si>
    <t>Buje 3/4 x 1/2 polipropileno</t>
  </si>
  <si>
    <t>Buje 1 x 3/4 polipropileno</t>
  </si>
  <si>
    <t>Buje 1 x 1/2 polipropileno</t>
  </si>
  <si>
    <t>Buje 1 1/4 x 1 polipropileno</t>
  </si>
  <si>
    <t>Buje 1 1/2 x 1 1/4 polipropileno</t>
  </si>
  <si>
    <t>Buje  1 1/2 x 1 polipropileno</t>
  </si>
  <si>
    <t>Buje 2 x 1 1/2 polipropileno</t>
  </si>
  <si>
    <t>Buje 2 x 1 1/4 polipropileno</t>
  </si>
  <si>
    <t>Tapon macho 1/2 polipropileno</t>
  </si>
  <si>
    <t>Tapon macho 3/4 polipropileno</t>
  </si>
  <si>
    <t>Tapon macho 1  polipropileno</t>
  </si>
  <si>
    <t>Tapon macho 1 1/4 polipropileno</t>
  </si>
  <si>
    <t>Tapon macho 1 1/2 polipropileno</t>
  </si>
  <si>
    <t xml:space="preserve">NIPLES EPOXI     </t>
  </si>
  <si>
    <t xml:space="preserve">NIPLES CONEXIÓN DE BRONCE    </t>
  </si>
  <si>
    <t xml:space="preserve"> NIPLES CONEXIÓN DE POLIPROPILENO          </t>
  </si>
  <si>
    <t xml:space="preserve">NIPLES CONEXIÓN EPOXI COMPLETO CON TUERCA Y CUPLA          </t>
  </si>
  <si>
    <t>4803/30</t>
  </si>
  <si>
    <t>4803/31</t>
  </si>
  <si>
    <t>4803/32</t>
  </si>
  <si>
    <t>4803/33</t>
  </si>
  <si>
    <t>4803/34</t>
  </si>
  <si>
    <t>4803/35</t>
  </si>
  <si>
    <t>4803/36</t>
  </si>
  <si>
    <t>4803/38</t>
  </si>
  <si>
    <t>4803/50</t>
  </si>
  <si>
    <t>4803/59</t>
  </si>
  <si>
    <t>4803/60</t>
  </si>
  <si>
    <t>4803/61</t>
  </si>
  <si>
    <t>4803/62</t>
  </si>
  <si>
    <t>4803/63</t>
  </si>
  <si>
    <t>1300/38</t>
  </si>
  <si>
    <t>1300/39</t>
  </si>
  <si>
    <t>1300/40</t>
  </si>
  <si>
    <t>1300/41</t>
  </si>
  <si>
    <t>1300/42</t>
  </si>
  <si>
    <t>1300/43</t>
  </si>
  <si>
    <t>1300/44</t>
  </si>
  <si>
    <t>1300/45</t>
  </si>
  <si>
    <t>1300/46</t>
  </si>
  <si>
    <t>1300/48</t>
  </si>
  <si>
    <t>1300/49</t>
  </si>
  <si>
    <t>1300/50</t>
  </si>
  <si>
    <t>1300/51</t>
  </si>
  <si>
    <t>1310/01</t>
  </si>
  <si>
    <t>1310/02</t>
  </si>
  <si>
    <t>1310/03</t>
  </si>
  <si>
    <t>Obturador para deposito PALANQUITA</t>
  </si>
  <si>
    <t>Conito PVC para ramal 3/8</t>
  </si>
  <si>
    <t>Conito PVC para ramal 1/2</t>
  </si>
  <si>
    <t>Prensa PVC para vastago FV</t>
  </si>
  <si>
    <t>Prensa PVC para vastago PEIRANO y PIAZZA</t>
  </si>
  <si>
    <t>Campana plastica para mesada PEIRANO</t>
  </si>
  <si>
    <t>Campana plastica llave de gas 1/2"</t>
  </si>
  <si>
    <t>Campana plastica llave de gas 3/4"</t>
  </si>
  <si>
    <t>Canilla 1/2 manga bronce</t>
  </si>
  <si>
    <t>Canilla 3/4 manga bronce</t>
  </si>
  <si>
    <t>Canilla 1/2 manga cromo</t>
  </si>
  <si>
    <t>Canilla 3/4 manga cromo</t>
  </si>
  <si>
    <t>Canilla plastica 1/2 DUKE</t>
  </si>
  <si>
    <t>Canilla plastica 3/4 DUKE</t>
  </si>
  <si>
    <t>Flexible plastico 1/2 x 40</t>
  </si>
  <si>
    <t>Flexible plastico 1/2 x 50</t>
  </si>
  <si>
    <t>Flexible de gas x 30 cm</t>
  </si>
  <si>
    <t>Flexible de gas x 40 cm</t>
  </si>
  <si>
    <t>Inserto bronce estria gruesa para volante</t>
  </si>
  <si>
    <t>Inserto bronce estria fina para volante</t>
  </si>
  <si>
    <t>Inserto bronce cuadrado para volante</t>
  </si>
  <si>
    <t>Inserto plastico estria fina para volante</t>
  </si>
  <si>
    <t>Inserto plastico estria gruesa para volante</t>
  </si>
  <si>
    <t>Inserto plastico cuadrado para volante</t>
  </si>
  <si>
    <t>Inserto plastico estria importada para volante</t>
  </si>
  <si>
    <t>Niple epoxi 3/4 x 5</t>
  </si>
  <si>
    <t>Niple epoxi 3/4 x 8</t>
  </si>
  <si>
    <t>Niple epoxi 3/4 x 10</t>
  </si>
  <si>
    <t>Niple epoxi 3/4 x 12</t>
  </si>
  <si>
    <t>Niple epoxi 3/4 x 15</t>
  </si>
  <si>
    <t>Niple epoxi 3/4 x 18</t>
  </si>
  <si>
    <t>Niple epoxi 3/4 x 20</t>
  </si>
  <si>
    <t>Niple epoxi 3/4 x 25</t>
  </si>
  <si>
    <t>Niple epoxi 3/4 x 30</t>
  </si>
  <si>
    <t>Niple epoxi 1 x 5</t>
  </si>
  <si>
    <t>Niple epoxi 1 x 8</t>
  </si>
  <si>
    <t>Niple epoxi 1 x 10</t>
  </si>
  <si>
    <t>Niple epoxi 1 x 12</t>
  </si>
  <si>
    <t>Niple epoxi 1 x 15</t>
  </si>
  <si>
    <t>Niple epoxi 1 x 18</t>
  </si>
  <si>
    <t>Niple epoxi 1 x 20</t>
  </si>
  <si>
    <t>Niple epoxi 1 x 25</t>
  </si>
  <si>
    <t>Niple epoxi 1 x 30</t>
  </si>
  <si>
    <t>1000/01</t>
  </si>
  <si>
    <t>1000/02</t>
  </si>
  <si>
    <t>1000/03</t>
  </si>
  <si>
    <t>1000/04</t>
  </si>
  <si>
    <t>1000/05</t>
  </si>
  <si>
    <t>1000/06</t>
  </si>
  <si>
    <t>1000/07</t>
  </si>
  <si>
    <t>1000/08</t>
  </si>
  <si>
    <t>1000/09</t>
  </si>
  <si>
    <t>1000/10</t>
  </si>
  <si>
    <t>1000/11</t>
  </si>
  <si>
    <t>1000/12</t>
  </si>
  <si>
    <t>1000/13</t>
  </si>
  <si>
    <t>1000/14</t>
  </si>
  <si>
    <t>1000/15</t>
  </si>
  <si>
    <t>1000/16</t>
  </si>
  <si>
    <t>1000/17</t>
  </si>
  <si>
    <t>1000/18</t>
  </si>
  <si>
    <t>1000/19</t>
  </si>
  <si>
    <t>1000/20</t>
  </si>
  <si>
    <t>1000/21</t>
  </si>
  <si>
    <t>1000/22</t>
  </si>
  <si>
    <t>1000/23</t>
  </si>
  <si>
    <t>1000/24</t>
  </si>
  <si>
    <t>1000/25</t>
  </si>
  <si>
    <t>1000/26</t>
  </si>
  <si>
    <t>1000/27</t>
  </si>
  <si>
    <t>1000/28</t>
  </si>
  <si>
    <t>1000/29</t>
  </si>
  <si>
    <t>1160/11</t>
  </si>
  <si>
    <t>1160/12</t>
  </si>
  <si>
    <t>1160/13</t>
  </si>
  <si>
    <t>1160/14</t>
  </si>
  <si>
    <t>1160/15</t>
  </si>
  <si>
    <t>1160/16</t>
  </si>
  <si>
    <t>1170/01</t>
  </si>
  <si>
    <t>1170/02</t>
  </si>
  <si>
    <t>1170/03</t>
  </si>
  <si>
    <t>1180/01</t>
  </si>
  <si>
    <t>1180/02</t>
  </si>
  <si>
    <t>1180/03</t>
  </si>
  <si>
    <t>1180/04</t>
  </si>
  <si>
    <t>1180/05</t>
  </si>
  <si>
    <t>1190/01</t>
  </si>
  <si>
    <t>1190/02</t>
  </si>
  <si>
    <t>1190/03</t>
  </si>
  <si>
    <t>1200/01</t>
  </si>
  <si>
    <t>1200/02</t>
  </si>
  <si>
    <t>1200/03</t>
  </si>
  <si>
    <t>1200/04</t>
  </si>
  <si>
    <t>1200/05</t>
  </si>
  <si>
    <t>1200/06</t>
  </si>
  <si>
    <t>1200/07</t>
  </si>
  <si>
    <t>1200/08</t>
  </si>
  <si>
    <t>1210/01</t>
  </si>
  <si>
    <t>1210/02</t>
  </si>
  <si>
    <t>1210/03</t>
  </si>
  <si>
    <t>1210/04</t>
  </si>
  <si>
    <t>1210/05</t>
  </si>
  <si>
    <t>1210/06</t>
  </si>
  <si>
    <t>1210/07</t>
  </si>
  <si>
    <t>1210/08</t>
  </si>
  <si>
    <t>1210/10</t>
  </si>
  <si>
    <t>1210/11</t>
  </si>
  <si>
    <t>1210/13</t>
  </si>
  <si>
    <t>1210/14</t>
  </si>
  <si>
    <t>1220/01</t>
  </si>
  <si>
    <t>1220/02</t>
  </si>
  <si>
    <t>1220/03</t>
  </si>
  <si>
    <t>1220/04</t>
  </si>
  <si>
    <t>1220/05</t>
  </si>
  <si>
    <t>1220/06</t>
  </si>
  <si>
    <t>1220/07</t>
  </si>
  <si>
    <t>1220/08</t>
  </si>
  <si>
    <t>1220/09</t>
  </si>
  <si>
    <t>1230/01</t>
  </si>
  <si>
    <t>1240/01</t>
  </si>
  <si>
    <t>1240/02</t>
  </si>
  <si>
    <t>Tee reduccion 25 mm x 20 mm</t>
  </si>
  <si>
    <t>1580/06</t>
  </si>
  <si>
    <t>1580/07</t>
  </si>
  <si>
    <t>1580/08</t>
  </si>
  <si>
    <t>1590/01</t>
  </si>
  <si>
    <t>1590/02</t>
  </si>
  <si>
    <t>1600/01</t>
  </si>
  <si>
    <t>1600/02</t>
  </si>
  <si>
    <t>1600/03</t>
  </si>
  <si>
    <t>1600/04</t>
  </si>
  <si>
    <t>1600/05</t>
  </si>
  <si>
    <t>1600/06</t>
  </si>
  <si>
    <t>1600/07</t>
  </si>
  <si>
    <t>1600/08</t>
  </si>
  <si>
    <t>1600/09</t>
  </si>
  <si>
    <t>1600/10</t>
  </si>
  <si>
    <t>1600/11</t>
  </si>
  <si>
    <t>1600/12</t>
  </si>
  <si>
    <t>1600/13</t>
  </si>
  <si>
    <t>1600/14</t>
  </si>
  <si>
    <t>1600/15</t>
  </si>
  <si>
    <t>1600/16</t>
  </si>
  <si>
    <t>1600/17</t>
  </si>
  <si>
    <t>1600/18</t>
  </si>
  <si>
    <t>1600/19</t>
  </si>
  <si>
    <t>1600/20</t>
  </si>
  <si>
    <t>1600/21</t>
  </si>
  <si>
    <t>1600/22</t>
  </si>
  <si>
    <t>1600/23</t>
  </si>
  <si>
    <t>1600/24</t>
  </si>
  <si>
    <t>1600/25</t>
  </si>
  <si>
    <t>Arandela para brida de tanque 1/2</t>
  </si>
  <si>
    <t>Arandela para brida de tanque 3/4</t>
  </si>
  <si>
    <t xml:space="preserve">Arandela para brida de tanque 1 </t>
  </si>
  <si>
    <t>Arandela para brida de tanque 1 1/4</t>
  </si>
  <si>
    <t>1030/91</t>
  </si>
  <si>
    <t>1030/92</t>
  </si>
  <si>
    <t>1030/93</t>
  </si>
  <si>
    <t xml:space="preserve">Ramal para lavatorio 3/8 completo </t>
  </si>
  <si>
    <t xml:space="preserve">Ramal para lavatorio 1/2 completo </t>
  </si>
  <si>
    <t xml:space="preserve">RAMALES PARA LAVATORIO       </t>
  </si>
  <si>
    <t xml:space="preserve">REJAS DE VENTILACION(SIN APROBAR)      </t>
  </si>
  <si>
    <t xml:space="preserve">REPUESTOS PARA MOCHILA Y DEPOSITO IDEAL     </t>
  </si>
  <si>
    <t xml:space="preserve">REPUESTOS FLUMAX       </t>
  </si>
  <si>
    <t xml:space="preserve">REPUESTOS PARA DEPOSITO FRANKLIN   </t>
  </si>
  <si>
    <t xml:space="preserve">REPUESTOS PARA MOCHILA CAPEA            </t>
  </si>
  <si>
    <t>4690/21</t>
  </si>
  <si>
    <t xml:space="preserve">REPUESTOS PARA MOCHILA FERRUM        </t>
  </si>
  <si>
    <t xml:space="preserve">RESORTES DE BRONCE Y ACERO PARA BOTONES    </t>
  </si>
  <si>
    <t xml:space="preserve">REGULADOR PARA GARRAFA      </t>
  </si>
  <si>
    <t>4814/90</t>
  </si>
  <si>
    <t>4815/60</t>
  </si>
  <si>
    <t>4815/61</t>
  </si>
  <si>
    <t>4815/67B</t>
  </si>
  <si>
    <t>4815/69</t>
  </si>
  <si>
    <t>4815/70</t>
  </si>
  <si>
    <t>4815/72</t>
  </si>
  <si>
    <t>4815/73</t>
  </si>
  <si>
    <t>4815/74</t>
  </si>
  <si>
    <t>4815/75</t>
  </si>
  <si>
    <t>4815/76</t>
  </si>
  <si>
    <t>4815/77</t>
  </si>
  <si>
    <t>4815/80</t>
  </si>
  <si>
    <t>4815/82</t>
  </si>
  <si>
    <t>*SOPORTE TAPA INODORO LIBRILLO BRONCE CROMO</t>
  </si>
  <si>
    <t>4815/83</t>
  </si>
  <si>
    <t>*SOPORTE TAPA INODORO LIBRILLO BRONCE</t>
  </si>
  <si>
    <t>4815/83A</t>
  </si>
  <si>
    <t>4815/84</t>
  </si>
  <si>
    <t>4815/85</t>
  </si>
  <si>
    <t>4815/86</t>
  </si>
  <si>
    <t>4815/87</t>
  </si>
  <si>
    <t>4815/88</t>
  </si>
  <si>
    <t xml:space="preserve">SIFONES Y REPUESTOS PARA SIFONES      </t>
  </si>
  <si>
    <t xml:space="preserve">Sifon de goma doble   </t>
  </si>
  <si>
    <t xml:space="preserve">SOPAPAS  PLASTICAS      </t>
  </si>
  <si>
    <t xml:space="preserve">TAPAS INTERNAS PARA DEPOSITO DE PARED         </t>
  </si>
  <si>
    <t xml:space="preserve">TEE CONEXIÓN DE LAVARROPAS              </t>
  </si>
  <si>
    <t xml:space="preserve">TOMAS DE GOMA PARA CANILLA Y MANGUERA      </t>
  </si>
  <si>
    <t xml:space="preserve">TORNILLOS COMPLETOS PARA INODORO       </t>
  </si>
  <si>
    <t xml:space="preserve">TORNILLOS VARIOS         </t>
  </si>
  <si>
    <t>1610/15</t>
  </si>
  <si>
    <t>Tornillo 5/32 x 45 con tuerca para palanca de mochila</t>
  </si>
  <si>
    <t xml:space="preserve">TUERCAS DE BRONCE PARA GRIFERIA        </t>
  </si>
  <si>
    <t xml:space="preserve">TUERCAS PARA BOTONES DE DEPOSITO PARED          </t>
  </si>
  <si>
    <t xml:space="preserve">UNIDADES MAGNETICAS    </t>
  </si>
  <si>
    <t xml:space="preserve">UNIONES MANGA PARA CANILLA          </t>
  </si>
  <si>
    <t xml:space="preserve">VALVULAS PARA CANILLA        </t>
  </si>
  <si>
    <t>VALVULAS ALIVIO PARA TERMOTANQUE</t>
  </si>
  <si>
    <t>1650/13</t>
  </si>
  <si>
    <t>1650/14</t>
  </si>
  <si>
    <t>Valvula de seguridad para termotanque de bronce</t>
  </si>
  <si>
    <t>Valvula de seguridad para termotanque de plastica</t>
  </si>
  <si>
    <t>1650/15</t>
  </si>
  <si>
    <t>Valvula PEIRANO modelo nuevo</t>
  </si>
  <si>
    <t>Ventosa con cabo</t>
  </si>
  <si>
    <t>Ventosa chica</t>
  </si>
  <si>
    <t xml:space="preserve">VOLANTES PLASTICOS PARA GRIFERIA       </t>
  </si>
  <si>
    <t>Volante plastico FV 4 lados (lotus)</t>
  </si>
  <si>
    <t>Volante plastico FV 5 lados (FV 61)</t>
  </si>
  <si>
    <t>Espiga espiga 1/2 polietileno</t>
  </si>
  <si>
    <t>Espiga espiga 3/4 polietileno</t>
  </si>
  <si>
    <t>Espiga espiga 1  polietileno</t>
  </si>
  <si>
    <t>Espiga espiga 1 1/4 polietileno</t>
  </si>
  <si>
    <t>Espiga espiga 1 1/2 polietileno</t>
  </si>
  <si>
    <t>Espiga espiga 2  polietileno</t>
  </si>
  <si>
    <t>Espiga espiga reduccion 3/4 x 1/2 polietileno</t>
  </si>
  <si>
    <t>Espiga espiga reduccion 1 x 1/2 polietileno</t>
  </si>
  <si>
    <t>Espiga espiga reduccion 1 x 3/4 polietileno</t>
  </si>
  <si>
    <t>Espiga espiga reduccion 1 1/2 x 1 1/4 polietileno</t>
  </si>
  <si>
    <t>Espiga espiga reduccion 2 x 1 1/2 polietileno</t>
  </si>
  <si>
    <t>Espiga rosca hembra 1/2 polietileno</t>
  </si>
  <si>
    <t>Espiga rosca hembra 3/4 polietileno</t>
  </si>
  <si>
    <t>Espiga rosca hembra 1 polietileno</t>
  </si>
  <si>
    <t>Espiga rosca hembra 1 1/4 polietileno</t>
  </si>
  <si>
    <t>Espiga rosca hembra 1 1/2 polietileno</t>
  </si>
  <si>
    <t>Espiga rosca hembra 2 polietileno</t>
  </si>
  <si>
    <t>Termocupla x 150 cm</t>
  </si>
  <si>
    <t>Tuerca plana de ajuste</t>
  </si>
  <si>
    <t>Tuerca 8 x 1</t>
  </si>
  <si>
    <t>Tuerca Eitar</t>
  </si>
  <si>
    <t>Tuerca Orbis</t>
  </si>
  <si>
    <t>Tuerca Longvie</t>
  </si>
  <si>
    <t>Tuerca Ottonello</t>
  </si>
  <si>
    <t>Tuerca Eskabe</t>
  </si>
  <si>
    <t>Soporte 8 x 1</t>
  </si>
  <si>
    <t>Soporte Eitar</t>
  </si>
  <si>
    <t>Soporte Orbis</t>
  </si>
  <si>
    <t>Soporte Longvie</t>
  </si>
  <si>
    <t>Soporte Rheem</t>
  </si>
  <si>
    <t>Tuerca Rheem</t>
  </si>
  <si>
    <t>Soporte Eskabe 2000</t>
  </si>
  <si>
    <t>Soporte Eskabe 5000</t>
  </si>
  <si>
    <t>Tornillo para inodoro 22 x 70</t>
  </si>
  <si>
    <t>Tornillo para inodoro 22 x 80</t>
  </si>
  <si>
    <t>Tornillo 3/16 x 2 p/sopapa niquelado</t>
  </si>
  <si>
    <t>Tornillo 3/16 x 3 p/sopapa niquelado</t>
  </si>
  <si>
    <t>Tornillo 1/4 x 2 p/sopapa</t>
  </si>
  <si>
    <t>Duchador cromado completo con soporte</t>
  </si>
  <si>
    <t>Duchador solo cromo anticalcareo</t>
  </si>
  <si>
    <t>Duchador plastico de mano portatil</t>
  </si>
  <si>
    <t>Tee de derivacion cromada para duchador plastica</t>
  </si>
  <si>
    <t>Flexible para duchador de 150 cm</t>
  </si>
  <si>
    <t>Flexible para duchador de 180 cm</t>
  </si>
  <si>
    <t>Flexible para duchador de 200 cm</t>
  </si>
  <si>
    <t>Flexible mallado 1/2 x 25 cm</t>
  </si>
  <si>
    <t>Reja de ventilacion de acero inoxidable 20 x 20 con agujeros</t>
  </si>
  <si>
    <t>Rejilla protectora 8 x 8</t>
  </si>
  <si>
    <t>Rejilla protectora 15 x 15</t>
  </si>
  <si>
    <t>Rejilla protectora 20 x 20</t>
  </si>
  <si>
    <t>DESCRIPCION</t>
  </si>
  <si>
    <t>CODIGO</t>
  </si>
  <si>
    <t>Cupla 1/4</t>
  </si>
  <si>
    <t>Cupla 1/8</t>
  </si>
  <si>
    <t>Cupla 1/2 x 3/8</t>
  </si>
  <si>
    <t>Reduccion MH 1/2 x 1/8</t>
  </si>
  <si>
    <t>Reduccion MH 1/2 x 1/4</t>
  </si>
  <si>
    <t>Reduccion MH 1/2 x 3/8</t>
  </si>
  <si>
    <t>Reduccion MH 3/8 x 1/8</t>
  </si>
  <si>
    <t>Reduccion MH 3/8 x 1/4</t>
  </si>
  <si>
    <t>Reduccion MH 1/4 x 1/8</t>
  </si>
  <si>
    <t>Reduccion MM 1/2 x 1/8</t>
  </si>
  <si>
    <t>Reduccion MM 1/2 x 1/4</t>
  </si>
  <si>
    <t>Reduccion MM 1/2 x 3/8</t>
  </si>
  <si>
    <t>Reduccion MM 3/8 x 1/8</t>
  </si>
  <si>
    <t>Reduccion MM 3/8 x 1/4</t>
  </si>
  <si>
    <t>Reduccion MM 1/4 x 1/8</t>
  </si>
  <si>
    <t>Codo MH 1/2 x 1/8</t>
  </si>
  <si>
    <t>Codo MH 1/2 x 1/4</t>
  </si>
  <si>
    <t>Codo MH 1/2 x 3/8</t>
  </si>
  <si>
    <t>Codo MH 3/8 x 1/8</t>
  </si>
  <si>
    <t>Codo MH 3/8 x 1/4</t>
  </si>
  <si>
    <t>Codo MH 1/4 x 1/8</t>
  </si>
  <si>
    <t>Codo MM 1/2 x 1/8</t>
  </si>
  <si>
    <t>Codo MM 1/2 x 1/4</t>
  </si>
  <si>
    <t>Codo MM 1/2 x 3/8</t>
  </si>
  <si>
    <t>Codo MM 3/8 x 1/8</t>
  </si>
  <si>
    <t>Codo MM 3/8 x 1/4</t>
  </si>
  <si>
    <t>Codo MM 1/4 x 1/8</t>
  </si>
  <si>
    <t>Cupla 1/2 x 1/8</t>
  </si>
  <si>
    <t>Cupla 1/2 x 1/4</t>
  </si>
  <si>
    <t>Cupla 3/8 x 1/8</t>
  </si>
  <si>
    <t>Cupla 3/8 x 1/4</t>
  </si>
  <si>
    <t>Cupla 1/4 x 1/8</t>
  </si>
  <si>
    <t>Buje 1/2 x 1/8</t>
  </si>
  <si>
    <t>4699/30</t>
  </si>
  <si>
    <t>4699/32</t>
  </si>
  <si>
    <t>4699/34</t>
  </si>
  <si>
    <t>4699/36</t>
  </si>
  <si>
    <t>4699/38</t>
  </si>
  <si>
    <t>4700/20</t>
  </si>
  <si>
    <t>4700/21</t>
  </si>
  <si>
    <t>4700/22</t>
  </si>
  <si>
    <t>4700/23</t>
  </si>
  <si>
    <t>4700/24</t>
  </si>
  <si>
    <t>4700/25</t>
  </si>
  <si>
    <t>4700/26</t>
  </si>
  <si>
    <t>4700/28</t>
  </si>
  <si>
    <t>4700/30</t>
  </si>
  <si>
    <t>4700/31</t>
  </si>
  <si>
    <t>4700/32</t>
  </si>
  <si>
    <t>4700/33</t>
  </si>
  <si>
    <t>4700/34</t>
  </si>
  <si>
    <t>4700/35</t>
  </si>
  <si>
    <t>4700/36</t>
  </si>
  <si>
    <t>4700/37</t>
  </si>
  <si>
    <t>4700/38</t>
  </si>
  <si>
    <t>4700/39</t>
  </si>
  <si>
    <t>4700/39A</t>
  </si>
  <si>
    <t>4700/40</t>
  </si>
  <si>
    <t>4700/41</t>
  </si>
  <si>
    <t>4700/42</t>
  </si>
  <si>
    <t>4700/42A</t>
  </si>
  <si>
    <t>4700/45</t>
  </si>
  <si>
    <t>4700/46</t>
  </si>
  <si>
    <t>4700/47</t>
  </si>
  <si>
    <t>4700/48</t>
  </si>
  <si>
    <t>4700/50</t>
  </si>
  <si>
    <t>4700/51</t>
  </si>
  <si>
    <t>4700/52</t>
  </si>
  <si>
    <t>4700/53</t>
  </si>
  <si>
    <t>4700/54</t>
  </si>
  <si>
    <t>4700/55</t>
  </si>
  <si>
    <t>4700/56</t>
  </si>
  <si>
    <t>4700/58</t>
  </si>
  <si>
    <t>4700/59</t>
  </si>
  <si>
    <t>4700/60</t>
  </si>
  <si>
    <t>4700/62</t>
  </si>
  <si>
    <t>4700/63</t>
  </si>
  <si>
    <t>4700/64</t>
  </si>
  <si>
    <t>4700/64A</t>
  </si>
  <si>
    <t>4700/65</t>
  </si>
  <si>
    <t>4700/66</t>
  </si>
  <si>
    <t>4700/67</t>
  </si>
  <si>
    <t>4700/68</t>
  </si>
  <si>
    <t>Arandela fibra 1 fina</t>
  </si>
  <si>
    <t>Arandela fibra 1 ancha</t>
  </si>
  <si>
    <t>1320/01</t>
  </si>
  <si>
    <t>1320/02</t>
  </si>
  <si>
    <t>1320/03</t>
  </si>
  <si>
    <t>1320/04</t>
  </si>
  <si>
    <t>4700/69</t>
  </si>
  <si>
    <t>4700/70</t>
  </si>
  <si>
    <t>4700/71</t>
  </si>
  <si>
    <t>4700/71B</t>
  </si>
  <si>
    <t>4700/72</t>
  </si>
  <si>
    <t xml:space="preserve">NICHOS CON PUERTA DE CHAPA APROBADA         </t>
  </si>
  <si>
    <t>1420/20</t>
  </si>
  <si>
    <t>Obturador mochila economico</t>
  </si>
  <si>
    <t xml:space="preserve">OBTURADORES PARA MOCHILA     </t>
  </si>
  <si>
    <t>1420/22</t>
  </si>
  <si>
    <t xml:space="preserve">OBTURADORES PARA DEPOSITO DE PARED       </t>
  </si>
  <si>
    <t>1420/23</t>
  </si>
  <si>
    <t>1420/24</t>
  </si>
  <si>
    <t xml:space="preserve">PALITO PORTA ROLLO        </t>
  </si>
  <si>
    <t xml:space="preserve">Puerta de gas 40 x 50 </t>
  </si>
  <si>
    <t>Puerta de gas 40 x 60</t>
  </si>
  <si>
    <t>Puerta de gas 45 x 65</t>
  </si>
  <si>
    <t xml:space="preserve">REJILLAS PROTECTORAS CONTRA INSECTOS   </t>
  </si>
  <si>
    <t xml:space="preserve">SOBRETAPAS DE ACERO INOX.PARA DEPOSITOS        </t>
  </si>
  <si>
    <t xml:space="preserve">SOBRETAPAS PLASTICAS PARA DEPOSITOS      </t>
  </si>
  <si>
    <t>Tapon macho 2 polipropileno</t>
  </si>
  <si>
    <t>1040/32</t>
  </si>
  <si>
    <t>1040/33</t>
  </si>
  <si>
    <t>1040/34</t>
  </si>
  <si>
    <t>1040/35</t>
  </si>
  <si>
    <t>1040/36</t>
  </si>
  <si>
    <t>1040/37</t>
  </si>
  <si>
    <t>1040/38</t>
  </si>
  <si>
    <t>1040/39</t>
  </si>
  <si>
    <t>1040/40</t>
  </si>
  <si>
    <t>1040/41</t>
  </si>
  <si>
    <t>1040/42</t>
  </si>
  <si>
    <t>1040/43</t>
  </si>
  <si>
    <t>1040/44</t>
  </si>
  <si>
    <t>1040/45</t>
  </si>
  <si>
    <t>1040/46</t>
  </si>
  <si>
    <t>1040/47</t>
  </si>
  <si>
    <t>1040/48</t>
  </si>
  <si>
    <t>1040/49</t>
  </si>
  <si>
    <t>1040/50</t>
  </si>
  <si>
    <t>1040/51</t>
  </si>
  <si>
    <t>1040/52</t>
  </si>
  <si>
    <t>1040/53</t>
  </si>
  <si>
    <t>1040/54</t>
  </si>
  <si>
    <t>1040/55</t>
  </si>
  <si>
    <t>1040/56</t>
  </si>
  <si>
    <t>Codo espiga espiga 1/2 polietileno</t>
  </si>
  <si>
    <t>Codo espiga espiga 3/4 polietileno</t>
  </si>
  <si>
    <t>Codo espiga espiga 1 polietileno</t>
  </si>
  <si>
    <t>Codo espiga espiga 1 1/4 polietileno</t>
  </si>
  <si>
    <t>Codo espiga espiga 1 1/2polietileno</t>
  </si>
  <si>
    <t>Codo espiga espiga 2 polietileno</t>
  </si>
  <si>
    <t>Codo espiga rosca hembra 1/2 polietileno</t>
  </si>
  <si>
    <t>Codo espiga rosca hembra 3/4 polietileno</t>
  </si>
  <si>
    <t>Codo espiga rosca hembra 1  polietileno</t>
  </si>
  <si>
    <t>Codo espiga rosca hembra 1 1/4  polietileno</t>
  </si>
  <si>
    <t>Codo espiga rosca hembra 1 1/2 polietileno</t>
  </si>
  <si>
    <t>Codo espiga rosca hembra 2  polietileno</t>
  </si>
  <si>
    <t>1010/46</t>
  </si>
  <si>
    <t>1010/47</t>
  </si>
  <si>
    <t>1010/48</t>
  </si>
  <si>
    <t>1010/49</t>
  </si>
  <si>
    <t>1010/50</t>
  </si>
  <si>
    <t>1010/51</t>
  </si>
  <si>
    <t>1010/52</t>
  </si>
  <si>
    <t>1010/53</t>
  </si>
  <si>
    <t>1010/54</t>
  </si>
  <si>
    <t>1010/55</t>
  </si>
  <si>
    <t>1010/56</t>
  </si>
  <si>
    <t>1010/57</t>
  </si>
  <si>
    <t>1010/58</t>
  </si>
  <si>
    <t>1010/59</t>
  </si>
  <si>
    <t>1010/60</t>
  </si>
  <si>
    <t>1010/61</t>
  </si>
  <si>
    <t>1010/62</t>
  </si>
  <si>
    <t>1010/63</t>
  </si>
  <si>
    <t>1010/64</t>
  </si>
  <si>
    <t>1010/65</t>
  </si>
  <si>
    <t>1010/66</t>
  </si>
  <si>
    <t>1010/67</t>
  </si>
  <si>
    <t>1010/68</t>
  </si>
  <si>
    <t>1010/69</t>
  </si>
  <si>
    <t>1010/70</t>
  </si>
  <si>
    <t>1010/71</t>
  </si>
  <si>
    <t>1010/72</t>
  </si>
  <si>
    <t>1010/73</t>
  </si>
  <si>
    <t>1010/74</t>
  </si>
  <si>
    <t>1010/75</t>
  </si>
  <si>
    <t>1010/76</t>
  </si>
  <si>
    <t>1010/77</t>
  </si>
  <si>
    <t>1010/78</t>
  </si>
  <si>
    <t>1010/79</t>
  </si>
  <si>
    <t>1010/80</t>
  </si>
  <si>
    <t>1010/81</t>
  </si>
  <si>
    <t>1010/82</t>
  </si>
  <si>
    <t>1010/83</t>
  </si>
  <si>
    <t>1010/84</t>
  </si>
  <si>
    <t>1010/85</t>
  </si>
  <si>
    <t>1010/86</t>
  </si>
  <si>
    <t>1020/01</t>
  </si>
  <si>
    <t>1020/02</t>
  </si>
  <si>
    <t>1020/03</t>
  </si>
  <si>
    <t>1020/04</t>
  </si>
  <si>
    <t>1020/05</t>
  </si>
  <si>
    <t>1020/06</t>
  </si>
  <si>
    <t>1020/07</t>
  </si>
  <si>
    <t>1020/08</t>
  </si>
  <si>
    <t>1020/09</t>
  </si>
  <si>
    <t>1020/10</t>
  </si>
  <si>
    <t>1020/11</t>
  </si>
  <si>
    <t>1020/12</t>
  </si>
  <si>
    <t>1020/13</t>
  </si>
  <si>
    <t>1020/14</t>
  </si>
  <si>
    <t>1020/15</t>
  </si>
  <si>
    <t>1020/16</t>
  </si>
  <si>
    <t>1020/17</t>
  </si>
  <si>
    <t>1020/18</t>
  </si>
  <si>
    <t>1020/19</t>
  </si>
  <si>
    <t>1020/20</t>
  </si>
  <si>
    <t>1020/21</t>
  </si>
  <si>
    <t>1020/22</t>
  </si>
  <si>
    <t>1020/23</t>
  </si>
  <si>
    <t>1020/24</t>
  </si>
  <si>
    <t>1020/26</t>
  </si>
  <si>
    <t>1020/27</t>
  </si>
  <si>
    <t>1020/28</t>
  </si>
  <si>
    <t>1020/29</t>
  </si>
  <si>
    <t>1020/30</t>
  </si>
  <si>
    <t>1020/31</t>
  </si>
  <si>
    <t>1020/32</t>
  </si>
  <si>
    <t>1020/33</t>
  </si>
  <si>
    <t>1020/34</t>
  </si>
  <si>
    <t>1020/35</t>
  </si>
  <si>
    <t>1020/36</t>
  </si>
  <si>
    <t>1020/37</t>
  </si>
  <si>
    <t>1020/38</t>
  </si>
  <si>
    <t>1020/39</t>
  </si>
  <si>
    <t>1020/40</t>
  </si>
  <si>
    <t>1020/41</t>
  </si>
  <si>
    <t>1020/42</t>
  </si>
  <si>
    <t>1020/43</t>
  </si>
  <si>
    <t>1020/44</t>
  </si>
  <si>
    <t>1020/45</t>
  </si>
  <si>
    <t>1020/46</t>
  </si>
  <si>
    <t>1020/47</t>
  </si>
  <si>
    <t>1020/48</t>
  </si>
  <si>
    <t>1020/49</t>
  </si>
  <si>
    <t>1020/50</t>
  </si>
  <si>
    <t>1020/51</t>
  </si>
  <si>
    <t>1020/52</t>
  </si>
  <si>
    <t>1020/53</t>
  </si>
  <si>
    <t>1020/54</t>
  </si>
  <si>
    <t>1020/55</t>
  </si>
  <si>
    <t>1020/56</t>
  </si>
  <si>
    <t>1030/01</t>
  </si>
  <si>
    <t>1030/02</t>
  </si>
  <si>
    <t>1030/03</t>
  </si>
  <si>
    <t>1030/04</t>
  </si>
  <si>
    <t>1030/05</t>
  </si>
  <si>
    <t>1030/06</t>
  </si>
  <si>
    <t>1030/07</t>
  </si>
  <si>
    <t>1030/08</t>
  </si>
  <si>
    <t>1030/09</t>
  </si>
  <si>
    <t>1030/10</t>
  </si>
  <si>
    <t>1030/11</t>
  </si>
  <si>
    <t>1030/12</t>
  </si>
  <si>
    <t>1030/13</t>
  </si>
  <si>
    <t>1030/14</t>
  </si>
  <si>
    <t>1030/15</t>
  </si>
  <si>
    <t>1030/16</t>
  </si>
  <si>
    <t>1030/17</t>
  </si>
  <si>
    <t>1030/18</t>
  </si>
  <si>
    <t>1030/19</t>
  </si>
  <si>
    <t>1030/20</t>
  </si>
  <si>
    <t>1030/23</t>
  </si>
  <si>
    <t>1030/24</t>
  </si>
  <si>
    <t>1030/25</t>
  </si>
  <si>
    <t>1030/26</t>
  </si>
  <si>
    <t>1030/27</t>
  </si>
  <si>
    <t>1030/28</t>
  </si>
  <si>
    <t>1030/29</t>
  </si>
  <si>
    <t>1030/30</t>
  </si>
  <si>
    <t>1030/31</t>
  </si>
  <si>
    <t>1030/32</t>
  </si>
  <si>
    <t>1030/33</t>
  </si>
  <si>
    <t>1030/34</t>
  </si>
  <si>
    <t>Niple de bronce 3/4 x 5</t>
  </si>
  <si>
    <t>Niple de bronce 3/4 x 8</t>
  </si>
  <si>
    <t>Niple de bronce 3/4 x 10</t>
  </si>
  <si>
    <t>Niple de bronce 3/4 x 12</t>
  </si>
  <si>
    <t>Niple de bronce 3/4 x 15</t>
  </si>
  <si>
    <t>CAÑOS DE POLIETILENO (NEGRO)</t>
  </si>
  <si>
    <t>1220/16</t>
  </si>
  <si>
    <t>1220/17</t>
  </si>
  <si>
    <t>1220/18</t>
  </si>
  <si>
    <t>1240/05</t>
  </si>
  <si>
    <t>1260/11</t>
  </si>
  <si>
    <t>1260/12</t>
  </si>
  <si>
    <t>1260/13</t>
  </si>
  <si>
    <t>1260/14</t>
  </si>
  <si>
    <t>1260/15</t>
  </si>
  <si>
    <t>Conexión goma traful fuelle</t>
  </si>
  <si>
    <t>Conexión goma para deposito de colgar</t>
  </si>
  <si>
    <t>Conexión goma para conexión cromada</t>
  </si>
  <si>
    <t>1260/16</t>
  </si>
  <si>
    <t>1260/17</t>
  </si>
  <si>
    <t>1260/18</t>
  </si>
  <si>
    <t>1260/19</t>
  </si>
  <si>
    <t>1260/20</t>
  </si>
  <si>
    <t>1260/21</t>
  </si>
  <si>
    <t>1260/22</t>
  </si>
  <si>
    <t>1260/23</t>
  </si>
  <si>
    <t>1260/24</t>
  </si>
  <si>
    <t>1260/25</t>
  </si>
  <si>
    <t>1260/26</t>
  </si>
  <si>
    <t>1260/27</t>
  </si>
  <si>
    <t>1260/28</t>
  </si>
  <si>
    <t>1260/29</t>
  </si>
  <si>
    <t>1260/30</t>
  </si>
  <si>
    <t>1340/06</t>
  </si>
  <si>
    <t>1340/07</t>
  </si>
  <si>
    <t>1350/01</t>
  </si>
  <si>
    <t>1350/02</t>
  </si>
  <si>
    <t>1350/03</t>
  </si>
  <si>
    <t>1350/04</t>
  </si>
  <si>
    <t>1350/05</t>
  </si>
  <si>
    <t>1350/06</t>
  </si>
  <si>
    <t>1350/07</t>
  </si>
  <si>
    <t>1350/08</t>
  </si>
  <si>
    <t>1350/09</t>
  </si>
  <si>
    <t>1360/01</t>
  </si>
  <si>
    <t>1360/02</t>
  </si>
  <si>
    <t>1360/03</t>
  </si>
  <si>
    <t>1360/04</t>
  </si>
  <si>
    <t>1360/05</t>
  </si>
  <si>
    <t>1360/06</t>
  </si>
  <si>
    <t>1360/07</t>
  </si>
  <si>
    <t>1360/08</t>
  </si>
  <si>
    <t>1360/09</t>
  </si>
  <si>
    <t>1360/10</t>
  </si>
  <si>
    <t>1360/11</t>
  </si>
  <si>
    <t>1360/12</t>
  </si>
  <si>
    <t>1360/13</t>
  </si>
  <si>
    <t>1360/14</t>
  </si>
  <si>
    <t>1360/15</t>
  </si>
  <si>
    <t>1360/16</t>
  </si>
  <si>
    <t>1360/17</t>
  </si>
  <si>
    <t>1360/18</t>
  </si>
  <si>
    <t>1360/19</t>
  </si>
  <si>
    <t>1360/20</t>
  </si>
  <si>
    <t>1360/21</t>
  </si>
  <si>
    <t>1360/22</t>
  </si>
  <si>
    <t>1360/23</t>
  </si>
  <si>
    <t>1360/24</t>
  </si>
  <si>
    <t>1360/25</t>
  </si>
  <si>
    <t>1360/26</t>
  </si>
  <si>
    <t>1360/27</t>
  </si>
  <si>
    <t>1360/28</t>
  </si>
  <si>
    <t>1360/29</t>
  </si>
  <si>
    <t>1360/30</t>
  </si>
  <si>
    <t>1360/31</t>
  </si>
  <si>
    <t>1360/32</t>
  </si>
  <si>
    <t>1360/33</t>
  </si>
  <si>
    <t>1360/34</t>
  </si>
  <si>
    <t>1360/35</t>
  </si>
  <si>
    <t>1360/36</t>
  </si>
  <si>
    <t>1360/37</t>
  </si>
  <si>
    <t>1360/38</t>
  </si>
  <si>
    <t>1360/39</t>
  </si>
  <si>
    <t>1360/40</t>
  </si>
  <si>
    <t>1360/41</t>
  </si>
  <si>
    <t>1360/42</t>
  </si>
  <si>
    <t>1370/01</t>
  </si>
  <si>
    <t>1380/01</t>
  </si>
  <si>
    <t>1380/02</t>
  </si>
  <si>
    <t>1380/03</t>
  </si>
  <si>
    <t>1380/05</t>
  </si>
  <si>
    <t>1380/06</t>
  </si>
  <si>
    <t>1380/07</t>
  </si>
  <si>
    <t>1380/08</t>
  </si>
  <si>
    <t>1380/09</t>
  </si>
  <si>
    <t>1380/10</t>
  </si>
  <si>
    <t>1390/01</t>
  </si>
  <si>
    <t>1390/02</t>
  </si>
  <si>
    <t>1390/03</t>
  </si>
  <si>
    <t>1390/04</t>
  </si>
  <si>
    <t>1390/05</t>
  </si>
  <si>
    <t>1390/06</t>
  </si>
  <si>
    <t>1400/01</t>
  </si>
  <si>
    <t>1400/02</t>
  </si>
  <si>
    <t>1400/03</t>
  </si>
  <si>
    <t>1400/04</t>
  </si>
  <si>
    <t>1400/05</t>
  </si>
  <si>
    <t>4699/01</t>
  </si>
  <si>
    <t>4699/21</t>
  </si>
  <si>
    <t>4699/22</t>
  </si>
  <si>
    <t>4699/24</t>
  </si>
  <si>
    <t>4699/26</t>
  </si>
  <si>
    <t>4699/27</t>
  </si>
  <si>
    <t>4699/28</t>
  </si>
  <si>
    <t>1240/03</t>
  </si>
  <si>
    <t>1240/04</t>
  </si>
  <si>
    <t>1250/01</t>
  </si>
  <si>
    <t>1260/01</t>
  </si>
  <si>
    <t>1260/02</t>
  </si>
  <si>
    <t>1260/03</t>
  </si>
  <si>
    <t>1260/04</t>
  </si>
  <si>
    <t>1260/05</t>
  </si>
  <si>
    <t>1260/06</t>
  </si>
  <si>
    <t>1260/07</t>
  </si>
  <si>
    <t>1260/08</t>
  </si>
  <si>
    <t>1270/01</t>
  </si>
  <si>
    <t>1270/02</t>
  </si>
  <si>
    <t>1270/03</t>
  </si>
  <si>
    <t>1270/04</t>
  </si>
  <si>
    <t>1270/05</t>
  </si>
  <si>
    <t>1280/01</t>
  </si>
  <si>
    <t>1280/02</t>
  </si>
  <si>
    <t>1280/03</t>
  </si>
  <si>
    <t>1280/04</t>
  </si>
  <si>
    <t>1290/01</t>
  </si>
  <si>
    <t>1290/02</t>
  </si>
  <si>
    <t>1300/01</t>
  </si>
  <si>
    <t>1300/02</t>
  </si>
  <si>
    <t>1300/03</t>
  </si>
  <si>
    <t>1300/04</t>
  </si>
  <si>
    <t>1300/05</t>
  </si>
  <si>
    <t xml:space="preserve">Grampa media omega 1 </t>
  </si>
  <si>
    <t>Grampa omega 1/2</t>
  </si>
  <si>
    <t>Grampa omega 3/4</t>
  </si>
  <si>
    <t xml:space="preserve">Grampa omega 1 </t>
  </si>
  <si>
    <t>Grampa omega 1 1/4</t>
  </si>
  <si>
    <t>Grampa omega 63 praca caño PVC</t>
  </si>
  <si>
    <t>Grampa omega 2 1/2</t>
  </si>
  <si>
    <t>1420/15</t>
  </si>
  <si>
    <t>Pilar de gas modelo antiguo</t>
  </si>
  <si>
    <t>Pilar de gas modelo actual</t>
  </si>
  <si>
    <t>4710/5</t>
  </si>
  <si>
    <t xml:space="preserve">Sopapa a codo bañera de PVC </t>
  </si>
  <si>
    <t>Volante azabache</t>
  </si>
  <si>
    <t>1670/08</t>
  </si>
  <si>
    <t>Tornillo 5/32 x 1/2 cabeza redonda FV</t>
  </si>
  <si>
    <t>Tornillo 5/32 x 1/2 cabeza tanque FV</t>
  </si>
  <si>
    <t>Tornillo 5/32 con 2 tuercas p/tapa FRANKLIN</t>
  </si>
  <si>
    <t>Bulon para tapa camara de bronce pulido</t>
  </si>
  <si>
    <t>1660/11</t>
  </si>
  <si>
    <t>1660/11B</t>
  </si>
  <si>
    <t>1660/12</t>
  </si>
  <si>
    <t>1660/12B</t>
  </si>
  <si>
    <t>1660/13</t>
  </si>
  <si>
    <t>1660/14</t>
  </si>
  <si>
    <t>1170/02B</t>
  </si>
  <si>
    <t>CAMARA DE INSPECCION Y AROS Y ANTIRRETORNO</t>
  </si>
  <si>
    <t>1180/13</t>
  </si>
  <si>
    <t>Valvula antirretorno pvc 110</t>
  </si>
  <si>
    <t>1180/14</t>
  </si>
  <si>
    <t>Adaptador con oring para valvula antirretorno</t>
  </si>
  <si>
    <t xml:space="preserve">DEPOSITOS PLASTICOS PARA EMBUTIR </t>
  </si>
  <si>
    <t>1350/01A</t>
  </si>
  <si>
    <t>1030/20A</t>
  </si>
  <si>
    <t>Cupla 1 1/4 x 1/2 polipropileno</t>
  </si>
  <si>
    <t>Cupla 1 1/4 x 3/4 polipropileno</t>
  </si>
  <si>
    <t>Cupla 1 1/2 x 1 polipropileno</t>
  </si>
  <si>
    <t>1030/20C</t>
  </si>
  <si>
    <t>1400/199</t>
  </si>
  <si>
    <t>1400/200</t>
  </si>
  <si>
    <t>1400/201</t>
  </si>
  <si>
    <t>1400/202</t>
  </si>
  <si>
    <t>1400/203</t>
  </si>
  <si>
    <t>1400/204</t>
  </si>
  <si>
    <t>1400/205</t>
  </si>
  <si>
    <t>1400/206</t>
  </si>
  <si>
    <t>1400/207</t>
  </si>
  <si>
    <t>1400/208</t>
  </si>
  <si>
    <t>1400/209</t>
  </si>
  <si>
    <t>1400/210</t>
  </si>
  <si>
    <t>Niples de polipropileno 1 1/4 x 10</t>
  </si>
  <si>
    <t>Niples de polipropileno 1 1/4 x 12</t>
  </si>
  <si>
    <t>Niples de polipropileno 1 1/4 X 15</t>
  </si>
  <si>
    <t>Niples de polipropileno 1 1/4 X 20</t>
  </si>
  <si>
    <t>Niples de polipropileno 1 1/2 X 10</t>
  </si>
  <si>
    <t>Niples de polipropileno 1 1/2 X 12</t>
  </si>
  <si>
    <t>Niples de polipropileno 1 1/2 X 15</t>
  </si>
  <si>
    <t>Niples de polipropileno 1 1/2 X 20</t>
  </si>
  <si>
    <t>Niples de polipropileno 2 X 10</t>
  </si>
  <si>
    <t>Niples de polipropileno 2 X 12</t>
  </si>
  <si>
    <t>Niples de polipropileno 2 X 15</t>
  </si>
  <si>
    <t>Niples de polipropileno 2 X 20</t>
  </si>
  <si>
    <t>1070/04</t>
  </si>
  <si>
    <t>1070/05</t>
  </si>
  <si>
    <t>1070/06</t>
  </si>
  <si>
    <t>Acople rapido 1 1/4 duke</t>
  </si>
  <si>
    <t>Acople rapido 1 1/2 duke</t>
  </si>
  <si>
    <t>Acople rapido 2 duke</t>
  </si>
  <si>
    <t xml:space="preserve">Codo c/inserto metalico hembra 1/2 x 20 mm </t>
  </si>
  <si>
    <t xml:space="preserve">Codo c/inserto metalico hembra 3/4 x 20 mm </t>
  </si>
  <si>
    <t xml:space="preserve">Codo c/inserto metalico hembra 1/2 x 25 mm </t>
  </si>
  <si>
    <t xml:space="preserve">Codo c/inserto metalico hembra 3/4 x 25 mm </t>
  </si>
  <si>
    <t xml:space="preserve">Codo c/inserto metalico hembra 3/4 x 32 mm </t>
  </si>
  <si>
    <t xml:space="preserve">Codo c/inserto metalico hembra 1 x 32 mm </t>
  </si>
  <si>
    <t xml:space="preserve">Codo c/inserto metalico macho 1/2 x 20 mm </t>
  </si>
  <si>
    <t xml:space="preserve">Codo c/inserto metalico macho 1/2 x 25 mm </t>
  </si>
  <si>
    <t xml:space="preserve">Codo c/inserto metalico macho 3/4 x 25 mm </t>
  </si>
  <si>
    <t xml:space="preserve">Codo c/inserto metalico macho 1 x 32 mm </t>
  </si>
  <si>
    <t xml:space="preserve">Cupla c/inserto metalico hembra 3/8 x 20 mm </t>
  </si>
  <si>
    <t xml:space="preserve">Cupla c/inserto metalico hembra 1/2 x 20 mm </t>
  </si>
  <si>
    <t xml:space="preserve">Cupla c/inserto metalico hembra 1/2 x 25 mm </t>
  </si>
  <si>
    <t xml:space="preserve">Cupla c/inserto metalico hembra 3/4 x 25 mm </t>
  </si>
  <si>
    <t xml:space="preserve">Cupla c/inserto metalico macho 1/2 x 20 mm </t>
  </si>
  <si>
    <t xml:space="preserve">Cupla c/inserto metalico macho 1/2 x 25 mm </t>
  </si>
  <si>
    <t xml:space="preserve">Cupla c/inserto metalico macho 3/4 x 25 mm </t>
  </si>
  <si>
    <t xml:space="preserve">Cupla c/inserto metalico macho 3/4 x 32 mm </t>
  </si>
  <si>
    <t xml:space="preserve">Cupla c/inserto metalico macho 1 x 32 mm </t>
  </si>
  <si>
    <t>1220/26A</t>
  </si>
  <si>
    <t>CAÑO 40 GRIS</t>
  </si>
  <si>
    <t>CAÑO 50 GRIS</t>
  </si>
  <si>
    <t>CAÑO 60 GRIS</t>
  </si>
  <si>
    <t>CAÑO 100 GRIS</t>
  </si>
  <si>
    <t>CAÑO 110 GRIS</t>
  </si>
  <si>
    <t>1220/19A</t>
  </si>
  <si>
    <t>1220/20A</t>
  </si>
  <si>
    <t>1220/21A</t>
  </si>
  <si>
    <t>1220/22A</t>
  </si>
  <si>
    <t>1220/26B</t>
  </si>
  <si>
    <t>4700/42B</t>
  </si>
  <si>
    <t>1050/07B</t>
  </si>
  <si>
    <t>1050/08B</t>
  </si>
  <si>
    <t>1050/09B</t>
  </si>
  <si>
    <t>Curva 90 20 mm</t>
  </si>
  <si>
    <t>Curva 90 32 mm</t>
  </si>
  <si>
    <t>Curva 90 25 mm</t>
  </si>
  <si>
    <t xml:space="preserve">Tee c/inserto metalico hembra 1/2 x 20 mm </t>
  </si>
  <si>
    <t xml:space="preserve">Tee c/inserto metalico hembra 1/2 x 25 mm </t>
  </si>
  <si>
    <t xml:space="preserve">Tee c/inserto metalico hembra 3/4 x 25 mm </t>
  </si>
  <si>
    <t xml:space="preserve">Tee c/inserto metalico hembra 3/4 x 32 mm </t>
  </si>
  <si>
    <t xml:space="preserve">Tee c/inserto metalico hembra 1 x 32 mm </t>
  </si>
  <si>
    <t xml:space="preserve">Tee c/inserto metalico macho 1/2 x 20 mm </t>
  </si>
  <si>
    <t xml:space="preserve">Tee c/inserto metalico macho 1/2 x 25 mm </t>
  </si>
  <si>
    <t xml:space="preserve">Tee c/inserto metalico macho 3/4 x 25 mm </t>
  </si>
  <si>
    <t xml:space="preserve">Tee c/inserto metalico macho 3/4 x 32 mm </t>
  </si>
  <si>
    <t xml:space="preserve">Tee c/inserto metalico macho 1 x 32 mm </t>
  </si>
  <si>
    <t>Regulador completo para garrafa de 10 KG x 1 mt</t>
  </si>
  <si>
    <t>Camara silenciosa plastica economica completa H</t>
  </si>
  <si>
    <t>Camara silenciosa macho plastica ECONOMICA</t>
  </si>
  <si>
    <t>1460/18A</t>
  </si>
  <si>
    <t>Cañamo x 45 g</t>
  </si>
  <si>
    <t>Conexión fuelle extensible mochila c/ 2 tuercas</t>
  </si>
  <si>
    <t>CD-01</t>
  </si>
  <si>
    <t>CI-01</t>
  </si>
  <si>
    <t>CD-10</t>
  </si>
  <si>
    <t>CI-10</t>
  </si>
  <si>
    <t>CD-11</t>
  </si>
  <si>
    <t>CI-11</t>
  </si>
  <si>
    <t>1030/108B</t>
  </si>
  <si>
    <t>Cruz 3/4 polipropileno</t>
  </si>
  <si>
    <t>Cruz 1 poliprpileno</t>
  </si>
  <si>
    <t>1350/29A</t>
  </si>
  <si>
    <t>1350/29B</t>
  </si>
  <si>
    <t>1510/03</t>
  </si>
  <si>
    <t>1510/04</t>
  </si>
  <si>
    <t>Regulador garrafa 10 kg x 1,50 mt</t>
  </si>
  <si>
    <t>Regulador garrafa 10 kg x 2,00 mt</t>
  </si>
  <si>
    <t>1510/05</t>
  </si>
  <si>
    <t>Cabeza regulador garrafa sin manguera</t>
  </si>
  <si>
    <t>1020/25</t>
  </si>
  <si>
    <t>Tapon macho 3/4 Epoxi</t>
  </si>
  <si>
    <t>1210/08A</t>
  </si>
  <si>
    <t>1210/08B</t>
  </si>
  <si>
    <t>Canilla plastica nueva volante cruz 1/2</t>
  </si>
  <si>
    <t>1350/20A</t>
  </si>
  <si>
    <t>1350/24A</t>
  </si>
  <si>
    <t xml:space="preserve">Buje 25 x 20 </t>
  </si>
  <si>
    <t xml:space="preserve">Buje 32 x 20 </t>
  </si>
  <si>
    <t xml:space="preserve">Buje 32 x 25 </t>
  </si>
  <si>
    <t>1350/34B</t>
  </si>
  <si>
    <t>1170/02C</t>
  </si>
  <si>
    <t>1350/33B</t>
  </si>
  <si>
    <t>1350/37</t>
  </si>
  <si>
    <t>1350/32C</t>
  </si>
  <si>
    <t>1350/37A</t>
  </si>
  <si>
    <t xml:space="preserve">FLEXIBLES DE COBRE          </t>
  </si>
  <si>
    <t>Columna CAPEA</t>
  </si>
  <si>
    <t>1170/05A</t>
  </si>
  <si>
    <t>1220/18a</t>
  </si>
  <si>
    <t>1220/18b</t>
  </si>
  <si>
    <t>1220/18c</t>
  </si>
  <si>
    <t>Rejilla protectora 12 X 12</t>
  </si>
  <si>
    <t>1050/25B</t>
  </si>
  <si>
    <t xml:space="preserve">Cupla c/inserto metalico hembra 20 x 3/4 mm </t>
  </si>
  <si>
    <t>1160/01A</t>
  </si>
  <si>
    <t>Boya telgopor 2 roscas extrachata ENNA</t>
  </si>
  <si>
    <t>1360/35A</t>
  </si>
  <si>
    <t xml:space="preserve">Llave de paso fusion 20 mm PLASTICA </t>
  </si>
  <si>
    <t>Llave de paso fusion 32 mm PLASTICA</t>
  </si>
  <si>
    <t>1460/46</t>
  </si>
  <si>
    <t>TELA ESMERIL</t>
  </si>
  <si>
    <t>1170/05B</t>
  </si>
  <si>
    <t>Brazo lluvia bronce 90° x 45 cm</t>
  </si>
  <si>
    <t>Caño polipropileno 1/2 Bicapa X 4MTS</t>
  </si>
  <si>
    <t>Caño polipropileno 3/4 Bicapa X 4MTS</t>
  </si>
  <si>
    <t>Caño polipropileno 1 Bicapa X 4MTS</t>
  </si>
  <si>
    <t>1100/31</t>
  </si>
  <si>
    <t xml:space="preserve">Arandela de goma para union manga 1/2 </t>
  </si>
  <si>
    <t>Arandela de goma para union manga 3/4</t>
  </si>
  <si>
    <t>4710/21C</t>
  </si>
  <si>
    <t>4710/21D</t>
  </si>
  <si>
    <t>DESCARGA ROCA NACIONAL ECO CON BOTON</t>
  </si>
  <si>
    <t>CABEZAL TIPO FV BAÑERA</t>
  </si>
  <si>
    <t>Sella rosca para gas LAR 10 x 21 cc</t>
  </si>
  <si>
    <t>Sella rosca para gas LAR 10 x 55 cc</t>
  </si>
  <si>
    <t>REJAS PLASTICAS PARA PISO</t>
  </si>
  <si>
    <t>1480/16</t>
  </si>
  <si>
    <t>1480/17</t>
  </si>
  <si>
    <t>1480/18</t>
  </si>
  <si>
    <t>REJA PLASTICA PARA PISO C/MARCO 10 X 10</t>
  </si>
  <si>
    <t>1170/01B</t>
  </si>
  <si>
    <t>Brazo lluvia plastico cromo rosca fina</t>
  </si>
  <si>
    <t>Brazo lluvia plastico cromo rosca gruesa</t>
  </si>
  <si>
    <t>CABEZAL CIERRE CERAMICO LARGO ROCA</t>
  </si>
  <si>
    <t>1050/55A</t>
  </si>
  <si>
    <t>1050/55B</t>
  </si>
  <si>
    <t>Tee reduccion 32 mm x 20 mm</t>
  </si>
  <si>
    <t>Tee reduccion 32 mm x 25 mm</t>
  </si>
  <si>
    <t>1040/01A</t>
  </si>
  <si>
    <t>1040/02A</t>
  </si>
  <si>
    <t>1040/03A</t>
  </si>
  <si>
    <t>Codo espiga ROSCA MACHO 1/2 polietileno</t>
  </si>
  <si>
    <t>Codo espiga ROSCA MACHO 3/4 polietileno</t>
  </si>
  <si>
    <t>Codo espiga ROSCA MACHO 1 polietileno</t>
  </si>
  <si>
    <t>4815/88A</t>
  </si>
  <si>
    <t>SOPORTE TAPA MADERA BRONCE CROMO</t>
  </si>
  <si>
    <t>2044/2</t>
  </si>
  <si>
    <t>CABEZAL ESTÁNDAR CIERRE CERAMICO FRIO</t>
  </si>
  <si>
    <t>CABEZAL ESTÁNDAR CIERRE CERAMICO CALIENTE</t>
  </si>
  <si>
    <t>CABEZAL ROCA CORTO FRIO</t>
  </si>
  <si>
    <t>CABEZAL ROCA CORTO CALIENTE</t>
  </si>
  <si>
    <t>CABEZAL PIAZZA TRANSF. LLUVIA, BIDET MAS CHICO</t>
  </si>
  <si>
    <t>2114/9</t>
  </si>
  <si>
    <t>*CABEZAL LATERAL ROS METAL</t>
  </si>
  <si>
    <t>2113/3</t>
  </si>
  <si>
    <t>2115/3</t>
  </si>
  <si>
    <t>CABEZAL DECA PIAZZA ULTIMA LINEA</t>
  </si>
  <si>
    <t>2115/4</t>
  </si>
  <si>
    <t>CABEZAL PIAZZA TRNSF LLUVIA CON CERAMICO DESDE 1991</t>
  </si>
  <si>
    <t>2151/1</t>
  </si>
  <si>
    <t>CABEZAL MASRELY CORTO</t>
  </si>
  <si>
    <t>2152/1</t>
  </si>
  <si>
    <t>CABEZAL SUDAMERICANA LATERAL GRUESO 16,3 X 19H</t>
  </si>
  <si>
    <t>2152/2</t>
  </si>
  <si>
    <t>CABEZAL AMMIGRIF LATERAL LARGO</t>
  </si>
  <si>
    <t>2153/1</t>
  </si>
  <si>
    <t>CABEZAL ROCA TRANSF DUCHA BIDET ORING BAJO</t>
  </si>
  <si>
    <t>2153/2</t>
  </si>
  <si>
    <t>CABEZAL ROCA IGUAL AL 2153</t>
  </si>
  <si>
    <t>CABEZAL HIDROMET HIDRON TRASF DUCHA BIDET</t>
  </si>
  <si>
    <t>2171/1</t>
  </si>
  <si>
    <t>2172/1</t>
  </si>
  <si>
    <t>CABEZAL FAZ CHILENO CON  ROSCA FV</t>
  </si>
  <si>
    <t>CABEZAL LLAVE PASO 1/2 CON VOLANTE 1/2 CRUZ</t>
  </si>
  <si>
    <t>CABEZAL LLAVE PASO 3/4 CON VOLANTE 1/2</t>
  </si>
  <si>
    <t>CABEZAL FV REMPLAZO CERAMICO 3/4</t>
  </si>
  <si>
    <t>CABEZAL PLASTIFERRO LLAVE PASO 3/4</t>
  </si>
  <si>
    <t>CABEZAL IMPORTADO LATERAL CIERRE COMPRESION</t>
  </si>
  <si>
    <t>CABEZAL RAMOS LLAVE DE PASO</t>
  </si>
  <si>
    <t>CABEZAL RAMOS LATERAL C/BUJE BRONCE</t>
  </si>
  <si>
    <t>CABEZAL FV CREIN TRANSF. BIDET</t>
  </si>
  <si>
    <t>3026/1</t>
  </si>
  <si>
    <t>3026/2</t>
  </si>
  <si>
    <t>CABEZAL LLAVE PASO IPS 32 MM</t>
  </si>
  <si>
    <t>CABEZAL LLAVE PASO IPS 20 MM</t>
  </si>
  <si>
    <t>3027/1</t>
  </si>
  <si>
    <t>CABEZAL LATINA LAVATORIO BIDET</t>
  </si>
  <si>
    <t>3035/2</t>
  </si>
  <si>
    <t>3035/3</t>
  </si>
  <si>
    <t>CABEZAL PEIRANO NUEVO QUEIJA FINO</t>
  </si>
  <si>
    <t>CABEZAL PEIRANO TRANSFERENCIA QUEIJA</t>
  </si>
  <si>
    <t>2187/1</t>
  </si>
  <si>
    <t>CABEZAL LAVATORIO BIDET LATINA FV</t>
  </si>
  <si>
    <t>2188/1</t>
  </si>
  <si>
    <t>2188/2</t>
  </si>
  <si>
    <t>CABEZAL LATINA CAMPANA 20,6 X 19H</t>
  </si>
  <si>
    <t>CABEZAL LATINA CAMPANA 19,3 X 1,25</t>
  </si>
  <si>
    <t>2085/1</t>
  </si>
  <si>
    <t>CABEZAL TIPO LLAV PASO 3/4 VOLANTE 1/2</t>
  </si>
  <si>
    <t>2078/6</t>
  </si>
  <si>
    <t>CABEZAL LLAVE PASO CON ORING VOLANTE CRUZ</t>
  </si>
  <si>
    <t>2044/7</t>
  </si>
  <si>
    <t>2044/8</t>
  </si>
  <si>
    <t>CABEZAL LLAVE PASO 1/2 CRUZ CROMO</t>
  </si>
  <si>
    <t>CABEZAL LLAVE PASO 1/2 CRUZ BRONCE</t>
  </si>
  <si>
    <t>2042/2</t>
  </si>
  <si>
    <t>CABEZAL UNIVERSAL LLAVE PASO 3/4</t>
  </si>
  <si>
    <t>CABEZAL LLAVE PASO 1/2 CRUZ SIN PATA</t>
  </si>
  <si>
    <t>CABEZAL LLAVE PAOS CRUZ SIN PATA</t>
  </si>
  <si>
    <t>CABEZAL LLAVE PASO CRUZ CON PATA</t>
  </si>
  <si>
    <t>CABEZAL LLAVE PAOS 1/2 CON VOLANTE</t>
  </si>
  <si>
    <t>Reja acero m/piso 12 x 12</t>
  </si>
  <si>
    <t>1490/14B</t>
  </si>
  <si>
    <t>Tapa acero m/piso 12 x 12</t>
  </si>
  <si>
    <t>1170/05C</t>
  </si>
  <si>
    <t>Brazo lluvia bronce 90° x 50 cm</t>
  </si>
  <si>
    <t>REJA PLASTICA PARA PISO C/MARCO 15 X 15</t>
  </si>
  <si>
    <t>REJA PLASTICA PARA PISO C/MARCO 20 X 20</t>
  </si>
  <si>
    <t>1050/29A</t>
  </si>
  <si>
    <t xml:space="preserve">Cupla c/inserto metalico macho 3/4 x 20 mm </t>
  </si>
  <si>
    <t>Grasa grafitada x 21 cc LAR</t>
  </si>
  <si>
    <t>Grasa grafitada x 55 cc LAR</t>
  </si>
  <si>
    <t>Sopapa a codo bañera de bronce  con adaptador de PVC</t>
  </si>
  <si>
    <t>4803/75</t>
  </si>
  <si>
    <t>4803/76</t>
  </si>
  <si>
    <t>ORING MONOCOMANDO DOBLE LABIO 35 MM</t>
  </si>
  <si>
    <t>1250/02</t>
  </si>
  <si>
    <t>1250/03</t>
  </si>
  <si>
    <t>CODOS EXCENTRICOS PARA GRIFERIA CON CAMPANA</t>
  </si>
  <si>
    <t>CODO EXCENTRICO CORTO X UNIDAD</t>
  </si>
  <si>
    <t>CODO EXCENTRICO LARGO X UNIDAD</t>
  </si>
  <si>
    <t>1220/09A</t>
  </si>
  <si>
    <t>1220/09B</t>
  </si>
  <si>
    <t>1220/09C</t>
  </si>
  <si>
    <t>Caño fusion 20 mm x 4 metros  2,8 MM</t>
  </si>
  <si>
    <t>Caño fusion 25 mm x 4 metros 3,4 MM</t>
  </si>
  <si>
    <t>Caño fusion 32 mm x 4 metros 4,2 MM</t>
  </si>
  <si>
    <t>Caño fusion 40 mm x 4 metros 5,2 MM</t>
  </si>
  <si>
    <t>Caño fusion 50 mm x 4 metros 6,8 MM</t>
  </si>
  <si>
    <t>Caño fusion 63 mm x 4 metros 8,2 MM</t>
  </si>
  <si>
    <t>Caño polipropileno 1/2 Tricapa X 4 MTS</t>
  </si>
  <si>
    <t>Caño polipropileno 3/4 Tricapa X 4 MTS</t>
  </si>
  <si>
    <t>Caño polipropileno 1 Tricapa X 4 MTS</t>
  </si>
  <si>
    <t>1100/29B</t>
  </si>
  <si>
    <t>1100/29C</t>
  </si>
  <si>
    <t>1170/03C</t>
  </si>
  <si>
    <t>1170/03D</t>
  </si>
  <si>
    <t>1110/02A</t>
  </si>
  <si>
    <t>ABRAZADERAS DE ACERO INOXIDABLE</t>
  </si>
  <si>
    <t>ABRAZADERA AG9 8-12</t>
  </si>
  <si>
    <t>ABRAZADERA AG9 10-16</t>
  </si>
  <si>
    <t>ABRAZADERAAG9 12-20</t>
  </si>
  <si>
    <t>ABRAZADERA AG9 16-25</t>
  </si>
  <si>
    <t>ABRAZADERA AG9 20-32</t>
  </si>
  <si>
    <t>ABRAZADERA AG9 25-40</t>
  </si>
  <si>
    <t>ABRAZADERA AG9 32-50</t>
  </si>
  <si>
    <t>ABRAZADERA AG9 40-60</t>
  </si>
  <si>
    <t>1100/10A</t>
  </si>
  <si>
    <t>Canilla plastica nueva volante cruz 3/4</t>
  </si>
  <si>
    <t>Brazo lluvia bronce 90° x 40 cm</t>
  </si>
  <si>
    <t>1330/03B</t>
  </si>
  <si>
    <t>Grampa para bacha de acero</t>
  </si>
  <si>
    <t>1210/11A</t>
  </si>
  <si>
    <t>1210/11B</t>
  </si>
  <si>
    <t>Canilla plastica pico levantado blanca</t>
  </si>
  <si>
    <t>Canilla plastica pico levantado cromo</t>
  </si>
  <si>
    <t>1210/13A</t>
  </si>
  <si>
    <t>1210/14A</t>
  </si>
  <si>
    <t>Canilla plastica 1 agua pared blanca</t>
  </si>
  <si>
    <t>Canilla plastica 1 agua mesada blanca</t>
  </si>
  <si>
    <t>GRIFO PARA TERMOTANQUE</t>
  </si>
  <si>
    <t>1330/21</t>
  </si>
  <si>
    <t>Grifo plastico para purgue termotanque 90°</t>
  </si>
  <si>
    <t>Asiento inodoro plastico reforzado blanco FAPLAS</t>
  </si>
  <si>
    <t xml:space="preserve">BARRALES DE SEGURIDAD </t>
  </si>
  <si>
    <t>1140/21</t>
  </si>
  <si>
    <t>1140/22</t>
  </si>
  <si>
    <t>1140/23</t>
  </si>
  <si>
    <t>BARRAL SEGURIDAD BLANCO 25 CM</t>
  </si>
  <si>
    <t>BARRAL SEGURIDAD BLANCO 35 CM</t>
  </si>
  <si>
    <t>BARRAL SEGURIDAD BLANCO 45 CM</t>
  </si>
  <si>
    <t>BARRAL SEGURIDAD BLANCO 60 CM</t>
  </si>
  <si>
    <t>1140/24</t>
  </si>
  <si>
    <t>1150/13A</t>
  </si>
  <si>
    <t>Boton tipo FERRUN rectangular</t>
  </si>
  <si>
    <t>4815/88B</t>
  </si>
  <si>
    <t>Lluvia importada plastica cromo CHICA ANTISARRO</t>
  </si>
  <si>
    <t>4710/24</t>
  </si>
  <si>
    <t>1150/18</t>
  </si>
  <si>
    <t xml:space="preserve">Llave de paso fusion 25 mm PLASTICA </t>
  </si>
  <si>
    <t>JUEGOS DE GRIFERIA PLASTICA</t>
  </si>
  <si>
    <t>MEZCLADOR PARA PARED EXT. PLASTICO</t>
  </si>
  <si>
    <t>MEZCLADOR PARA MESADA  PLASTICO</t>
  </si>
  <si>
    <t>Deposito de mochila Egoplast simil loza</t>
  </si>
  <si>
    <t>1260/46</t>
  </si>
  <si>
    <t>1070/07</t>
  </si>
  <si>
    <t>1070/08</t>
  </si>
  <si>
    <t>ACCESORIOS DE POLIPOPILENO IPS</t>
  </si>
  <si>
    <t>5000/301</t>
  </si>
  <si>
    <t>5000/302</t>
  </si>
  <si>
    <t>5000/303</t>
  </si>
  <si>
    <t>5000/304</t>
  </si>
  <si>
    <t>5000/305</t>
  </si>
  <si>
    <t>5000/306</t>
  </si>
  <si>
    <t>5000/321</t>
  </si>
  <si>
    <t>5000/322</t>
  </si>
  <si>
    <t>5000/323</t>
  </si>
  <si>
    <t>5000/324</t>
  </si>
  <si>
    <t>5000/325</t>
  </si>
  <si>
    <t>5000/326</t>
  </si>
  <si>
    <t>5000/331</t>
  </si>
  <si>
    <t>5000/332</t>
  </si>
  <si>
    <t>5000/333</t>
  </si>
  <si>
    <t>5000/351</t>
  </si>
  <si>
    <t>5000/352</t>
  </si>
  <si>
    <t>5000/353</t>
  </si>
  <si>
    <t>5000/361</t>
  </si>
  <si>
    <t>5000/362</t>
  </si>
  <si>
    <t>5000/363</t>
  </si>
  <si>
    <t>5000/364</t>
  </si>
  <si>
    <t>5000/365</t>
  </si>
  <si>
    <t>5000/366</t>
  </si>
  <si>
    <t>5000/391</t>
  </si>
  <si>
    <t>5000/392</t>
  </si>
  <si>
    <t>5000/393</t>
  </si>
  <si>
    <t>5000/394</t>
  </si>
  <si>
    <t>5000/395</t>
  </si>
  <si>
    <t>5000/396</t>
  </si>
  <si>
    <t>5000/411</t>
  </si>
  <si>
    <t>5000/412</t>
  </si>
  <si>
    <t>5000/413</t>
  </si>
  <si>
    <t>5000/414</t>
  </si>
  <si>
    <t>5000/415</t>
  </si>
  <si>
    <t>5000/416</t>
  </si>
  <si>
    <t>5000/501</t>
  </si>
  <si>
    <t>5000/502</t>
  </si>
  <si>
    <t>5000/503</t>
  </si>
  <si>
    <t>5000/504</t>
  </si>
  <si>
    <t>5000/505</t>
  </si>
  <si>
    <t>5000/506</t>
  </si>
  <si>
    <t>5000/511</t>
  </si>
  <si>
    <t>5000/512</t>
  </si>
  <si>
    <t>5000/513</t>
  </si>
  <si>
    <t>5000/514</t>
  </si>
  <si>
    <t>5000/515</t>
  </si>
  <si>
    <t>5000/516</t>
  </si>
  <si>
    <t>5000/571</t>
  </si>
  <si>
    <t>5000/572</t>
  </si>
  <si>
    <t>5000/573</t>
  </si>
  <si>
    <t>5000/581</t>
  </si>
  <si>
    <t>5000/582</t>
  </si>
  <si>
    <t>5000/583</t>
  </si>
  <si>
    <t>5000/584</t>
  </si>
  <si>
    <t>5000/585</t>
  </si>
  <si>
    <t>5000/586</t>
  </si>
  <si>
    <t>5000/591</t>
  </si>
  <si>
    <t>5000/592</t>
  </si>
  <si>
    <t>5000/811</t>
  </si>
  <si>
    <t>5000/812</t>
  </si>
  <si>
    <t>5000/813</t>
  </si>
  <si>
    <t>5000/311</t>
  </si>
  <si>
    <t>5000/308</t>
  </si>
  <si>
    <t>5000/309</t>
  </si>
  <si>
    <t>5000/310</t>
  </si>
  <si>
    <t>5000/372</t>
  </si>
  <si>
    <t>5000/371</t>
  </si>
  <si>
    <t>5000/368</t>
  </si>
  <si>
    <t>5000/373</t>
  </si>
  <si>
    <t>5000/370</t>
  </si>
  <si>
    <t>5000/369</t>
  </si>
  <si>
    <t>5000/390</t>
  </si>
  <si>
    <t>5000/389</t>
  </si>
  <si>
    <t>5000/398</t>
  </si>
  <si>
    <t>5000/400</t>
  </si>
  <si>
    <t>5000/399</t>
  </si>
  <si>
    <t>5000/418</t>
  </si>
  <si>
    <t>5000/420</t>
  </si>
  <si>
    <t>5000/419</t>
  </si>
  <si>
    <t>5000/598</t>
  </si>
  <si>
    <t>5000/421</t>
  </si>
  <si>
    <t>5000/436</t>
  </si>
  <si>
    <t>5000/422</t>
  </si>
  <si>
    <t>5000/428</t>
  </si>
  <si>
    <t>5000/430</t>
  </si>
  <si>
    <t>5000/429</t>
  </si>
  <si>
    <t>5000/438</t>
  </si>
  <si>
    <t>5000/437</t>
  </si>
  <si>
    <t>5000/432</t>
  </si>
  <si>
    <t>5000/441</t>
  </si>
  <si>
    <t>5000/440</t>
  </si>
  <si>
    <t>5000/439</t>
  </si>
  <si>
    <t>5000/433</t>
  </si>
  <si>
    <t>5000/445</t>
  </si>
  <si>
    <t>5000/444</t>
  </si>
  <si>
    <t>5000/443</t>
  </si>
  <si>
    <t>5000/442</t>
  </si>
  <si>
    <t>5000/434</t>
  </si>
  <si>
    <t>5000/447</t>
  </si>
  <si>
    <t>5000/435</t>
  </si>
  <si>
    <t>5000/341</t>
  </si>
  <si>
    <t>5000/342</t>
  </si>
  <si>
    <t>5000/343</t>
  </si>
  <si>
    <t>5000/344</t>
  </si>
  <si>
    <t>5000/345</t>
  </si>
  <si>
    <t>5000/346</t>
  </si>
  <si>
    <t>5000/911</t>
  </si>
  <si>
    <t>5000/912</t>
  </si>
  <si>
    <t>5000/913</t>
  </si>
  <si>
    <t>5000/1301</t>
  </si>
  <si>
    <t>5000/1302</t>
  </si>
  <si>
    <t>5000/1303</t>
  </si>
  <si>
    <t>5000/1308</t>
  </si>
  <si>
    <t>5000/1322</t>
  </si>
  <si>
    <t>5000/1329</t>
  </si>
  <si>
    <t>5000/1361</t>
  </si>
  <si>
    <t>5000/1362</t>
  </si>
  <si>
    <t>5000/1364</t>
  </si>
  <si>
    <t>5000/1368</t>
  </si>
  <si>
    <t>5000/1391</t>
  </si>
  <si>
    <t>5000/1392</t>
  </si>
  <si>
    <t>5000/1393</t>
  </si>
  <si>
    <t>5000/1399</t>
  </si>
  <si>
    <t>5000/1398</t>
  </si>
  <si>
    <t>5000/1394</t>
  </si>
  <si>
    <t>5000/1591</t>
  </si>
  <si>
    <t>5000/1592</t>
  </si>
  <si>
    <t>5000/1763</t>
  </si>
  <si>
    <t>5000/1764</t>
  </si>
  <si>
    <t>5000/1765</t>
  </si>
  <si>
    <t>5000/2301</t>
  </si>
  <si>
    <t>IPS Tapa hembra 1/2</t>
  </si>
  <si>
    <t>IPS Tapa hembra 3/4</t>
  </si>
  <si>
    <t>IPS Tapa hembra 1</t>
  </si>
  <si>
    <t>IPS Tapa hembra 1 1/4</t>
  </si>
  <si>
    <t>IPS Tapa hembra 1 1/2</t>
  </si>
  <si>
    <t>IPS Tapa hembra 2</t>
  </si>
  <si>
    <t xml:space="preserve">IPS Codo HH 1/2 </t>
  </si>
  <si>
    <t xml:space="preserve">IPS Codo HH 3/4 </t>
  </si>
  <si>
    <t xml:space="preserve">IPS Codo HH 1 </t>
  </si>
  <si>
    <t xml:space="preserve">IPS Codo HH 1 1/4 </t>
  </si>
  <si>
    <t xml:space="preserve">IPS Codo HH 1 1/2 </t>
  </si>
  <si>
    <t xml:space="preserve">IPS Codo HH 2 </t>
  </si>
  <si>
    <t xml:space="preserve">IPS Codo MH 1/2 </t>
  </si>
  <si>
    <t xml:space="preserve">IPS Codo MH 3/4 </t>
  </si>
  <si>
    <t xml:space="preserve">IPS Codo MH 1 </t>
  </si>
  <si>
    <t xml:space="preserve">IPS Codo MH 1 1/4 </t>
  </si>
  <si>
    <t xml:space="preserve">IPS Codo MH 1 1/2 </t>
  </si>
  <si>
    <t xml:space="preserve">IPS Codo MH 2 </t>
  </si>
  <si>
    <t xml:space="preserve">IPS Codo HH 1/2 45 </t>
  </si>
  <si>
    <t xml:space="preserve">IPS Codo HH 3/4 45 </t>
  </si>
  <si>
    <t xml:space="preserve">IPS Codo HH 1 45 </t>
  </si>
  <si>
    <t xml:space="preserve">IPS Cruz 1/2 </t>
  </si>
  <si>
    <t xml:space="preserve">IPS Cruz 3/4 </t>
  </si>
  <si>
    <t xml:space="preserve">IPS Cruz 1 </t>
  </si>
  <si>
    <t xml:space="preserve">IPS Tee 1/2 </t>
  </si>
  <si>
    <t xml:space="preserve">IPS Tee 3/4 </t>
  </si>
  <si>
    <t xml:space="preserve">IPS Tee 1 </t>
  </si>
  <si>
    <t xml:space="preserve">IPS Tee 1 1/4 </t>
  </si>
  <si>
    <t xml:space="preserve">IPS Tee 1 1/2 </t>
  </si>
  <si>
    <t xml:space="preserve">IPS Tee 2 </t>
  </si>
  <si>
    <t xml:space="preserve">IPS Cupla 1/2 </t>
  </si>
  <si>
    <t xml:space="preserve">IPS Cupla 3/4 </t>
  </si>
  <si>
    <t xml:space="preserve">IPS Cupla 1 </t>
  </si>
  <si>
    <t xml:space="preserve">IPS Cupla 1 1/4 </t>
  </si>
  <si>
    <t xml:space="preserve">IPS Cupla 1 1/2 </t>
  </si>
  <si>
    <t xml:space="preserve">IPS Cupla 2 </t>
  </si>
  <si>
    <t xml:space="preserve">IPS Rosca con tuerca 1/2 </t>
  </si>
  <si>
    <t xml:space="preserve">IPS Rosca con tuerca 3/4 </t>
  </si>
  <si>
    <t xml:space="preserve">IPS Rosca con tuerca 1 </t>
  </si>
  <si>
    <t xml:space="preserve">IPS Rosca con tuerca 1 1/4 </t>
  </si>
  <si>
    <t xml:space="preserve">IPS Rosca con tuerca 1 1/2 </t>
  </si>
  <si>
    <t xml:space="preserve">IPS Rosca con tuerca 2 </t>
  </si>
  <si>
    <t xml:space="preserve">IPS Tapon macho 1/2 </t>
  </si>
  <si>
    <t xml:space="preserve">IPS Tapon macho 3/4 </t>
  </si>
  <si>
    <t xml:space="preserve">IPS Tapon macho 1 </t>
  </si>
  <si>
    <t xml:space="preserve">IPS Tapon macho 1 1/4 </t>
  </si>
  <si>
    <t xml:space="preserve">IPS Tapon macho 1 1/2 </t>
  </si>
  <si>
    <t xml:space="preserve">IPS Tapon macho 2 </t>
  </si>
  <si>
    <t>IPS Curva MH 90 1/2</t>
  </si>
  <si>
    <t>IPS Curva MH 90 3/4</t>
  </si>
  <si>
    <t>IPS Curva MH 90 1</t>
  </si>
  <si>
    <t>IPS Curva HH 90 1/2</t>
  </si>
  <si>
    <t>IPS Curva HH 90 3/4</t>
  </si>
  <si>
    <t>IPS Curva HH 90 1</t>
  </si>
  <si>
    <t>IPS Curva HH 90 2</t>
  </si>
  <si>
    <t>IPS Curva HH 90 11/4</t>
  </si>
  <si>
    <t>IPS Curva HH 90 11/2</t>
  </si>
  <si>
    <t>IPS Cupla MH 1/2</t>
  </si>
  <si>
    <t>IPS Cupla MH 3/4</t>
  </si>
  <si>
    <t>IPS Sobrepaso MM 1/2</t>
  </si>
  <si>
    <t>IPS Sobrepaso MM 3/4</t>
  </si>
  <si>
    <t>IPS Sobrepaso MM 1</t>
  </si>
  <si>
    <t>IPS Buje MH 1/2X3/8</t>
  </si>
  <si>
    <t>IPS Buje MH 3/4X3/8</t>
  </si>
  <si>
    <t>IPS Buje MH 3/4X1/4</t>
  </si>
  <si>
    <t>IPS Buje MH 3/4X1/2</t>
  </si>
  <si>
    <t>IPS Buje MH 1X1/2</t>
  </si>
  <si>
    <t>IPS Buje MH 1X3/4</t>
  </si>
  <si>
    <t>IPS Buje MH 1 1/4X1/2</t>
  </si>
  <si>
    <t>IPS Buje MH 1 1/4X3/4</t>
  </si>
  <si>
    <t>IPS Buje MH 1 1/4X1</t>
  </si>
  <si>
    <t>IPS Buje MH 1 1/2X1/2</t>
  </si>
  <si>
    <t>IPS Buje MH 1 1/2X3/4</t>
  </si>
  <si>
    <t>IPS Buje MH 1 1/2X1</t>
  </si>
  <si>
    <t>IPS Buje MH 1 1/2X1 1/4</t>
  </si>
  <si>
    <t>IPS Buje MH 2 X 1/2</t>
  </si>
  <si>
    <t>IPS Buje MH 2 X3/4</t>
  </si>
  <si>
    <t xml:space="preserve">IPS Buje MH 2 X 1 </t>
  </si>
  <si>
    <t>IPS Buje MH 2 X 1 1/4</t>
  </si>
  <si>
    <t>IPS Buje MH 2 X 1 1/2</t>
  </si>
  <si>
    <t>IPS Buje MH 2 1/2 X 1 1/2</t>
  </si>
  <si>
    <t>IPS Buje MH 2 1/2 X 2</t>
  </si>
  <si>
    <t>IPS Union doble 1/2</t>
  </si>
  <si>
    <t>IPS union doble 3/4</t>
  </si>
  <si>
    <t xml:space="preserve">IPS union doble 1 </t>
  </si>
  <si>
    <t>IPS union doble 2</t>
  </si>
  <si>
    <t>IPS union doble 1 1/4</t>
  </si>
  <si>
    <t>IPS union doble 1 1/2</t>
  </si>
  <si>
    <t>IPS Union doble MH 1/2</t>
  </si>
  <si>
    <t>IPS Union doble MH 3/4</t>
  </si>
  <si>
    <t>IPS Union doble MH 1</t>
  </si>
  <si>
    <t>IPS Codo 90 c/inserto H 1/2</t>
  </si>
  <si>
    <t>IPS Codo 90 c/inserto H 3/4</t>
  </si>
  <si>
    <t>IPS Codo 90 c/inserto H 1</t>
  </si>
  <si>
    <t>IPS Codo 90 c/inserto H 3/4 x 1/2</t>
  </si>
  <si>
    <t>IPS Codo 90 c/inserto M 3/4</t>
  </si>
  <si>
    <t>IPS Codo 90 c/inserto M 1</t>
  </si>
  <si>
    <t>IPS Tee c/inserto H 1/2</t>
  </si>
  <si>
    <t>IPS Tee c/inserto H 3/4</t>
  </si>
  <si>
    <t xml:space="preserve">IPS Tee c/inserto H 1 </t>
  </si>
  <si>
    <t>IPS Tee c/inserto H 3/4 x 1/2</t>
  </si>
  <si>
    <t>IPS Cupla c/inserto H 1/2</t>
  </si>
  <si>
    <t>IPS Cupla c/inserto H 3/4</t>
  </si>
  <si>
    <t>IPS Cupla c/inserto H 1</t>
  </si>
  <si>
    <t>IPS Cupla reduccion c/inserto H 1/2 x 3/8</t>
  </si>
  <si>
    <t>IPS Cupla reduccion c/inserto H 3/4 x 1/2</t>
  </si>
  <si>
    <t>IPS Cupla reduccion c/inserto H 1 x 3/4</t>
  </si>
  <si>
    <t>IPS Cupla c/inserto M 1/2</t>
  </si>
  <si>
    <t>IPS Cupla c/inserto M 3/4</t>
  </si>
  <si>
    <t>IPS Tee c/inserto M 1/2</t>
  </si>
  <si>
    <t>IPS Tee c/inserto M 3/4</t>
  </si>
  <si>
    <t xml:space="preserve">IPS Tee c/inserto M 1 </t>
  </si>
  <si>
    <t>IPS Codo con sujesion inserto H 1/2</t>
  </si>
  <si>
    <t>IPS Codo reduccion 90 HH 1/2X 3/8</t>
  </si>
  <si>
    <t>IPS Codo reduccion 90 HH 3/4X 1/2</t>
  </si>
  <si>
    <t>IPS Codo reduccion 90 HH 1X 1/2</t>
  </si>
  <si>
    <t>IPS Codo reduccion 90 HH 1X 3/4</t>
  </si>
  <si>
    <t>IPS TE reduccion 90 HHH 1/2X 3/4X 1/2</t>
  </si>
  <si>
    <t>IPS TE  reduccion 90 HHH 1/2X 3/8X 1/2</t>
  </si>
  <si>
    <t>IPS TE reduccion 90 HHH 3/4X 1/2 X 3/4</t>
  </si>
  <si>
    <t>IPS TE  reduccion 90 HHH 3/4X1/2X1/2</t>
  </si>
  <si>
    <t>IPS TE reduccion 90 HHH 1X1/2X1</t>
  </si>
  <si>
    <t>IPS TE reduccion 90 HHH 1 X3/4X1</t>
  </si>
  <si>
    <t>IPS Cupla reduccion 1/2X3/8</t>
  </si>
  <si>
    <t>IPS Cupla reduccion  3/4X3/8</t>
  </si>
  <si>
    <t>IPS Cupla reduccion  3/4X1/2</t>
  </si>
  <si>
    <t>IPS Cupla reduccion  1X1/2</t>
  </si>
  <si>
    <t>IPS Cupla reduccion  1X3/4</t>
  </si>
  <si>
    <t>IPS Entrerrosca reduccion 3/4X1/2</t>
  </si>
  <si>
    <t>IPS Entrerrosca reduccion 1X1/2</t>
  </si>
  <si>
    <t>IPS Entrerrosca reduccion 1X3/4</t>
  </si>
  <si>
    <t>IPS Cupla reduccion MH 1/2X3/4</t>
  </si>
  <si>
    <t>ACCESORIOS IPS TERMOFUSION</t>
  </si>
  <si>
    <t>5000/2901</t>
  </si>
  <si>
    <t>5000/2902</t>
  </si>
  <si>
    <t>5000/2903</t>
  </si>
  <si>
    <t>5000/2904</t>
  </si>
  <si>
    <t>5000/2905</t>
  </si>
  <si>
    <t>5000/2906</t>
  </si>
  <si>
    <t>5000/2921</t>
  </si>
  <si>
    <t>5000/2922</t>
  </si>
  <si>
    <t>5000/2923</t>
  </si>
  <si>
    <t>5000/2924</t>
  </si>
  <si>
    <t>5000/2925</t>
  </si>
  <si>
    <t>5000/2926</t>
  </si>
  <si>
    <t>5000/101</t>
  </si>
  <si>
    <t>5000/102</t>
  </si>
  <si>
    <t>5000/103</t>
  </si>
  <si>
    <t>5000/104</t>
  </si>
  <si>
    <t>5000/105</t>
  </si>
  <si>
    <t>5000/106</t>
  </si>
  <si>
    <t>IPS Caño fusion 25</t>
  </si>
  <si>
    <t>IPS Caño fusion 32</t>
  </si>
  <si>
    <t>IPS Caño fusion 40</t>
  </si>
  <si>
    <t>IPS Caño fusion 50</t>
  </si>
  <si>
    <t>IPS Caño fusion 63</t>
  </si>
  <si>
    <t>IPS Caño maxum fusion 20</t>
  </si>
  <si>
    <t>IPS Caño maxum fusion 25</t>
  </si>
  <si>
    <t>IPS Caño maxum fusion 32</t>
  </si>
  <si>
    <t>IPS Caño maxum fusion 40</t>
  </si>
  <si>
    <t>IPS Caño maxum fusion 50</t>
  </si>
  <si>
    <t>IPS Caño maxum fusion 63</t>
  </si>
  <si>
    <t>IPS Codo 90° 20</t>
  </si>
  <si>
    <t>IPS Codo 90° 25</t>
  </si>
  <si>
    <t>IPS Codo 90° 32</t>
  </si>
  <si>
    <t>IPS Codo 90° 40</t>
  </si>
  <si>
    <t>IPS Codo 90° 50</t>
  </si>
  <si>
    <t>IPS Codo 90° 63</t>
  </si>
  <si>
    <t>5000/111</t>
  </si>
  <si>
    <t>5000/112</t>
  </si>
  <si>
    <t>5000/113</t>
  </si>
  <si>
    <t>5000/114</t>
  </si>
  <si>
    <t>5000/115</t>
  </si>
  <si>
    <t>5000/116</t>
  </si>
  <si>
    <t>IPS Tapa 20</t>
  </si>
  <si>
    <t>IPS Tapa 25</t>
  </si>
  <si>
    <t>IPS Tapa 32</t>
  </si>
  <si>
    <t>IPS Tapa 40</t>
  </si>
  <si>
    <t>IPS Tapa 50</t>
  </si>
  <si>
    <t>IPS Tapa 63</t>
  </si>
  <si>
    <t>5000/121</t>
  </si>
  <si>
    <t>5000/122</t>
  </si>
  <si>
    <t>5000/123</t>
  </si>
  <si>
    <t>IPS Codo 90° MH 20</t>
  </si>
  <si>
    <t>IPS Codo 90° MH 25</t>
  </si>
  <si>
    <t>IPS Codo 90° MH 32</t>
  </si>
  <si>
    <t>5000/131</t>
  </si>
  <si>
    <t>5000/132</t>
  </si>
  <si>
    <t>5000/133</t>
  </si>
  <si>
    <t>5000/134</t>
  </si>
  <si>
    <t>5000/135</t>
  </si>
  <si>
    <t>5000/136</t>
  </si>
  <si>
    <t>IPS Codo 45° 20</t>
  </si>
  <si>
    <t>IPS Codo 45° 25</t>
  </si>
  <si>
    <t>IPS Codo 45° 32</t>
  </si>
  <si>
    <t>IPS Codo 45° 40</t>
  </si>
  <si>
    <t>IPS Codo 45° 50</t>
  </si>
  <si>
    <t>IPS Codo 45° 63</t>
  </si>
  <si>
    <t>5000/161</t>
  </si>
  <si>
    <t>5000/162</t>
  </si>
  <si>
    <t>5000/163</t>
  </si>
  <si>
    <t>5000/164</t>
  </si>
  <si>
    <t>5000/165</t>
  </si>
  <si>
    <t>5000/166</t>
  </si>
  <si>
    <t>IPS Tee 20</t>
  </si>
  <si>
    <t>IPS Tee 25</t>
  </si>
  <si>
    <t>IPS Tee 32</t>
  </si>
  <si>
    <t>IPS Tee 40</t>
  </si>
  <si>
    <t>IPS Tee 50</t>
  </si>
  <si>
    <t>IPS Tee 63</t>
  </si>
  <si>
    <t>5000/191</t>
  </si>
  <si>
    <t>5000/192</t>
  </si>
  <si>
    <t>5000/193</t>
  </si>
  <si>
    <t>5000/194</t>
  </si>
  <si>
    <t>5000/195</t>
  </si>
  <si>
    <t>5000/196</t>
  </si>
  <si>
    <t>IPS Cupla 20</t>
  </si>
  <si>
    <t>IPS Cupla 25</t>
  </si>
  <si>
    <t>IPS Cupla 32</t>
  </si>
  <si>
    <t>IPS Cupla 40</t>
  </si>
  <si>
    <t>IPS Cupla 50</t>
  </si>
  <si>
    <t>IPS Cupla 63</t>
  </si>
  <si>
    <t>5000/281</t>
  </si>
  <si>
    <t>5000/282</t>
  </si>
  <si>
    <t>5000/283</t>
  </si>
  <si>
    <t>5000/284</t>
  </si>
  <si>
    <t>5000/285</t>
  </si>
  <si>
    <t>5000/286</t>
  </si>
  <si>
    <t>IPS Curva 90° 20</t>
  </si>
  <si>
    <t>IPS Curva 90° 25</t>
  </si>
  <si>
    <t>IPS Curva 90° 32</t>
  </si>
  <si>
    <t>IPS Curva 90° 40</t>
  </si>
  <si>
    <t>IPS Curva 90° 50</t>
  </si>
  <si>
    <t>IPS Curva 90° 63</t>
  </si>
  <si>
    <t>5000/291</t>
  </si>
  <si>
    <t>5000/292</t>
  </si>
  <si>
    <t>5000/293</t>
  </si>
  <si>
    <t>IPS Sobrepaso largo 20</t>
  </si>
  <si>
    <t>IPS Sobrepaso largo 25</t>
  </si>
  <si>
    <t>IPS Sobrepaso largo 32</t>
  </si>
  <si>
    <t>5000/1291</t>
  </si>
  <si>
    <t>5000/1292</t>
  </si>
  <si>
    <t>5000/1293</t>
  </si>
  <si>
    <t>IPS Sobrepaso corto 20</t>
  </si>
  <si>
    <t>IPS Sobrepaso corto 25</t>
  </si>
  <si>
    <t>IPS Sobrepaso corto 32</t>
  </si>
  <si>
    <t>5000/1241</t>
  </si>
  <si>
    <t>5000/1242</t>
  </si>
  <si>
    <t>IPS Misturador 20</t>
  </si>
  <si>
    <t>IPS Misturador 25</t>
  </si>
  <si>
    <t>5000/721</t>
  </si>
  <si>
    <t>5000/722</t>
  </si>
  <si>
    <t>5000/723</t>
  </si>
  <si>
    <t>5000/724</t>
  </si>
  <si>
    <t>IPS Adaptador para tanque 20</t>
  </si>
  <si>
    <t>IPS Adaptador para tanque 25</t>
  </si>
  <si>
    <t>IPS Adaptador para tanque 32</t>
  </si>
  <si>
    <t>IPS Adaptador para tanque 40</t>
  </si>
  <si>
    <t>5000/751</t>
  </si>
  <si>
    <t>5000/752</t>
  </si>
  <si>
    <t>5000/753</t>
  </si>
  <si>
    <t>IPS Cruz 20</t>
  </si>
  <si>
    <t>IPS Cruz 25</t>
  </si>
  <si>
    <t>IPS Cruz 32</t>
  </si>
  <si>
    <t>5000/1211</t>
  </si>
  <si>
    <t>5000/1212</t>
  </si>
  <si>
    <t>5000/1213</t>
  </si>
  <si>
    <t>IPS Codo esquinero 90° 20</t>
  </si>
  <si>
    <t>IPS Codo esquinero 90° 25</t>
  </si>
  <si>
    <t>IPS Codo esquinero 90° 32</t>
  </si>
  <si>
    <t>5000/140</t>
  </si>
  <si>
    <t>5000/141</t>
  </si>
  <si>
    <t>5000/142</t>
  </si>
  <si>
    <t>5000/143</t>
  </si>
  <si>
    <t>5000/144</t>
  </si>
  <si>
    <t>5000/145</t>
  </si>
  <si>
    <t>5000/146</t>
  </si>
  <si>
    <t>5000/148</t>
  </si>
  <si>
    <t>5000/149</t>
  </si>
  <si>
    <t>5000/150</t>
  </si>
  <si>
    <t>5000/151</t>
  </si>
  <si>
    <t>5000/152</t>
  </si>
  <si>
    <t>5000/153</t>
  </si>
  <si>
    <t>5000/154</t>
  </si>
  <si>
    <t>5000/155</t>
  </si>
  <si>
    <t>IPS Buje reduccion 25 x 20</t>
  </si>
  <si>
    <t>IPS Buje reduccion 32 x 20</t>
  </si>
  <si>
    <t>IPS Buje reduccion 32 x 25</t>
  </si>
  <si>
    <t>IPS Buje reduccion 40 x 20</t>
  </si>
  <si>
    <t>IPS Buje reduccion 40 x 25</t>
  </si>
  <si>
    <t>IPS Buje reduccion 40 x 32</t>
  </si>
  <si>
    <t>IPS Buje reduccion 50 x 20</t>
  </si>
  <si>
    <t>IPS Buje reduccion 50 x 25</t>
  </si>
  <si>
    <t>IPS Buje reduccion 50 x 32</t>
  </si>
  <si>
    <t>IPS Buje reduccion 50 x 40</t>
  </si>
  <si>
    <t>IPS Buje reduccion 63 x 20</t>
  </si>
  <si>
    <t>IPS Buje reduccion 63 x 25</t>
  </si>
  <si>
    <t>IPS Buje reduccion 63 x 32</t>
  </si>
  <si>
    <t>IPS Buje reduccion 63 x 40</t>
  </si>
  <si>
    <t>IPS Buje reduccion 63 x 50</t>
  </si>
  <si>
    <t>5000/1220</t>
  </si>
  <si>
    <t>5000/1221</t>
  </si>
  <si>
    <t>5000/1222</t>
  </si>
  <si>
    <t>5000/241</t>
  </si>
  <si>
    <t>5000/242</t>
  </si>
  <si>
    <t>5000/243</t>
  </si>
  <si>
    <t>5000/244</t>
  </si>
  <si>
    <t>5000/245</t>
  </si>
  <si>
    <t>5000/246</t>
  </si>
  <si>
    <t>5000/247</t>
  </si>
  <si>
    <t>5000/248</t>
  </si>
  <si>
    <t>5000/249</t>
  </si>
  <si>
    <t>5000/250</t>
  </si>
  <si>
    <t>5000/251</t>
  </si>
  <si>
    <t>5000/252</t>
  </si>
  <si>
    <t>5000/253</t>
  </si>
  <si>
    <t>5000/254</t>
  </si>
  <si>
    <t>5000/257</t>
  </si>
  <si>
    <t>IPS Tee reduccion 25 x 20</t>
  </si>
  <si>
    <t>IPS Tee reduccion 32 x 20</t>
  </si>
  <si>
    <t>IPS Tee reduccion 32 x 25</t>
  </si>
  <si>
    <t>IPS Tee reduccion 40 x 20</t>
  </si>
  <si>
    <t>IPS Tee reduccion 40 x 25</t>
  </si>
  <si>
    <t>IPS Tee reduccion 40 x 32</t>
  </si>
  <si>
    <t>IPS Tee reduccion 50 x 20</t>
  </si>
  <si>
    <t>IPS Tee reduccion 50 x 25</t>
  </si>
  <si>
    <t>IPS Tee reduccion 50 x 32</t>
  </si>
  <si>
    <t>IPS Tee reduccion 50 x 40</t>
  </si>
  <si>
    <t>IPS Tee reduccion 63 x 20</t>
  </si>
  <si>
    <t>IPS Tee reduccion 63 x 25</t>
  </si>
  <si>
    <t>IPS Tee reduccion 63 x 32</t>
  </si>
  <si>
    <t>IPS Tee reduccion 63 x 40</t>
  </si>
  <si>
    <t>IPS Tee reduccion 63 x 50</t>
  </si>
  <si>
    <t>5000/1752</t>
  </si>
  <si>
    <t>5000/1757</t>
  </si>
  <si>
    <t>IPS Colector 4 bajadas 32 x 25</t>
  </si>
  <si>
    <t>IPS Colector 4 bajadas 75 x 63</t>
  </si>
  <si>
    <t>5000/200</t>
  </si>
  <si>
    <t>5000/201</t>
  </si>
  <si>
    <t>5000/202</t>
  </si>
  <si>
    <t>5000/203</t>
  </si>
  <si>
    <t>5000/204</t>
  </si>
  <si>
    <t>5000/205</t>
  </si>
  <si>
    <t>5000/209</t>
  </si>
  <si>
    <t>IPS Codo 90° c/inserto H 20 x 3/8</t>
  </si>
  <si>
    <t>IPS Codo 90° c/inserto H 20 x 1/2</t>
  </si>
  <si>
    <t>IPS Codo 90° c/inserto H 25 x 1/2</t>
  </si>
  <si>
    <t>IPS Codo 90° c/inserto H 25 x 3/4</t>
  </si>
  <si>
    <t>IPS Codo 90° c/inserto H 32 x 1</t>
  </si>
  <si>
    <t>IPS Codo 90° c/inserto H 25 x 3/8</t>
  </si>
  <si>
    <t>IPS Codo 90° c/inserto H 32 x 3/4</t>
  </si>
  <si>
    <t>5000/221</t>
  </si>
  <si>
    <t>5000/220</t>
  </si>
  <si>
    <t>5000/219</t>
  </si>
  <si>
    <t>5000/222</t>
  </si>
  <si>
    <t>5000/223</t>
  </si>
  <si>
    <t>5000/224</t>
  </si>
  <si>
    <t>5000/225</t>
  </si>
  <si>
    <t>5000/226</t>
  </si>
  <si>
    <t>5000/229</t>
  </si>
  <si>
    <t>IPS Cupla c/inserto M 32 x 1/2</t>
  </si>
  <si>
    <t>IPS Cupla c/inserto M 25 x 1/2</t>
  </si>
  <si>
    <t>IPS Cupla c/inserto M 20 x 1/2</t>
  </si>
  <si>
    <t>IPS Cupla c/inserto M 25 x 3/4</t>
  </si>
  <si>
    <t xml:space="preserve">IPS Cupla c/inserto M 32 x 1 </t>
  </si>
  <si>
    <t>IPS Cupla c/inserto M 40 x 1 1/4</t>
  </si>
  <si>
    <t>IPS Cupla c/inserto M 50 x 1 1/2</t>
  </si>
  <si>
    <t>IPS Cupla c/inserto M 63 x 2</t>
  </si>
  <si>
    <t>5000/210</t>
  </si>
  <si>
    <t>5000/211</t>
  </si>
  <si>
    <t>5000/212</t>
  </si>
  <si>
    <t>5000/213</t>
  </si>
  <si>
    <t>5000/214</t>
  </si>
  <si>
    <t>IPS Tee c/inserto H 20 x 3/8</t>
  </si>
  <si>
    <t>IPS Tee c/inserto H 20 x 1/2</t>
  </si>
  <si>
    <t>IPS Tee c/inserto H 25 x 1/2</t>
  </si>
  <si>
    <t>IPS Tee c/inserto H 25 x 3/4</t>
  </si>
  <si>
    <t>IPS Tee c/inserto H 32 x 1</t>
  </si>
  <si>
    <t>5000/270</t>
  </si>
  <si>
    <t>5000/271</t>
  </si>
  <si>
    <t>5000/272</t>
  </si>
  <si>
    <t>5000/273</t>
  </si>
  <si>
    <t>5000/274</t>
  </si>
  <si>
    <t>5000/275</t>
  </si>
  <si>
    <t>5000/276</t>
  </si>
  <si>
    <t>5000/278</t>
  </si>
  <si>
    <t>IPS Cupla c/inserto H 20 x 3/8</t>
  </si>
  <si>
    <t>IPS Cupla c/inserto H 20 x 1/2</t>
  </si>
  <si>
    <t>IPS Cupla c/inserto H 25 x 3/4</t>
  </si>
  <si>
    <t>IPS Cupla c/inserto H 32 x 1</t>
  </si>
  <si>
    <t>IPS Cupla c/inserto H 40 x 1 1/4</t>
  </si>
  <si>
    <t>IPS Cupla c/inserto H 50 x 1 1/2</t>
  </si>
  <si>
    <t>IPS Cupla c/inserto H 63 x 2</t>
  </si>
  <si>
    <t>IPS Cupla c/inserto H 25 x 1/2</t>
  </si>
  <si>
    <t>5000/279</t>
  </si>
  <si>
    <t>IPS Cupla c/inserto H 32 x 3/4</t>
  </si>
  <si>
    <t>IPS Cupla c/inserto H 32 x 1/2</t>
  </si>
  <si>
    <t>5000/290</t>
  </si>
  <si>
    <t>IPS Cupla c/inserto H 20 x 3/4</t>
  </si>
  <si>
    <t>5000/761</t>
  </si>
  <si>
    <t>5000/763</t>
  </si>
  <si>
    <t>5000/764</t>
  </si>
  <si>
    <t>5000/769</t>
  </si>
  <si>
    <t>IPS Tee c/inserto M 20 x 1/2</t>
  </si>
  <si>
    <t>IPS Tee c/inserto M 25 x 3/4</t>
  </si>
  <si>
    <t>IPS Tee c/inserto M 32 x 1</t>
  </si>
  <si>
    <t>IPS Tee c/inserto M 32 x 3/4</t>
  </si>
  <si>
    <t>5000/1121</t>
  </si>
  <si>
    <t>5000/1122</t>
  </si>
  <si>
    <t>5000/1123</t>
  </si>
  <si>
    <t>5000/1129</t>
  </si>
  <si>
    <t>IPS Codo 90° c/inserto M 20 x 1/2</t>
  </si>
  <si>
    <t>IPS Codo 90° c/inserto M 25 x 1/2</t>
  </si>
  <si>
    <t>IPS Codo 90° c/inserto M 25 x 3/4</t>
  </si>
  <si>
    <t>IPS Codo 90° c/inserto M 32 x 3/4</t>
  </si>
  <si>
    <t>IPS Codo 90° c/inserto M 32 x 1</t>
  </si>
  <si>
    <t>5000/1201</t>
  </si>
  <si>
    <t>IPS Cdo 90° c/sujecion RH 20 x 1/2</t>
  </si>
  <si>
    <t>5000/1920</t>
  </si>
  <si>
    <t>IPS Misturador RH 3/4 x 25 x 3/4</t>
  </si>
  <si>
    <t>5000/231</t>
  </si>
  <si>
    <t>5000/232</t>
  </si>
  <si>
    <t>5000/233</t>
  </si>
  <si>
    <t>5000/234</t>
  </si>
  <si>
    <t>5000/235</t>
  </si>
  <si>
    <t>5000/236</t>
  </si>
  <si>
    <t>IPS Union doble 20</t>
  </si>
  <si>
    <t>IPS Union doble 25</t>
  </si>
  <si>
    <t>IPS Union doble 32</t>
  </si>
  <si>
    <t>IPS Union doble 40</t>
  </si>
  <si>
    <t>IPS Union doble 50</t>
  </si>
  <si>
    <t>IPS Union doble 63</t>
  </si>
  <si>
    <t>5000/531</t>
  </si>
  <si>
    <t>5000/532</t>
  </si>
  <si>
    <t>5000/533</t>
  </si>
  <si>
    <t>5000/534</t>
  </si>
  <si>
    <t>5000/535</t>
  </si>
  <si>
    <t>5000/536</t>
  </si>
  <si>
    <t>IPS Union doble RH 20 x 1/2</t>
  </si>
  <si>
    <t>IPS Union doble RH 25 x 3/4</t>
  </si>
  <si>
    <t>IPS Union doble RH 32 x 1</t>
  </si>
  <si>
    <t>IPS Union doble RH 40 x 11/4</t>
  </si>
  <si>
    <t>IPS Union doble RH 50 x 1 1/2</t>
  </si>
  <si>
    <t>IPS Union doble RH 63 x 2</t>
  </si>
  <si>
    <t>5000/921</t>
  </si>
  <si>
    <t>5000/922</t>
  </si>
  <si>
    <t>5000/923</t>
  </si>
  <si>
    <t>IPS Union doble RM 20 x 1/2</t>
  </si>
  <si>
    <t>IPS Union doble RM 25 x 3/4</t>
  </si>
  <si>
    <t>IPS Union doble RM 32 x 1</t>
  </si>
  <si>
    <t>5000/1801</t>
  </si>
  <si>
    <t>5000/1802</t>
  </si>
  <si>
    <t>5000/1803</t>
  </si>
  <si>
    <t>IPS Llave paso c/c cabezal metalico 20</t>
  </si>
  <si>
    <t>IPS Llave paso c/c cabezal metalico 25</t>
  </si>
  <si>
    <t>IPS Llave paso c/c cabezal metalico 32</t>
  </si>
  <si>
    <t>5000/1901</t>
  </si>
  <si>
    <t>5000/1902</t>
  </si>
  <si>
    <t>5000/1903</t>
  </si>
  <si>
    <t>IPS Llave esferica manija corta 20</t>
  </si>
  <si>
    <t>IPS Llave esferica manija corta 25</t>
  </si>
  <si>
    <t>IPS Llave esferica manija corta 32</t>
  </si>
  <si>
    <t>5000/1951</t>
  </si>
  <si>
    <t>5000/1952</t>
  </si>
  <si>
    <t>5000/1953</t>
  </si>
  <si>
    <t>5000/1914</t>
  </si>
  <si>
    <t>5000/1915</t>
  </si>
  <si>
    <t>5000/1916</t>
  </si>
  <si>
    <t>IPS Llave esferica manija larga 20</t>
  </si>
  <si>
    <t>IPS Llave esferica manija larga 25</t>
  </si>
  <si>
    <t>IPS Llave esferica manija larga 32</t>
  </si>
  <si>
    <t>IPS Llave esferica manija larga 40</t>
  </si>
  <si>
    <t>IPS Llave esferica manija larga 50</t>
  </si>
  <si>
    <t>IPS Llave esferica manija larga 63</t>
  </si>
  <si>
    <t>5000/1961</t>
  </si>
  <si>
    <t>5000/1962</t>
  </si>
  <si>
    <t>5000/1963</t>
  </si>
  <si>
    <t>IPS Llave esferica c/c y volante ABS 20</t>
  </si>
  <si>
    <t>IPS Llave esferica c/c y volante ABS 25</t>
  </si>
  <si>
    <t>IPS Llave esferica c/c y volante ABS 32</t>
  </si>
  <si>
    <t>5000/1971</t>
  </si>
  <si>
    <t>5000/1972</t>
  </si>
  <si>
    <t>5000/1973</t>
  </si>
  <si>
    <t>IPS Llave esferica c/c y volante metal 20</t>
  </si>
  <si>
    <t>IPS Llave esferica c/c y volante metal 25</t>
  </si>
  <si>
    <t>IPS Llave esferica c/c y volante metal 32</t>
  </si>
  <si>
    <t>5000/1981</t>
  </si>
  <si>
    <t>5000/1982</t>
  </si>
  <si>
    <t>5000/1983</t>
  </si>
  <si>
    <t>IPS Llave esferica c/media union 20</t>
  </si>
  <si>
    <t>IPS Llave esferica c/media union 25</t>
  </si>
  <si>
    <t>IPS Llave esferica c/media union 32</t>
  </si>
  <si>
    <t>IPS Codo reduccion 90° 25 x 20</t>
  </si>
  <si>
    <t>IPS Codo reduccion 90° 32 x 20</t>
  </si>
  <si>
    <t>IPS Codo reduccion 90° 32 x 25</t>
  </si>
  <si>
    <t>PRODUCTOS QUIMICOS LAR</t>
  </si>
  <si>
    <t>ACCESORIOS TERMOFUSION GAS IPS (VANTEC)</t>
  </si>
  <si>
    <t>5000/42911</t>
  </si>
  <si>
    <t>5000/42912</t>
  </si>
  <si>
    <t>5000/42913</t>
  </si>
  <si>
    <t>5000/42914</t>
  </si>
  <si>
    <t>5000/42915</t>
  </si>
  <si>
    <t>5000/44101</t>
  </si>
  <si>
    <t>5000/44102</t>
  </si>
  <si>
    <t>5000/44103</t>
  </si>
  <si>
    <t>5000/44104</t>
  </si>
  <si>
    <t>5000/44105</t>
  </si>
  <si>
    <t>5000/44111</t>
  </si>
  <si>
    <t>5000/44112</t>
  </si>
  <si>
    <t>5000/44113</t>
  </si>
  <si>
    <t>5000/44114</t>
  </si>
  <si>
    <t>5000/44115</t>
  </si>
  <si>
    <t>5000/44131</t>
  </si>
  <si>
    <t>5000/44132</t>
  </si>
  <si>
    <t>5000/44133</t>
  </si>
  <si>
    <t>5000/44134</t>
  </si>
  <si>
    <t>5000/44135</t>
  </si>
  <si>
    <t>5000/44140</t>
  </si>
  <si>
    <t>5000/44141</t>
  </si>
  <si>
    <t>5000/44142</t>
  </si>
  <si>
    <t>5000/44161</t>
  </si>
  <si>
    <t>5000/44162</t>
  </si>
  <si>
    <t>5000/44163</t>
  </si>
  <si>
    <t>5000/44164</t>
  </si>
  <si>
    <t>5000/44165</t>
  </si>
  <si>
    <t>5000/44201</t>
  </si>
  <si>
    <t>5000/44202</t>
  </si>
  <si>
    <t>5000/44203</t>
  </si>
  <si>
    <t>5000/44204</t>
  </si>
  <si>
    <t>5000/44205</t>
  </si>
  <si>
    <t>5000/44206</t>
  </si>
  <si>
    <t>5000/44207</t>
  </si>
  <si>
    <t>5000/44221</t>
  </si>
  <si>
    <t>5000/44222</t>
  </si>
  <si>
    <t>5000/44223</t>
  </si>
  <si>
    <t>5000/44224</t>
  </si>
  <si>
    <t>5000/44225</t>
  </si>
  <si>
    <t>5000/44226</t>
  </si>
  <si>
    <t>5000/44241</t>
  </si>
  <si>
    <t>5000/44242</t>
  </si>
  <si>
    <t>5000/44243</t>
  </si>
  <si>
    <t>5000/44271</t>
  </si>
  <si>
    <t>5000/44272</t>
  </si>
  <si>
    <t>5000/44273</t>
  </si>
  <si>
    <t>5000/44274</t>
  </si>
  <si>
    <t>5000/44275</t>
  </si>
  <si>
    <t>5000/44276</t>
  </si>
  <si>
    <t>5000/44421</t>
  </si>
  <si>
    <t>5000/44422</t>
  </si>
  <si>
    <t>5000/44423</t>
  </si>
  <si>
    <t>5000/44424</t>
  </si>
  <si>
    <t>5000/44291</t>
  </si>
  <si>
    <t>5000/44292</t>
  </si>
  <si>
    <t>5000/44293</t>
  </si>
  <si>
    <t>5000/44931</t>
  </si>
  <si>
    <t>5000/44932</t>
  </si>
  <si>
    <t>5000/44933</t>
  </si>
  <si>
    <t>5000/44841</t>
  </si>
  <si>
    <t>5000/44842</t>
  </si>
  <si>
    <t>5000/44843</t>
  </si>
  <si>
    <t>VANTEC Caño 20</t>
  </si>
  <si>
    <t>VANTEC Caño 25</t>
  </si>
  <si>
    <t>VANTEC Caño 32</t>
  </si>
  <si>
    <t>VANTEC Caño 40</t>
  </si>
  <si>
    <t>VANTEC Caño 50</t>
  </si>
  <si>
    <t>VANTEC Codo 90° 20</t>
  </si>
  <si>
    <t>VANTEC Codo 90° 25</t>
  </si>
  <si>
    <t>VANTEC Codo 90° 32</t>
  </si>
  <si>
    <t>VANTEC Codo 90° 40</t>
  </si>
  <si>
    <t>VANTEC Codo 90° 50</t>
  </si>
  <si>
    <t>VANTEC Tapa 20</t>
  </si>
  <si>
    <t>VANTEC Tapa 25</t>
  </si>
  <si>
    <t>VANTEC Tapa 32</t>
  </si>
  <si>
    <t>VANTEC Tapa 40</t>
  </si>
  <si>
    <t>VANTEC Tapa 50</t>
  </si>
  <si>
    <t>VANTEC Codo 45° 20</t>
  </si>
  <si>
    <t>VANTEC Codo 45° 25</t>
  </si>
  <si>
    <t>VANTEC Codo 45° 32</t>
  </si>
  <si>
    <t>VANTEC Codo 45° 40</t>
  </si>
  <si>
    <t>VANTEC Codo 45° 50</t>
  </si>
  <si>
    <t>VANTEC Cupla reduccion 25 x 20</t>
  </si>
  <si>
    <t>VANTEC Cupla reduccion 32 x 20</t>
  </si>
  <si>
    <t>VANTEC Cupla reduccion 32 x 25</t>
  </si>
  <si>
    <t>VANTEC Tee 20</t>
  </si>
  <si>
    <t>VANTEC Tee 25</t>
  </si>
  <si>
    <t>VANTEC Tee 32</t>
  </si>
  <si>
    <t>VANTEC Tee 40</t>
  </si>
  <si>
    <t>VANTEC Tee 50</t>
  </si>
  <si>
    <t>VANTEC Cupla 20</t>
  </si>
  <si>
    <t>VANTEC Cupla 25</t>
  </si>
  <si>
    <t>VANTEC Cupla 32</t>
  </si>
  <si>
    <t>VANTEC Cupla 40</t>
  </si>
  <si>
    <t>VANTEC Cupla 50</t>
  </si>
  <si>
    <t>VANTEC Codo 90° RH 20 x 1/2</t>
  </si>
  <si>
    <t>VANTEC Codo 90° RH 25 x 1/2</t>
  </si>
  <si>
    <t>VANTEC Codo 90° RH 25 x 3/4</t>
  </si>
  <si>
    <t>VANTEC Codo 90° RH 32 x 3/4</t>
  </si>
  <si>
    <t>VANTEC Codo 90° RH 32 x 1</t>
  </si>
  <si>
    <t>VANTEC Codo 90° RH 40 x 1 1/4</t>
  </si>
  <si>
    <t>VANTEC Codo 90° RH 50 x 1 1/2</t>
  </si>
  <si>
    <t>VANTEC Cupla RM 20 x 1/2</t>
  </si>
  <si>
    <t>VANTEC Cupla RM 25 x 1/2</t>
  </si>
  <si>
    <t>VANTEC Cupla RM 25 x 3/4</t>
  </si>
  <si>
    <t>VANTEC Cupla RM 32 x 1</t>
  </si>
  <si>
    <t>VANTEC Cupla RM 40 x 1 1/4</t>
  </si>
  <si>
    <t>VANTEC Cupla RM 50 x 1 1/2</t>
  </si>
  <si>
    <t>VANTEC Tee reduccion 25 x 20</t>
  </si>
  <si>
    <t>VANTEC Tee reduccion 32 x 20</t>
  </si>
  <si>
    <t>VANTEC Tee reduccion 32 x 25</t>
  </si>
  <si>
    <t>VANTEC Cupla RH 20 x 1/2</t>
  </si>
  <si>
    <t>VANTEC Cupla RH 25 x 1/2</t>
  </si>
  <si>
    <t>VANTEC Cupla RH 25 x 3/4</t>
  </si>
  <si>
    <t>VANTEC Cupla RH 32 x 1</t>
  </si>
  <si>
    <t>VANTEC Cupla RH 40 x 1 1/4</t>
  </si>
  <si>
    <t>VANTEC Cupla RH 50 x 1 1/2</t>
  </si>
  <si>
    <t>VANTEC Buje reduccion 40 x 25</t>
  </si>
  <si>
    <t>VANTEC Buje reduccion 40 x 32</t>
  </si>
  <si>
    <t>VANTEC Buje reduccion 50 x 32</t>
  </si>
  <si>
    <t>VANTEC Buje reduccion 50 x 40</t>
  </si>
  <si>
    <t>VANTEC Sobrepaso 20</t>
  </si>
  <si>
    <t>VANTEC Sobrepaso 25</t>
  </si>
  <si>
    <t>VANTEC Sobrepaso 32</t>
  </si>
  <si>
    <t>VANTEC Montura reparacion 20</t>
  </si>
  <si>
    <t>VANTEC Montura reparacion 25</t>
  </si>
  <si>
    <t>VANTEC Montura reparacion 32</t>
  </si>
  <si>
    <t>VANTEC Llave paso 20 c/camapana</t>
  </si>
  <si>
    <t>VANTEC Llave paso 25 c/campana</t>
  </si>
  <si>
    <t>VANTEC Llave paso 32 c/campana</t>
  </si>
  <si>
    <t>5000/50501</t>
  </si>
  <si>
    <t>5000/51001</t>
  </si>
  <si>
    <t>5000/52001</t>
  </si>
  <si>
    <t>5000/50502</t>
  </si>
  <si>
    <t>5000/51002</t>
  </si>
  <si>
    <t>5000/52002</t>
  </si>
  <si>
    <t>5000/54002</t>
  </si>
  <si>
    <t>5000/50503</t>
  </si>
  <si>
    <t>5000/51003</t>
  </si>
  <si>
    <t>5000/52003</t>
  </si>
  <si>
    <t>5000/54003</t>
  </si>
  <si>
    <t>5000/50506</t>
  </si>
  <si>
    <t>5000/51006</t>
  </si>
  <si>
    <t>5000/52006</t>
  </si>
  <si>
    <t>5000/54006</t>
  </si>
  <si>
    <t>ACCESORIOS Y CAÑOS IPS DESAGUE</t>
  </si>
  <si>
    <t>5000/55301</t>
  </si>
  <si>
    <t>5000/55302</t>
  </si>
  <si>
    <t>5000/55303</t>
  </si>
  <si>
    <t>5000/55306</t>
  </si>
  <si>
    <t xml:space="preserve">IPS Desague CAÑO 40 X 0,50 MTS </t>
  </si>
  <si>
    <t xml:space="preserve">IPS Desague CAÑO 40 X 1,00 MTS </t>
  </si>
  <si>
    <t xml:space="preserve">IPS Desague CAÑO 40 X 2,00 MTS </t>
  </si>
  <si>
    <t xml:space="preserve">IPS Desague CAÑO 40 X 4,00 MTS </t>
  </si>
  <si>
    <t xml:space="preserve">IPS Desague CAÑO 50 X 0,50 MTS </t>
  </si>
  <si>
    <t xml:space="preserve">IPS Desague CAÑO 50 X 1,00 MTS </t>
  </si>
  <si>
    <t xml:space="preserve">IPS Desague CAÑO 50 X 2,00 MTS </t>
  </si>
  <si>
    <t xml:space="preserve">IPS Desague CAÑO 50 X 4,00 MTS </t>
  </si>
  <si>
    <t xml:space="preserve">IPS Desague CAÑO 63 X 0,50 MTS </t>
  </si>
  <si>
    <t xml:space="preserve">IPS Desague CAÑO 63 X 1,00 MTS </t>
  </si>
  <si>
    <t xml:space="preserve">IPS Desague CAÑO 63 X 2,00 MTS </t>
  </si>
  <si>
    <t xml:space="preserve">IPS Desague CAÑO 63 X 4,00 MTS </t>
  </si>
  <si>
    <t xml:space="preserve">IPS Desague CAÑO 110 X 0,50 MTS </t>
  </si>
  <si>
    <t xml:space="preserve">IPS Desague CAÑO 110 X 1,00 MTS </t>
  </si>
  <si>
    <t xml:space="preserve">IPS Desague CAÑO 110 X 2,00 MTS </t>
  </si>
  <si>
    <t xml:space="preserve">IPS Desague CAÑO 110 X 4,00 MTS </t>
  </si>
  <si>
    <t>IPS Desague Codo MH 45° 40</t>
  </si>
  <si>
    <t>IPS Desague Codo MH 45° 50</t>
  </si>
  <si>
    <t>IPS Desague Codo MH 45° 63</t>
  </si>
  <si>
    <t>IPS Desague Codo MH 45° 110</t>
  </si>
  <si>
    <t>5000/55311</t>
  </si>
  <si>
    <t>5000/55312</t>
  </si>
  <si>
    <t>5000/55313</t>
  </si>
  <si>
    <t>5000/55316</t>
  </si>
  <si>
    <t>IPS Desague Codo MH 90° 40</t>
  </si>
  <si>
    <t>IPS Desague Codo MH 90° 50</t>
  </si>
  <si>
    <t>IPS Desague Codo MH 90° 63</t>
  </si>
  <si>
    <t>IPS Desague Codo MH 90° 110</t>
  </si>
  <si>
    <t>5000/55321</t>
  </si>
  <si>
    <t>5000/55322</t>
  </si>
  <si>
    <t>5000/55323</t>
  </si>
  <si>
    <t>5000/55326</t>
  </si>
  <si>
    <t>IPS Desague Codo HH 45° 40</t>
  </si>
  <si>
    <t>IPS Desague Codo HH 45° 50</t>
  </si>
  <si>
    <t>IPS Desague Codo HH 45° 63</t>
  </si>
  <si>
    <t>IPS Desague Codo HH 45° 110</t>
  </si>
  <si>
    <t>5000/55331</t>
  </si>
  <si>
    <t>5000/55332</t>
  </si>
  <si>
    <t>5000/55333</t>
  </si>
  <si>
    <t>5000/55336</t>
  </si>
  <si>
    <t>IPS Desague Codo HH 90° 40</t>
  </si>
  <si>
    <t>IPS Desague Codo HH 90° 50</t>
  </si>
  <si>
    <t>IPS Desague Codo HH 90° 63</t>
  </si>
  <si>
    <t>IPS Desague Codo HH 90° 110</t>
  </si>
  <si>
    <t>5000/55346</t>
  </si>
  <si>
    <t>IPS Desague Codo c/base MH 110</t>
  </si>
  <si>
    <t>5000/55416</t>
  </si>
  <si>
    <t>IPS Desague Curva HH 110</t>
  </si>
  <si>
    <t>5000/55417</t>
  </si>
  <si>
    <t>IPS Desague Curva MH 110</t>
  </si>
  <si>
    <t>5000/55426</t>
  </si>
  <si>
    <t>IPS Desague Curva c/base MH 110</t>
  </si>
  <si>
    <t>5000/55427</t>
  </si>
  <si>
    <t>IPS Desague Curva c/base HH 110</t>
  </si>
  <si>
    <t>5000/55431</t>
  </si>
  <si>
    <t>5000/55432</t>
  </si>
  <si>
    <t>5000/55433</t>
  </si>
  <si>
    <t>5000/55436</t>
  </si>
  <si>
    <t>IPS Desague Manguito 40</t>
  </si>
  <si>
    <t>IPS Desague Manguito 50</t>
  </si>
  <si>
    <t>IPS Desague Manguito 63</t>
  </si>
  <si>
    <t>IPS Desague Manguito 110</t>
  </si>
  <si>
    <t>5000/55451</t>
  </si>
  <si>
    <t>5000/55452</t>
  </si>
  <si>
    <t>5000/55453</t>
  </si>
  <si>
    <t>IPS Desague Cupla reduccion 50 x 40</t>
  </si>
  <si>
    <t>IPS Desague Cupla reduccion 63 x 50</t>
  </si>
  <si>
    <t>IPS Desague Cupla reduccion 110 x 63</t>
  </si>
  <si>
    <t>5000/55656</t>
  </si>
  <si>
    <t>IPS Desague Caño camara 110</t>
  </si>
  <si>
    <t>5000/55971</t>
  </si>
  <si>
    <t>IPS Desague Manguito valvula inodoro 38 x 40</t>
  </si>
  <si>
    <t>5000/55691</t>
  </si>
  <si>
    <t>5000/55692</t>
  </si>
  <si>
    <t>5000/55693</t>
  </si>
  <si>
    <t>5000/55696</t>
  </si>
  <si>
    <t>IPS Desague Tapon M 40</t>
  </si>
  <si>
    <t>IPS Desague Tapon M 50</t>
  </si>
  <si>
    <t>IPS Desague Tapon M 63</t>
  </si>
  <si>
    <t>IPS Desague Tapon M 110</t>
  </si>
  <si>
    <t>5000/55701</t>
  </si>
  <si>
    <t>5000/55702</t>
  </si>
  <si>
    <t>5000/55703</t>
  </si>
  <si>
    <t>5000/55706</t>
  </si>
  <si>
    <t>IPS Desague Tapa H 40</t>
  </si>
  <si>
    <t>IPS Desague Tapa H 50</t>
  </si>
  <si>
    <t>IPS Desague Tapa H 63</t>
  </si>
  <si>
    <t>IPS Desague Tapa H 110</t>
  </si>
  <si>
    <t>5000/55721</t>
  </si>
  <si>
    <t>5000/55722</t>
  </si>
  <si>
    <t>IPS Desague Codo 90° c/acometida der. 110 x 63</t>
  </si>
  <si>
    <t>IPS Desague Codo 90° c/acometida izq. 110 x 63</t>
  </si>
  <si>
    <t>5000/55723</t>
  </si>
  <si>
    <t>IPS Desague Codo 90° doble acometida 110 x 63</t>
  </si>
  <si>
    <t>IPS Desague Codo 90° triple acometida 110 x 63</t>
  </si>
  <si>
    <t>5000/55724</t>
  </si>
  <si>
    <t>5000/55715</t>
  </si>
  <si>
    <t>IPS Desague Boca acceso cocina</t>
  </si>
  <si>
    <t>5000/55751</t>
  </si>
  <si>
    <t>IPS Desague Pileta ducha 40</t>
  </si>
  <si>
    <t>5000/55753</t>
  </si>
  <si>
    <t>IPS Desague Pileta balcon 63</t>
  </si>
  <si>
    <t>5000/55774</t>
  </si>
  <si>
    <t>5000/55775</t>
  </si>
  <si>
    <t>5000/55776</t>
  </si>
  <si>
    <t>IPS Desague Pileta patio 3 entrada HH</t>
  </si>
  <si>
    <t>IPS Desague Pileta patio 3 entrada MH</t>
  </si>
  <si>
    <t>5000/55777</t>
  </si>
  <si>
    <t>IPS Desague Pileta patio 5 entradas HH</t>
  </si>
  <si>
    <t>IPS Desague Pileta patio 5 entradas MH</t>
  </si>
  <si>
    <t>5000/55970</t>
  </si>
  <si>
    <t>IPS Desague Sifon pileta patio</t>
  </si>
  <si>
    <t>5000/55900</t>
  </si>
  <si>
    <t>IPS Desague Marco porta rejilla</t>
  </si>
  <si>
    <t>5000/55920</t>
  </si>
  <si>
    <t>5000/55921</t>
  </si>
  <si>
    <t>IPS Desague Marco porta rejilla largo 10 x 10</t>
  </si>
  <si>
    <t>IPS Desague Marco porta rejilla largo 12 x 12</t>
  </si>
  <si>
    <t>5000/55770</t>
  </si>
  <si>
    <t>IPS Desague Rejilla antiplaga 110</t>
  </si>
  <si>
    <t>5000/55471</t>
  </si>
  <si>
    <t>5000/55472</t>
  </si>
  <si>
    <t>5000/55473</t>
  </si>
  <si>
    <t>5000/55476</t>
  </si>
  <si>
    <t>IPS Desague Ramal 90° MH 40</t>
  </si>
  <si>
    <t>IPS Desague Ramal 90° MH 50</t>
  </si>
  <si>
    <t>IPS Desague Ramal 90° MH 63</t>
  </si>
  <si>
    <t>IPS Desague Ramal 90° MH 110</t>
  </si>
  <si>
    <t>5000/55484</t>
  </si>
  <si>
    <t>5000/55485</t>
  </si>
  <si>
    <t>5000/55481</t>
  </si>
  <si>
    <t>5000/55482</t>
  </si>
  <si>
    <t>IPS Desague Ramal reduc. 90° MH 63 x 40</t>
  </si>
  <si>
    <t>IPS Desague Ramal reduc. 90° MH 63 x 50</t>
  </si>
  <si>
    <t>IPS Desague Ramal reduc. 90° MH 110 x 50</t>
  </si>
  <si>
    <t>IPS Desague Ramal reduc. 90° MH 110 x 63</t>
  </si>
  <si>
    <t>5000/55491</t>
  </si>
  <si>
    <t>5000/55492</t>
  </si>
  <si>
    <t>5000/55493</t>
  </si>
  <si>
    <t>5000/55496</t>
  </si>
  <si>
    <t>IPS Desague Ramal 90° HH 40</t>
  </si>
  <si>
    <t>IPS Desague Ramal 90° HH 50</t>
  </si>
  <si>
    <t>IPS Desague Ramal 90° HH 63</t>
  </si>
  <si>
    <t>IPS Desague Ramal 90° HH 110</t>
  </si>
  <si>
    <t>5000/55811</t>
  </si>
  <si>
    <t>5000/55812</t>
  </si>
  <si>
    <t>5000/55813</t>
  </si>
  <si>
    <t>5000/55814</t>
  </si>
  <si>
    <t>IPS Desague Ramal reduc. 90° HH 63 x 40</t>
  </si>
  <si>
    <t>IPS Desague Ramal reduc. 90° HH 63 x 50</t>
  </si>
  <si>
    <t>IPS Desague Ramal reduc. 90° HH 110 x 50</t>
  </si>
  <si>
    <t>IPS Desague Ramal reduc. 90° HH 110 x 63</t>
  </si>
  <si>
    <t>5000/55511</t>
  </si>
  <si>
    <t>5000/55512</t>
  </si>
  <si>
    <t>5000/55513</t>
  </si>
  <si>
    <t>5000/55516</t>
  </si>
  <si>
    <t>IPS Desague Raml 45° MH 40</t>
  </si>
  <si>
    <t>IPS Desague Raml 45° MH 50</t>
  </si>
  <si>
    <t>IPS Desague Raml 45° MH 63</t>
  </si>
  <si>
    <t>IPS Desague Raml 45° MH 110</t>
  </si>
  <si>
    <t>5000/55524</t>
  </si>
  <si>
    <t>5000/55525</t>
  </si>
  <si>
    <t>5000/55526</t>
  </si>
  <si>
    <t>5000/55527</t>
  </si>
  <si>
    <t>5000/55521</t>
  </si>
  <si>
    <t>5000/55522</t>
  </si>
  <si>
    <t>IPS Desague Ramal reduc. 45° MH 63 x 40</t>
  </si>
  <si>
    <t>IPS Desague Ramal reduc. 45° MH 63 x 50</t>
  </si>
  <si>
    <t>IPS Desague Ramal reduc. 45° MH 110 x 50</t>
  </si>
  <si>
    <t>IPS Desague Ramal reduc. 45° MH 110 x 63</t>
  </si>
  <si>
    <t>5000/55531</t>
  </si>
  <si>
    <t>5000/55532</t>
  </si>
  <si>
    <t>5000/55533</t>
  </si>
  <si>
    <t>5000/55536</t>
  </si>
  <si>
    <t>IPS Desague Ramal 45° HH 40</t>
  </si>
  <si>
    <t>IPS Desague Ramal 45° HH 50</t>
  </si>
  <si>
    <t>IPS Desague Ramal 45° HH 63</t>
  </si>
  <si>
    <t>IPS Desague Ramal 45° HH 110</t>
  </si>
  <si>
    <t>5000/55528</t>
  </si>
  <si>
    <t>5000/55529</t>
  </si>
  <si>
    <t>IPS Desague Ramal reduc. 45° HH 63 x 40</t>
  </si>
  <si>
    <t>IPS Desague Ramal reduc. 45° HH 63 x 50</t>
  </si>
  <si>
    <t>IPS Desague Ramal reduc. 45° HH 110 x 50</t>
  </si>
  <si>
    <t>IPS Desague Ramal reduc. 45° HH 110 x 63</t>
  </si>
  <si>
    <t>5000/55552</t>
  </si>
  <si>
    <t>IPS Desague Ramal invertido 45° 50</t>
  </si>
  <si>
    <t>5000/55596</t>
  </si>
  <si>
    <t>IPS Desague Ramal doble 90° 110</t>
  </si>
  <si>
    <t>5000/55598</t>
  </si>
  <si>
    <t>IPS Desague Ramal doble 90° c/ventilacion</t>
  </si>
  <si>
    <t>5000/55597</t>
  </si>
  <si>
    <t>IPS Desague Ramal doble 90° c/doble ventilacion</t>
  </si>
  <si>
    <t>5000/55599</t>
  </si>
  <si>
    <t>IPS Desague Ramal simple 90° c/ventilacion</t>
  </si>
  <si>
    <t>5000/55910</t>
  </si>
  <si>
    <t>5000/55912</t>
  </si>
  <si>
    <t>IPS Desague Rejilla acero c/marco 10 x 10</t>
  </si>
  <si>
    <t>IPS Desague Rejilla acero c/marco 12 x 12</t>
  </si>
  <si>
    <t>5000/55911</t>
  </si>
  <si>
    <t>5000/55913</t>
  </si>
  <si>
    <t>IPS Desague Tapa acero c/marco 10 x 10</t>
  </si>
  <si>
    <t>IPS Desague Tapa acero c/marco 12 x 12</t>
  </si>
  <si>
    <t>5000/284B</t>
  </si>
  <si>
    <t>5000/44191</t>
  </si>
  <si>
    <t>5000/44192</t>
  </si>
  <si>
    <t>5000/44193</t>
  </si>
  <si>
    <t>5000/44194</t>
  </si>
  <si>
    <t>5000/44195</t>
  </si>
  <si>
    <t>1540/13</t>
  </si>
  <si>
    <t>Sopapa tipo Johnson rosca 1 1/2</t>
  </si>
  <si>
    <t>1310/01A</t>
  </si>
  <si>
    <t>1310/02A</t>
  </si>
  <si>
    <t>ACCESORIOS GALVANIZADOS</t>
  </si>
  <si>
    <t>1020/100</t>
  </si>
  <si>
    <t>1020/101</t>
  </si>
  <si>
    <t>1020/102</t>
  </si>
  <si>
    <t>Codo reduccion 3/4 x 1/2 Galvanizado</t>
  </si>
  <si>
    <t>Codo reduccion 1 x 3/4 Galvanizado</t>
  </si>
  <si>
    <t>Codo reduccion 1 x 1/2 Galvanizado</t>
  </si>
  <si>
    <t>Curva MH 90° 1/2 Galvanizado</t>
  </si>
  <si>
    <t>Curva MH 90° 3/4 Galvanizado</t>
  </si>
  <si>
    <t>Curva MH 90° 1 Galvanizado</t>
  </si>
  <si>
    <t>Curva HH 90° 1/2 Galvanizado</t>
  </si>
  <si>
    <t>Curva HH 90° 3/4 Galvanizado</t>
  </si>
  <si>
    <t>Curva HH 90° 1 Galvanizado</t>
  </si>
  <si>
    <t>Curva MH 45° 1/2 Galvanizado</t>
  </si>
  <si>
    <t>Curva MH 45° 3/4 Galvanizado</t>
  </si>
  <si>
    <t>Curva MH 45° 1 Galvanizado</t>
  </si>
  <si>
    <t>Curva HH 45° 1/2 Galvanizado</t>
  </si>
  <si>
    <t>Curva HH 45° 3/4 Galvanizado</t>
  </si>
  <si>
    <t>Curva HH 45° 1 Galvanizado</t>
  </si>
  <si>
    <t>Codo HH 90° 1/2 Galvanizado</t>
  </si>
  <si>
    <t>Codo HH 90° 3/4 Galvanizado</t>
  </si>
  <si>
    <t>Codo HH 90° 1 Galvanizado</t>
  </si>
  <si>
    <t>Codo MH 90° 1/2 Galvanizado</t>
  </si>
  <si>
    <t>Codo MH 90° 3/4 Galvanizado</t>
  </si>
  <si>
    <t>Codo MH 90° 1 Galvanizado</t>
  </si>
  <si>
    <t>Tee 1/2 Galvanizado</t>
  </si>
  <si>
    <t>Tee 3/4 Galvanizado</t>
  </si>
  <si>
    <t>Tee 1 Galvanizado</t>
  </si>
  <si>
    <t>Tee reducccion 3/4 x 1/2 Galvanizado</t>
  </si>
  <si>
    <t>Tee reducccion 1 x 3/4 Galvanizado</t>
  </si>
  <si>
    <t>Tee reducccion 1 x 1/2 Galvanizado</t>
  </si>
  <si>
    <t>Cruz 1/2 Galvanizado</t>
  </si>
  <si>
    <t>Cruz 3/4 Galvanizado</t>
  </si>
  <si>
    <t>Cruz 1 Galvanizado</t>
  </si>
  <si>
    <t>Cupla reduccion 3/4 x 1/2 Galvanizado</t>
  </si>
  <si>
    <t>Cupla reduccion 1 x 3/4 Galvanizado</t>
  </si>
  <si>
    <t>Cupla reduccion 1 x 1/2 Galvanizado</t>
  </si>
  <si>
    <t>Buje reduccion 3/4 x 1/2 Galvanizado</t>
  </si>
  <si>
    <t>Buje reduccion 1 x 3/4 Galvanizado</t>
  </si>
  <si>
    <t>Buje reduccion 1 x 1/2 Galvanizado</t>
  </si>
  <si>
    <t>Buje reduccion 1 1/4 x 1 Galvanizado</t>
  </si>
  <si>
    <t>Buje reduccion 1 1/2 x 1 1/4 Galvanizado</t>
  </si>
  <si>
    <t>Cupla 1/2 Galvanizado</t>
  </si>
  <si>
    <t>Cupla 3/4 Galvanizado</t>
  </si>
  <si>
    <t>Cupla 1 Galvanizado</t>
  </si>
  <si>
    <t>Rosca con tuerca 1/2 Galvanizado</t>
  </si>
  <si>
    <t>Rosca con tuerca 3/4 Galvanizado</t>
  </si>
  <si>
    <t>Rosca con tuerca 1 Galvanizado</t>
  </si>
  <si>
    <t>Tapon macho 1/2 Galvanizado</t>
  </si>
  <si>
    <t>Tapon macho 3/4 Galvanizado</t>
  </si>
  <si>
    <t>Tapon macho 1 Galvanizado</t>
  </si>
  <si>
    <t>Tapa hembra 1/2 Galvanizado</t>
  </si>
  <si>
    <t>Tapa hembra 3/4 Galvanizado</t>
  </si>
  <si>
    <t>Tapa hembra 1 Galvanizado</t>
  </si>
  <si>
    <t>Tuerca plana 1/2 Galvanizada</t>
  </si>
  <si>
    <t>Tuerca plana 3/4 Galvanizada</t>
  </si>
  <si>
    <t>Tuerca plana 1 Galvanizada</t>
  </si>
  <si>
    <t>Brida 1/2 Galvanizada</t>
  </si>
  <si>
    <t>Brida 3/4 Galvanizada</t>
  </si>
  <si>
    <t>Brida 1 Galvanizada</t>
  </si>
  <si>
    <t>Union doble 1/2 Galvanizado</t>
  </si>
  <si>
    <t>Union doble 3/4 Galvanizado</t>
  </si>
  <si>
    <t>Union doble 1 Galvanizado</t>
  </si>
  <si>
    <t>MONTURAS EPOXI</t>
  </si>
  <si>
    <t>1390/50</t>
  </si>
  <si>
    <t>1390/51</t>
  </si>
  <si>
    <t>1390/52</t>
  </si>
  <si>
    <t>Montura epoxi 1/2 x 1/2</t>
  </si>
  <si>
    <t>Montura epoxi 3/4 x 1/2</t>
  </si>
  <si>
    <t>Montura epoxi 3/4 x 3/4</t>
  </si>
  <si>
    <t>Montura epoxi 1 x 1/2</t>
  </si>
  <si>
    <t>Montura epoxi 1 x 3/4</t>
  </si>
  <si>
    <t xml:space="preserve">Montura epoxi 1 x 1 </t>
  </si>
  <si>
    <t>Montura epoxi 1 1/4 x 1</t>
  </si>
  <si>
    <t>Montura epoxi 1 1/2 x 1 1/4</t>
  </si>
  <si>
    <t>Montura epoxi 2 x 1 1/2</t>
  </si>
  <si>
    <t>Montura epoxi 2 1/2 x 1 1/2</t>
  </si>
  <si>
    <t>Montura epoxi 3 x 1 1/2</t>
  </si>
  <si>
    <t>Montura epoxi 4 x 1 1/2</t>
  </si>
  <si>
    <t>1390/53</t>
  </si>
  <si>
    <t>1390/54</t>
  </si>
  <si>
    <t>1390/55</t>
  </si>
  <si>
    <t>1390/56</t>
  </si>
  <si>
    <t>1390/57</t>
  </si>
  <si>
    <t>1390/58</t>
  </si>
  <si>
    <t>1390/59</t>
  </si>
  <si>
    <t>1390/60</t>
  </si>
  <si>
    <t>1390/61</t>
  </si>
  <si>
    <t>1100/39</t>
  </si>
  <si>
    <t>Arandela de goma plana para flexioble 1</t>
  </si>
  <si>
    <t>Palito portarollo plastico super</t>
  </si>
  <si>
    <t>Deposito de colgar DEALER</t>
  </si>
  <si>
    <t>Deposito de mochila DEALER</t>
  </si>
  <si>
    <t>SOPORTE TAPA MADERA FERNANDEZ</t>
  </si>
  <si>
    <t>1010/87</t>
  </si>
  <si>
    <t>Caja calizuales 7 medidas</t>
  </si>
  <si>
    <t>1350/32A</t>
  </si>
  <si>
    <t>1540/14</t>
  </si>
  <si>
    <t>BACHAS ACERO INOXIDABLE (MI PILETA)</t>
  </si>
  <si>
    <t>103EC</t>
  </si>
  <si>
    <t>104EC</t>
  </si>
  <si>
    <t>Bacha doble acero (57 x 37 x 15)</t>
  </si>
  <si>
    <t>Bacha simple acero (52 x 32 x 15)</t>
  </si>
  <si>
    <t>Obturador para deposito IDEAL legitima</t>
  </si>
  <si>
    <t xml:space="preserve">LLAVES DE PASO ESFERICAS METALICAS CAFU          </t>
  </si>
  <si>
    <t>LLAVES PASO ESFERICAS METALICAS REFORZADAS</t>
  </si>
  <si>
    <t>1360/43</t>
  </si>
  <si>
    <t>1360/44</t>
  </si>
  <si>
    <t>1360/45</t>
  </si>
  <si>
    <t>Codo poliangular 40 HH 90 awaduct</t>
  </si>
  <si>
    <t>Codo poliangular 50 HH 90 awaduct</t>
  </si>
  <si>
    <t>Codo poliangular 63 HH 90 awaduct</t>
  </si>
  <si>
    <t>Buje reduccion 40 x 32 awaduct</t>
  </si>
  <si>
    <t>Buje reduccion 63 x 40 awaduct</t>
  </si>
  <si>
    <t>Buje reduccion 63 x 50 awaduct</t>
  </si>
  <si>
    <t>Buje reduccion 110 x 40 awaduct</t>
  </si>
  <si>
    <t>Buje reduccion 110 x 50 awaduct</t>
  </si>
  <si>
    <t>Buje reduccion 110 x 63 awaduct</t>
  </si>
  <si>
    <t>Sopapa a codo awaduct</t>
  </si>
  <si>
    <t>Sopapa recata awaduct</t>
  </si>
  <si>
    <t>Obturador para deposito TIPO Ideal</t>
  </si>
  <si>
    <t>1220/10A</t>
  </si>
  <si>
    <t>1220/11A</t>
  </si>
  <si>
    <t>1220/12A</t>
  </si>
  <si>
    <t>Caño polipropileno 1 1/4 Bicapa X 4MTS</t>
  </si>
  <si>
    <t>Caño polipropileno 1 1/2 Bicapa X 4MTS</t>
  </si>
  <si>
    <t>MESADAS DE ACERO CON BACHA (MI PILETA)</t>
  </si>
  <si>
    <t>100102E</t>
  </si>
  <si>
    <t>120103E</t>
  </si>
  <si>
    <t>140103E</t>
  </si>
  <si>
    <t xml:space="preserve">Mesada  acero 1 mt con bacha simple </t>
  </si>
  <si>
    <t>Mesada acero 1,20 mt con bacha simple</t>
  </si>
  <si>
    <t>Mesada acero 1,40 mt con bacha simple</t>
  </si>
  <si>
    <t>Tanque 1000 lts tricapa</t>
  </si>
  <si>
    <t>Tanque 280 lst tricapa</t>
  </si>
  <si>
    <t>Tanque 470 lts tricapa</t>
  </si>
  <si>
    <t>Tanque 500 lts Fino tricapa</t>
  </si>
  <si>
    <t>Tanque 750 lts tricapa</t>
  </si>
  <si>
    <t>1540/16</t>
  </si>
  <si>
    <t>1540/17</t>
  </si>
  <si>
    <t>1540/18</t>
  </si>
  <si>
    <t>1540/19</t>
  </si>
  <si>
    <t>1540/20</t>
  </si>
  <si>
    <t>1540/21</t>
  </si>
  <si>
    <t>1540/22</t>
  </si>
  <si>
    <t>1540/23</t>
  </si>
  <si>
    <t>1540/24</t>
  </si>
  <si>
    <t>1540/25</t>
  </si>
  <si>
    <t>1540/26</t>
  </si>
  <si>
    <t>1540/27</t>
  </si>
  <si>
    <t>TANQUES DE AGUA POWERLITE</t>
  </si>
  <si>
    <t>TANQUES DE AGUA ROTOPLAS</t>
  </si>
  <si>
    <t>Tanque Forteplas 400 lts bicapa</t>
  </si>
  <si>
    <t>Tanque Forteplas 500 lts bicapa</t>
  </si>
  <si>
    <t>Tanque Forteplas 600 lts bicapa</t>
  </si>
  <si>
    <t>Tanque Rotoplas gris 400 lts tricapa</t>
  </si>
  <si>
    <t>Tanque Rotoplas gris 600 lts tricapa</t>
  </si>
  <si>
    <t>Tanque Rotoplas gris 850 lts tricapa</t>
  </si>
  <si>
    <t>Tanque Rotoplas gris 1100 lts tricapa</t>
  </si>
  <si>
    <t>1660/15</t>
  </si>
  <si>
    <t>1660/16</t>
  </si>
  <si>
    <t>Pileta lavadero 0,52 cm sin mesada</t>
  </si>
  <si>
    <t>Pileta lavadero 0,75 cm mesada derecha o izquierda</t>
  </si>
  <si>
    <t>CABEZAL FV 4 LLAVE ROSCA FINA E. GRUESA</t>
  </si>
  <si>
    <t>2043/1</t>
  </si>
  <si>
    <t>CABEZAL LP. VASTAGO EXTRALAGO</t>
  </si>
  <si>
    <t>CD-03FLY</t>
  </si>
  <si>
    <t>CI-03FLY</t>
  </si>
  <si>
    <t>CABEZAL HIDROMET CERAMICO FRIO</t>
  </si>
  <si>
    <t>CABEZAL HIDROMET CERAMICO CALIENTE</t>
  </si>
  <si>
    <t>CD-09</t>
  </si>
  <si>
    <t>CI-09</t>
  </si>
  <si>
    <t>CABEZAL STALGRIF FRIO</t>
  </si>
  <si>
    <t>CABEZAL STALGRIF CALIENTE</t>
  </si>
  <si>
    <t>2079/6</t>
  </si>
  <si>
    <t>CABEZAL IGUAL A 2079/4 ESTRIA GRUESA</t>
  </si>
  <si>
    <t>2084/2</t>
  </si>
  <si>
    <t>CABEZAL UNIVERSAL LLAVE 1/2 PATA LARGA</t>
  </si>
  <si>
    <t>CABEZAL UNIVERSAL OLANTE CRUZ</t>
  </si>
  <si>
    <t>2084/3</t>
  </si>
  <si>
    <t>2100/2</t>
  </si>
  <si>
    <t>CABEZAL FV TRASF LLUVIA NO ASCNDENTE</t>
  </si>
  <si>
    <t>CABEZAL LLAVE PASO CON VOLANTE CRUZ</t>
  </si>
  <si>
    <t>2170/1</t>
  </si>
  <si>
    <t>2170/2</t>
  </si>
  <si>
    <t>CABEZAL CANILLA LAVARROPA CORTO</t>
  </si>
  <si>
    <t>CABEZAL CANILLA LAVARROPA LARGO</t>
  </si>
  <si>
    <t>2171/9</t>
  </si>
  <si>
    <t>CABEZAL FAZ CHILENO MODIFICADO</t>
  </si>
  <si>
    <t>3026/3</t>
  </si>
  <si>
    <t>CABEZAL LLAVE PASO LATYN CALEFACCION</t>
  </si>
  <si>
    <t>CABEZAL PIAZA CORTO CON TACITA</t>
  </si>
  <si>
    <t>3061/1</t>
  </si>
  <si>
    <t>CABEZAL PIAZA LARGO CON TACITA</t>
  </si>
  <si>
    <t>CABEZAL PEIRANO ESTRIA FINA</t>
  </si>
  <si>
    <t>CABEZAL AQUALAF TRASF. DUCHA</t>
  </si>
  <si>
    <t>CABEZAL STALGRIF LATERAL INTERMEDIO</t>
  </si>
  <si>
    <t>1020/57</t>
  </si>
  <si>
    <t>Buje 1 1/4 x 1 Epoxi</t>
  </si>
  <si>
    <t>PUERTAS DE CHAPA PARA NICHO SIN APROBAR reforzada</t>
  </si>
  <si>
    <t>ARANDELA FIBRA PARA CABEZAL</t>
  </si>
  <si>
    <t>1440/07</t>
  </si>
  <si>
    <t>Pileta lavatorio chica completa dealer</t>
  </si>
  <si>
    <t>4710/25</t>
  </si>
  <si>
    <t>1050/170</t>
  </si>
  <si>
    <t>Codo reduccion 25 x 20</t>
  </si>
  <si>
    <t>1610/17</t>
  </si>
  <si>
    <t>Tornillo 4 mm para cabezal</t>
  </si>
  <si>
    <t xml:space="preserve">FILTROS ACERO PARA VALVULA RETENCION </t>
  </si>
  <si>
    <t>1310/11</t>
  </si>
  <si>
    <t>1310/12</t>
  </si>
  <si>
    <t xml:space="preserve">Filtro 3/4 acero valvula retencion </t>
  </si>
  <si>
    <t>Filtro 1 acero valvula retencion</t>
  </si>
  <si>
    <t>4710/26</t>
  </si>
  <si>
    <t>4710/27</t>
  </si>
  <si>
    <t>4710/28</t>
  </si>
  <si>
    <t>Caño polipropileno  2 Bicapa X 4MTS</t>
  </si>
  <si>
    <t>Llave de paso fusion 20 mm con camapana</t>
  </si>
  <si>
    <t>Llave de paso fusion 25 mm con campana</t>
  </si>
  <si>
    <t>Llave de paso fusion 32 mm con campana</t>
  </si>
  <si>
    <t>1430/05</t>
  </si>
  <si>
    <t>1540/28</t>
  </si>
  <si>
    <t xml:space="preserve">NIPLES DE BRONCE    </t>
  </si>
  <si>
    <t>1050/160</t>
  </si>
  <si>
    <t>1050/161</t>
  </si>
  <si>
    <t>1050/162</t>
  </si>
  <si>
    <t>Sobrepaso corto 20 mm</t>
  </si>
  <si>
    <t>Sobrepaso corto 25 mm</t>
  </si>
  <si>
    <t>Sobrepaso corto 32 mm</t>
  </si>
  <si>
    <t>EYECTOR PARA BOMBEADOR</t>
  </si>
  <si>
    <t>1660/17</t>
  </si>
  <si>
    <t>Eyector para bombeador</t>
  </si>
  <si>
    <t>1360/46</t>
  </si>
  <si>
    <t>1360/47</t>
  </si>
  <si>
    <t>1360/48</t>
  </si>
  <si>
    <t>1360/49</t>
  </si>
  <si>
    <t>1360/50</t>
  </si>
  <si>
    <t>1360/51</t>
  </si>
  <si>
    <t>Llave paso plastica Krona 1</t>
  </si>
  <si>
    <t>Llave paso plastica Krona 1 1/4</t>
  </si>
  <si>
    <t>Llave paso plastica Krona 1 1/2</t>
  </si>
  <si>
    <t>Llave paso plastica Krona 2</t>
  </si>
  <si>
    <t>LLAVES DE PASO PLASTICA KRONA</t>
  </si>
  <si>
    <t>160103E</t>
  </si>
  <si>
    <t>Mesada acero 1,60 mt con bacha simple</t>
  </si>
  <si>
    <t>1320/13</t>
  </si>
  <si>
    <t>Goma tipo oring para corrugado mochila</t>
  </si>
  <si>
    <t>1660/18</t>
  </si>
  <si>
    <t>Peinador 50 cm c/ una luz</t>
  </si>
  <si>
    <t>1210/13B</t>
  </si>
  <si>
    <t>1210/14B</t>
  </si>
  <si>
    <t xml:space="preserve">Canilla plastica pared cromada 1 agua </t>
  </si>
  <si>
    <t xml:space="preserve">Canilla plastica mesada cromada 1 agua </t>
  </si>
  <si>
    <t>1350/23A</t>
  </si>
  <si>
    <t>1350/27A</t>
  </si>
  <si>
    <t>MEZCLADOR DUCHA PLASTICO</t>
  </si>
  <si>
    <t>MEZCLADOR PARA LAVATORIOPLASTICO</t>
  </si>
  <si>
    <t>4700/49</t>
  </si>
  <si>
    <t>1020/58</t>
  </si>
  <si>
    <t>1020/59</t>
  </si>
  <si>
    <t>Buje 1 1/4 x 3/4 Epoxi</t>
  </si>
  <si>
    <t>Buje 1 1/2 x 1 1/4 Epoxi</t>
  </si>
  <si>
    <t>1540/29</t>
  </si>
  <si>
    <t>1540/30</t>
  </si>
  <si>
    <t>Tanque Rotoplas FLAT 500 lts arena</t>
  </si>
  <si>
    <t>Tanque Rotoplas FLAT 1000 lts arena</t>
  </si>
  <si>
    <t>Conexión fuelle goma corto super</t>
  </si>
  <si>
    <t>Conexión fuelle goma largo super</t>
  </si>
  <si>
    <t>4690/22</t>
  </si>
  <si>
    <t>Cadena para flaper x bolsita 12 unidades</t>
  </si>
  <si>
    <t>Monocomando de mesada (9027)</t>
  </si>
  <si>
    <t>Monocomando mesada pico alto fino (8582)</t>
  </si>
  <si>
    <t>Monocomando mesada pico alto grueso (8583)</t>
  </si>
  <si>
    <t>Monocomando de mesada pico color (8363)</t>
  </si>
  <si>
    <t>Monocomando nueva color conica (8221)</t>
  </si>
  <si>
    <t>Griferia pared tipo italiana volante cruz (8579)</t>
  </si>
  <si>
    <t>Griferia mesada tipo Italiana volante cruz (8577)</t>
  </si>
  <si>
    <t>Monocomando de lavatorio alto 7 cm (9038)</t>
  </si>
  <si>
    <t>Monocomando de lavatorio alto 22 cm (9039)</t>
  </si>
  <si>
    <t>Monocomando cascada lavatorio redondo (9580)</t>
  </si>
  <si>
    <t>Pico flexible color (9376)</t>
  </si>
  <si>
    <t>LLUVIA CUADRADA 8 PULGADAS ACERO(8994)</t>
  </si>
  <si>
    <t>LLUVIA REDONDA 8 PULGADAS ACERO(8991)</t>
  </si>
  <si>
    <t>1310/03A</t>
  </si>
  <si>
    <t>Flotante plastico 1/2 y 3/4 dealer</t>
  </si>
  <si>
    <t>1350/25A</t>
  </si>
  <si>
    <t>MEZCLADOR PARA BIDET PLASTICO</t>
  </si>
  <si>
    <t>1300/04A</t>
  </si>
  <si>
    <t>1280/06</t>
  </si>
  <si>
    <t>Duchador completo modelo nuevo</t>
  </si>
  <si>
    <t>4710/29</t>
  </si>
  <si>
    <t>REPUESTOS VARIOS PARA GRIFERIA</t>
  </si>
  <si>
    <t>1490/30</t>
  </si>
  <si>
    <t>Arandelas partidas chicas</t>
  </si>
  <si>
    <t>Arandelas partidas grandes</t>
  </si>
  <si>
    <t>1490/31</t>
  </si>
  <si>
    <t>1490/32</t>
  </si>
  <si>
    <t>Conexión bidet con tuerca y goma 1/2</t>
  </si>
  <si>
    <t>Conexión bidet con tuerca y goma 3/8</t>
  </si>
  <si>
    <t>1490/33</t>
  </si>
  <si>
    <t>1490/34</t>
  </si>
  <si>
    <t>Tuerca 26 x 1,5 x 6 plastica</t>
  </si>
  <si>
    <t>Tuerca 28 x 1,5 x 6 plastica</t>
  </si>
  <si>
    <t>1490/35</t>
  </si>
  <si>
    <t>1490/36</t>
  </si>
  <si>
    <t>Tuerca 30 grande plastica</t>
  </si>
  <si>
    <t>1490/37</t>
  </si>
  <si>
    <t>1490/38</t>
  </si>
  <si>
    <t>1490/39</t>
  </si>
  <si>
    <t>Tuerca ramal 1/2 plastica</t>
  </si>
  <si>
    <t>Tuerca ramal 3/8 plastica</t>
  </si>
  <si>
    <t>Tuerca ramal 1/2 agujero 3/8 plastica</t>
  </si>
  <si>
    <t>1200/11</t>
  </si>
  <si>
    <t>Campana plastica tipo Hongo</t>
  </si>
  <si>
    <t>1490/40</t>
  </si>
  <si>
    <t>1490/41</t>
  </si>
  <si>
    <t>Tuerca plastica para griferia 1/2</t>
  </si>
  <si>
    <t>Tuerca plastica para griferia 3/4</t>
  </si>
  <si>
    <t>1350/50</t>
  </si>
  <si>
    <t>1350/51</t>
  </si>
  <si>
    <t>1600/30</t>
  </si>
  <si>
    <t>Tuerca partida p/termocupla (8 x 1, 9 x 1, 3/8)</t>
  </si>
  <si>
    <t>1310/20</t>
  </si>
  <si>
    <t>Filtro acero p/bacha cocina</t>
  </si>
  <si>
    <t>FILTROS DE ACERO PARA BACHAS</t>
  </si>
  <si>
    <t>1490/42</t>
  </si>
  <si>
    <t>1490/43</t>
  </si>
  <si>
    <t>1490/44</t>
  </si>
  <si>
    <t>Bajada lluvia hembra 1/2</t>
  </si>
  <si>
    <t>Bajada lluvia macho 1/2</t>
  </si>
  <si>
    <t>Bajada lluvia macho 3/4 x 1/2</t>
  </si>
  <si>
    <t>1350/38</t>
  </si>
  <si>
    <t>1170/06</t>
  </si>
  <si>
    <t>Lluvia c/brazo y roceta Mozart (2103)</t>
  </si>
  <si>
    <t>3063/1</t>
  </si>
  <si>
    <t>PRENSA BRONCE PARA 2071</t>
  </si>
  <si>
    <t>Conexión fuelle goma corto reforzado</t>
  </si>
  <si>
    <t>Conexión fuelle goma largo reforzado</t>
  </si>
  <si>
    <t>ESQUINEROS ORGANIZADORES PARA BAÑOS</t>
  </si>
  <si>
    <t>Esquinero chico 2 estantes</t>
  </si>
  <si>
    <t>Esquinero chico 3 estantes</t>
  </si>
  <si>
    <t>Esquinero grande 2 estantes</t>
  </si>
  <si>
    <t>1290/20</t>
  </si>
  <si>
    <t>1290/21</t>
  </si>
  <si>
    <t>1290/22</t>
  </si>
  <si>
    <t>JUEGOS DE GRIFERIA NACIONAL 100% BRONCE  SUDAMERICANA</t>
  </si>
  <si>
    <t>Monocomando Praga pico bar acero 304 (7198)</t>
  </si>
  <si>
    <t>1540/37</t>
  </si>
  <si>
    <t>Tapa tanque Rotoplas con aro</t>
  </si>
  <si>
    <t>1170/07</t>
  </si>
  <si>
    <t>Lluvia tubo reondo c/brazo Mozart (2112)</t>
  </si>
  <si>
    <t>1280/07</t>
  </si>
  <si>
    <t>Duchador bidet c/gatillo</t>
  </si>
  <si>
    <t>Repuesto asiento FAPLAS</t>
  </si>
  <si>
    <t>Lllave paso esferica 1/2 reforzada</t>
  </si>
  <si>
    <t>Lllave paso esferica 3/4 reforzada</t>
  </si>
  <si>
    <t>Lllave paso esferica 1 reforzada</t>
  </si>
  <si>
    <t>Lllave paso esferica 1 1/4 reforzada</t>
  </si>
  <si>
    <t>Lllave paso esferica 1 1/2 reforzada</t>
  </si>
  <si>
    <t>Lllave paso esferica 2 reforzada</t>
  </si>
  <si>
    <t>1140/70</t>
  </si>
  <si>
    <t xml:space="preserve">Conexión exten. largo mochila 2 tuercas </t>
  </si>
  <si>
    <t>1640/05A</t>
  </si>
  <si>
    <t>Union manga 3/4 plastica</t>
  </si>
  <si>
    <t xml:space="preserve">ARANDELAS PLASTICAS        </t>
  </si>
  <si>
    <t>1350/39</t>
  </si>
  <si>
    <t>Monocomando de bidet MOZART Madrid (2144)</t>
  </si>
  <si>
    <t>Monocomando de bidet c/trasf  MOZART Vitra (9409)</t>
  </si>
  <si>
    <t>1030/112</t>
  </si>
  <si>
    <t>1030/113</t>
  </si>
  <si>
    <t>Codo HH 1/2 45 polipropileno</t>
  </si>
  <si>
    <t>Codo HH 3/4 45 polipropileno</t>
  </si>
  <si>
    <t xml:space="preserve">Union doble c/inserto metalico hembra 1/2 x 20 mm </t>
  </si>
  <si>
    <t xml:space="preserve">Union doble c/inserto metalico hembra 3/4 x 25 mm </t>
  </si>
  <si>
    <t xml:space="preserve">Union doble c/inserto metalico hembra 1 x 32 mm </t>
  </si>
  <si>
    <t>4710/30</t>
  </si>
  <si>
    <t>1210/15</t>
  </si>
  <si>
    <t>1140/71</t>
  </si>
  <si>
    <t>1370/30</t>
  </si>
  <si>
    <t>Mochila colgar loza PRIMA</t>
  </si>
  <si>
    <t>1370/50</t>
  </si>
  <si>
    <t>1370/51</t>
  </si>
  <si>
    <t>1370/52</t>
  </si>
  <si>
    <t>1370/53</t>
  </si>
  <si>
    <t>1370/54</t>
  </si>
  <si>
    <t>1370/55</t>
  </si>
  <si>
    <t>1370/56</t>
  </si>
  <si>
    <t>Mochila colgar CAPEA</t>
  </si>
  <si>
    <t>Mochila apoyo CAPEA</t>
  </si>
  <si>
    <t>1370/57</t>
  </si>
  <si>
    <t>Pileta lavatorio chica 1 o 3 agujeros CAPEA</t>
  </si>
  <si>
    <t>Pileta lavatorio grande 1 o 3 agujeros CAPEA</t>
  </si>
  <si>
    <t>BASE TANQUE PLASTICA</t>
  </si>
  <si>
    <t>1140/52</t>
  </si>
  <si>
    <t>1140/53</t>
  </si>
  <si>
    <t>Base tanque Plastica chica</t>
  </si>
  <si>
    <t>Base tanque Plastica grande</t>
  </si>
  <si>
    <t>TERMOTANQUES SEÑORIAL</t>
  </si>
  <si>
    <t>1580/50</t>
  </si>
  <si>
    <t>Termotanque electrico 40 lts Señorial</t>
  </si>
  <si>
    <t>Termotanque electrico 65 lts Señorial</t>
  </si>
  <si>
    <t>Termotanque electrico 95 lts Señorial</t>
  </si>
  <si>
    <t>1580/51</t>
  </si>
  <si>
    <t>1580/52</t>
  </si>
  <si>
    <t>1580/53</t>
  </si>
  <si>
    <t>1580/54</t>
  </si>
  <si>
    <t>Termotanque multigas 85 lts Señorial</t>
  </si>
  <si>
    <t>Termotanque multigas 120 lts Señorial</t>
  </si>
  <si>
    <t>ARO TRANSICION GOMA</t>
  </si>
  <si>
    <t>1110/10</t>
  </si>
  <si>
    <t>Aro junta trans. Caño fundicion a plastico</t>
  </si>
  <si>
    <t>4700/85</t>
  </si>
  <si>
    <t>Valvula entrada economica completa tipo americana</t>
  </si>
  <si>
    <t>1370/60</t>
  </si>
  <si>
    <t>1470/05</t>
  </si>
  <si>
    <t>Ramal plastico verde c/oring 38</t>
  </si>
  <si>
    <t>1210/16</t>
  </si>
  <si>
    <t>Canilla simple para lavarropa</t>
  </si>
  <si>
    <t>1170/08</t>
  </si>
  <si>
    <t>Lluvia c/brazo y roceta cuadrada Mozart (2225)</t>
  </si>
  <si>
    <t>1560/14</t>
  </si>
  <si>
    <t>Tapa PALANQUITA completa blanca</t>
  </si>
  <si>
    <t>1350/52</t>
  </si>
  <si>
    <t>1350/53</t>
  </si>
  <si>
    <t>1350/54</t>
  </si>
  <si>
    <t>1420/27</t>
  </si>
  <si>
    <t>Obturador EGEO OBTUCONO</t>
  </si>
  <si>
    <t>1280/08</t>
  </si>
  <si>
    <t>Soporte plastico movil para duchador</t>
  </si>
  <si>
    <t>1280/09</t>
  </si>
  <si>
    <t xml:space="preserve">Tee de derivacion bronce cromada para duchador </t>
  </si>
  <si>
    <t>1800/01</t>
  </si>
  <si>
    <t>TAPA UNIVERSAL PARA BACHA</t>
  </si>
  <si>
    <t>1560/15</t>
  </si>
  <si>
    <t>Tapa para sopapa universal PVC</t>
  </si>
  <si>
    <t>1120/04</t>
  </si>
  <si>
    <t>Asiento inodoro madera color</t>
  </si>
  <si>
    <t>1580/55</t>
  </si>
  <si>
    <t>Termotanque multigas 160 lts Señorial</t>
  </si>
  <si>
    <t>1580/56</t>
  </si>
  <si>
    <t>1580/57</t>
  </si>
  <si>
    <t>Termotanque alta recuperacion multigas30lts Señorial</t>
  </si>
  <si>
    <t>Termotanque alta recuperacion multigas 50ltsSeñorial</t>
  </si>
  <si>
    <t>1020/103</t>
  </si>
  <si>
    <t>1020/104</t>
  </si>
  <si>
    <t>1020/105</t>
  </si>
  <si>
    <t>1020/106</t>
  </si>
  <si>
    <t>1020/107</t>
  </si>
  <si>
    <t>1020/108</t>
  </si>
  <si>
    <t>1020/109</t>
  </si>
  <si>
    <t>1020/110</t>
  </si>
  <si>
    <t>1020/111</t>
  </si>
  <si>
    <t>1020/112</t>
  </si>
  <si>
    <t>1020/113</t>
  </si>
  <si>
    <t>1020/114</t>
  </si>
  <si>
    <t>1020/115</t>
  </si>
  <si>
    <t>1020/116</t>
  </si>
  <si>
    <t>1020/117</t>
  </si>
  <si>
    <t>1020/118</t>
  </si>
  <si>
    <t>1020/119</t>
  </si>
  <si>
    <t>1020/120</t>
  </si>
  <si>
    <t>1020/121</t>
  </si>
  <si>
    <t>1020/122</t>
  </si>
  <si>
    <t>1020/123</t>
  </si>
  <si>
    <t>1020/124</t>
  </si>
  <si>
    <t>1020/125</t>
  </si>
  <si>
    <t>1020/126</t>
  </si>
  <si>
    <t>1020/127</t>
  </si>
  <si>
    <t>1020/128</t>
  </si>
  <si>
    <t>1020/129</t>
  </si>
  <si>
    <t>1020/130</t>
  </si>
  <si>
    <t>1020/131</t>
  </si>
  <si>
    <t>1020/132</t>
  </si>
  <si>
    <t>1020/133</t>
  </si>
  <si>
    <t>1020/134</t>
  </si>
  <si>
    <t>1020/135</t>
  </si>
  <si>
    <t>1020/136</t>
  </si>
  <si>
    <t>1020/137</t>
  </si>
  <si>
    <t>1020/138</t>
  </si>
  <si>
    <t>1020/139</t>
  </si>
  <si>
    <t>1020/140</t>
  </si>
  <si>
    <t>1020/141</t>
  </si>
  <si>
    <t>1020/142</t>
  </si>
  <si>
    <t>1020/143</t>
  </si>
  <si>
    <t>1020/144</t>
  </si>
  <si>
    <t>1020/145</t>
  </si>
  <si>
    <t>1020/146</t>
  </si>
  <si>
    <t>1020/147</t>
  </si>
  <si>
    <t>1020/148</t>
  </si>
  <si>
    <t>1020/149</t>
  </si>
  <si>
    <t>1020/150</t>
  </si>
  <si>
    <t>1020/151</t>
  </si>
  <si>
    <t>1020/152</t>
  </si>
  <si>
    <t>1020/153</t>
  </si>
  <si>
    <t>1020/154</t>
  </si>
  <si>
    <t>1020/155</t>
  </si>
  <si>
    <t>1020/156</t>
  </si>
  <si>
    <t>1020/157</t>
  </si>
  <si>
    <t>1020/158</t>
  </si>
  <si>
    <t>1120/05</t>
  </si>
  <si>
    <t>1120/06</t>
  </si>
  <si>
    <t>1120/07</t>
  </si>
  <si>
    <t>Asiento plastico Daccord Reforzado color</t>
  </si>
  <si>
    <t>1120/08</t>
  </si>
  <si>
    <t>1120/09</t>
  </si>
  <si>
    <t>1120/10</t>
  </si>
  <si>
    <t>1120/11</t>
  </si>
  <si>
    <t>Asiento Daccor resina UF Florencia</t>
  </si>
  <si>
    <t>Asiento Daccor resina UF Pilar</t>
  </si>
  <si>
    <t>Asiento Daccor resina UF Tauro</t>
  </si>
  <si>
    <t>1350/40</t>
  </si>
  <si>
    <t>1350/41</t>
  </si>
  <si>
    <t>Monocomando ducha c/transf. Mozart Madrid (2020)</t>
  </si>
  <si>
    <t>Monocomando lavatorio Mozart Madrid (9035)</t>
  </si>
  <si>
    <t>1070/09</t>
  </si>
  <si>
    <t>1070/10</t>
  </si>
  <si>
    <t>Acople rapido 1/2 largo duke</t>
  </si>
  <si>
    <t>Acople rapido 3/4 largo duke</t>
  </si>
  <si>
    <t>Portarollo de bronce cromado DACCORD ETNA</t>
  </si>
  <si>
    <t>Portavaso de bronce cromado DACCORD ETNA</t>
  </si>
  <si>
    <t>1540/40</t>
  </si>
  <si>
    <t>Sopapa quick clack 1 1/4 DACCORD</t>
  </si>
  <si>
    <t>1120/12</t>
  </si>
  <si>
    <t>Asiento rectangular plastico Daccord blanco</t>
  </si>
  <si>
    <t>PICOS/INYECTORES PARA COCINA</t>
  </si>
  <si>
    <t>1430/20</t>
  </si>
  <si>
    <t>1430/21</t>
  </si>
  <si>
    <t>1430/22</t>
  </si>
  <si>
    <t>Pico/inyector Ariston</t>
  </si>
  <si>
    <t>Pico/inyector Standard 7 mm</t>
  </si>
  <si>
    <t>Pico/inyector Volcan</t>
  </si>
  <si>
    <t>Chaveta para flotante alta presion</t>
  </si>
  <si>
    <t>1210/17</t>
  </si>
  <si>
    <t>Canilla doble lavarropa esferica</t>
  </si>
  <si>
    <t>1430/23</t>
  </si>
  <si>
    <t>1430/24</t>
  </si>
  <si>
    <t>1430/25</t>
  </si>
  <si>
    <t>Pico/inyector Domec</t>
  </si>
  <si>
    <t>Pico/inyector Orbis Chato</t>
  </si>
  <si>
    <t>Pico/inyector Arthur rosca fina</t>
  </si>
  <si>
    <t>1540/15</t>
  </si>
  <si>
    <t>Receptaculo recto bañera 8 x 8</t>
  </si>
  <si>
    <t>1370/61</t>
  </si>
  <si>
    <t>4710/31</t>
  </si>
  <si>
    <t>4710/32</t>
  </si>
  <si>
    <t>4710/33</t>
  </si>
  <si>
    <t>4710/34</t>
  </si>
  <si>
    <t>1050/171</t>
  </si>
  <si>
    <t>Codo reduccion 32 x 25</t>
  </si>
  <si>
    <t>Regulador domiciliario 6mts 4bar c/flex</t>
  </si>
  <si>
    <t>Caño 110 x 4 mts</t>
  </si>
  <si>
    <t>1430/26</t>
  </si>
  <si>
    <t>1430/27</t>
  </si>
  <si>
    <t>1430/28</t>
  </si>
  <si>
    <t>1430/29</t>
  </si>
  <si>
    <t>Pico/inyector Coventry grueso corto</t>
  </si>
  <si>
    <t>Pico/inyector Escorial largo</t>
  </si>
  <si>
    <t>Pico/inyector para calentador</t>
  </si>
  <si>
    <t>Pico/inyector para farol 0,17 mm</t>
  </si>
  <si>
    <t>ESTUFAS ELECTRICAS</t>
  </si>
  <si>
    <t>1290/06</t>
  </si>
  <si>
    <t>Estufa electrica chapa</t>
  </si>
  <si>
    <t>PRODUCTOS LOSUNG</t>
  </si>
  <si>
    <t>1460/47</t>
  </si>
  <si>
    <t>1460/48</t>
  </si>
  <si>
    <t>1460/49</t>
  </si>
  <si>
    <t>Sella rosca Losung HD 50 cc</t>
  </si>
  <si>
    <t>Sella rosca Losung HD 25 cc</t>
  </si>
  <si>
    <t>Sella rosca Losung HD 125 cc</t>
  </si>
  <si>
    <t>1420/28</t>
  </si>
  <si>
    <t>Obturador EGEO Universal</t>
  </si>
  <si>
    <t>1370/02</t>
  </si>
  <si>
    <t>1020/60</t>
  </si>
  <si>
    <t>Codo HH 1 1/4 Epoxi</t>
  </si>
  <si>
    <t>1020/61</t>
  </si>
  <si>
    <t>Cuplas 1 1/4 Epoxi</t>
  </si>
  <si>
    <t>1020/62</t>
  </si>
  <si>
    <t>Tee 1 1/4  Epoxi</t>
  </si>
  <si>
    <t>Codo MH 1 1/4  Epoxi</t>
  </si>
  <si>
    <t>1020/63</t>
  </si>
  <si>
    <t>Union doble conica 1 1/4 Epoxi</t>
  </si>
  <si>
    <t>1020/64</t>
  </si>
  <si>
    <t>Tapon macho 1 1/4 Epoxi</t>
  </si>
  <si>
    <t>1020/65</t>
  </si>
  <si>
    <t>Tapa hembra 1 1/4 Epoxi</t>
  </si>
  <si>
    <t>1020/66</t>
  </si>
  <si>
    <t>1350/42</t>
  </si>
  <si>
    <t>Monocomando cocina Gourmet (7186)</t>
  </si>
  <si>
    <t>1460/50</t>
  </si>
  <si>
    <t>Sella Gas Losung 50 cc</t>
  </si>
  <si>
    <t>1460/51</t>
  </si>
  <si>
    <t>Lubricante p/caño Losung 400 cc</t>
  </si>
  <si>
    <t>1460/52</t>
  </si>
  <si>
    <t>1460/53</t>
  </si>
  <si>
    <t>Lubricante p/caño Losung 240 cc</t>
  </si>
  <si>
    <t>Lubricante multiuso Losung 237 cc</t>
  </si>
  <si>
    <t>Lubricante multiuso Losung 400 cc</t>
  </si>
  <si>
    <t>1460/54</t>
  </si>
  <si>
    <t xml:space="preserve">Caño 63 x 4 mts </t>
  </si>
  <si>
    <t>1460/55</t>
  </si>
  <si>
    <t>1460/56</t>
  </si>
  <si>
    <t>Esmalte epoxi lata 250 cc</t>
  </si>
  <si>
    <t>Esmalte epoxi lata 500 cc</t>
  </si>
  <si>
    <t>1370/62</t>
  </si>
  <si>
    <t>LOZA SANITARIA ALBERTI</t>
  </si>
  <si>
    <t>Imodoro corto Alberti</t>
  </si>
  <si>
    <t>Mochila colgar Alberti</t>
  </si>
  <si>
    <t>Caño polietileno 1/2 (rollo) K4</t>
  </si>
  <si>
    <t>Caño polietileno 3/4 (rollo) K4</t>
  </si>
  <si>
    <t>Caño polietileno 1 (rollo) K4</t>
  </si>
  <si>
    <t>Caño polietileno 1 1/4 (rollo) K4</t>
  </si>
  <si>
    <t>Caño polietileno 1 1/2(rollo) K4</t>
  </si>
  <si>
    <t>Caño polietileno 2 (rollo) K4</t>
  </si>
  <si>
    <t>1030/20B</t>
  </si>
  <si>
    <t>JUEGOS DE GRIFERIA Y MONOCOMANDO MOZART</t>
  </si>
  <si>
    <t>1350/43</t>
  </si>
  <si>
    <t>1350/44</t>
  </si>
  <si>
    <t>Canilla Pressmatic Lavatorio (9036)</t>
  </si>
  <si>
    <t>Canilla Pressmatic Migitorio (7596)</t>
  </si>
  <si>
    <t>ACCESORIOS PVC SOLDABLE</t>
  </si>
  <si>
    <t>1050/300</t>
  </si>
  <si>
    <t>Manguito soldable RM 40 x 1 1/4</t>
  </si>
  <si>
    <t>1050/301</t>
  </si>
  <si>
    <t>Manguito soldable RM 40 x 1 1/2</t>
  </si>
  <si>
    <t>Manguito soldable RM 50 x 1 1/2</t>
  </si>
  <si>
    <t>Manguito soldable RM 50 x 2</t>
  </si>
  <si>
    <t>Manguito soldable RM 63 x 2</t>
  </si>
  <si>
    <t>Manguito soldable RM 63 x 2 1/2</t>
  </si>
  <si>
    <t>1050/302</t>
  </si>
  <si>
    <t>1050/303</t>
  </si>
  <si>
    <t>1050/304</t>
  </si>
  <si>
    <t>1050/305</t>
  </si>
  <si>
    <t>Codo soldable 45° 40</t>
  </si>
  <si>
    <t>Codo soldable 45° 50</t>
  </si>
  <si>
    <t>Codo soldable 90° 40</t>
  </si>
  <si>
    <t>Codo soldable 90° 50</t>
  </si>
  <si>
    <t>Curva soldable 90° 40</t>
  </si>
  <si>
    <t>Curva soldable 90° 50</t>
  </si>
  <si>
    <t>Tee soldable 40</t>
  </si>
  <si>
    <t>Tee soldable 50</t>
  </si>
  <si>
    <t>Cupla soldable 40</t>
  </si>
  <si>
    <t>Cupla soldable 50</t>
  </si>
  <si>
    <t>Union doble soldable 40</t>
  </si>
  <si>
    <t>Union doble soldable 50</t>
  </si>
  <si>
    <t>Manguito soldable RH 40 x 1 1/4</t>
  </si>
  <si>
    <t>Manguito soldable RH 50 x 1 1/2</t>
  </si>
  <si>
    <t>1050/306</t>
  </si>
  <si>
    <t>1050/307</t>
  </si>
  <si>
    <t>1050/308</t>
  </si>
  <si>
    <t>1050/309</t>
  </si>
  <si>
    <t>1050/310</t>
  </si>
  <si>
    <t>1050/311</t>
  </si>
  <si>
    <t>1050/312</t>
  </si>
  <si>
    <t>1050/313</t>
  </si>
  <si>
    <t>1050/314</t>
  </si>
  <si>
    <t>1050/315</t>
  </si>
  <si>
    <t>1050/316</t>
  </si>
  <si>
    <t>1050/317</t>
  </si>
  <si>
    <t>1050/318</t>
  </si>
  <si>
    <t>1050/319</t>
  </si>
  <si>
    <t>Sopapa plastica 40 con rosca 1 1/4</t>
  </si>
  <si>
    <t>Sopapa plastica 50 con rosca 1 1/2</t>
  </si>
  <si>
    <t>1460/57</t>
  </si>
  <si>
    <t>Sellador DUO Losung 25 cc</t>
  </si>
  <si>
    <t>1460/58</t>
  </si>
  <si>
    <t>Adhesivo PVC Prof. Losung 250 cc c/pincel</t>
  </si>
  <si>
    <t>1460/59</t>
  </si>
  <si>
    <t>Adhesivo PVC XT Riego Losung 250 cc c/pincel</t>
  </si>
  <si>
    <t>1120/13</t>
  </si>
  <si>
    <t>1370/63</t>
  </si>
  <si>
    <t>1370/64</t>
  </si>
  <si>
    <t>Columna Alberti</t>
  </si>
  <si>
    <t>1370/65</t>
  </si>
  <si>
    <t>Lavatorio 3 agujeros Alberti</t>
  </si>
  <si>
    <t>Lavatorio 1 agujero Alberti</t>
  </si>
  <si>
    <t>1140/72</t>
  </si>
  <si>
    <t xml:space="preserve">Bomba presurizadora Flu1 </t>
  </si>
  <si>
    <t>Bomba presurizadora Flu2</t>
  </si>
  <si>
    <t>1140/73</t>
  </si>
  <si>
    <t>1140/74</t>
  </si>
  <si>
    <t>1140/75</t>
  </si>
  <si>
    <t>1140/76</t>
  </si>
  <si>
    <t>1360/52</t>
  </si>
  <si>
    <t>1360/53</t>
  </si>
  <si>
    <t>1360/54</t>
  </si>
  <si>
    <t>Llave paso p/pegar 50 DUKE</t>
  </si>
  <si>
    <t>Llave paso p/pegar 40 DUKE</t>
  </si>
  <si>
    <t>Llave paso p/pegar 63 DUKE</t>
  </si>
  <si>
    <t>ACCESORIOS REDECO TERMOFUSION</t>
  </si>
  <si>
    <t>1700/01</t>
  </si>
  <si>
    <t>Caño 20 mm Redeco PN20</t>
  </si>
  <si>
    <t>Caño 25 mm Redeco PN20</t>
  </si>
  <si>
    <t>Caño 32 mm Redeco PN20</t>
  </si>
  <si>
    <t>Caño 40 mm Redeco PN20</t>
  </si>
  <si>
    <t>Caño 50 mm Redeco PN20</t>
  </si>
  <si>
    <t>Caño 63 mm Redeco PN20</t>
  </si>
  <si>
    <t>Caño 75 mm Redeco PN20</t>
  </si>
  <si>
    <t>1700/02</t>
  </si>
  <si>
    <t>1700/03</t>
  </si>
  <si>
    <t>1700/04</t>
  </si>
  <si>
    <t>1700/05</t>
  </si>
  <si>
    <t>1700/06</t>
  </si>
  <si>
    <t>1700/07</t>
  </si>
  <si>
    <t>1700/08</t>
  </si>
  <si>
    <t>Cupla 20 mm Redeco</t>
  </si>
  <si>
    <t>1700/09</t>
  </si>
  <si>
    <t>1700/10</t>
  </si>
  <si>
    <t>1700/11</t>
  </si>
  <si>
    <t>1700/12</t>
  </si>
  <si>
    <t>1700/13</t>
  </si>
  <si>
    <t>1700/14</t>
  </si>
  <si>
    <t>Cupla 25 mm Redeco</t>
  </si>
  <si>
    <t>Cupla 32 mm Redeco</t>
  </si>
  <si>
    <t>Cupla 40 mm Redeco</t>
  </si>
  <si>
    <t>Cupla 50 mm Redeco</t>
  </si>
  <si>
    <t>Cupla 63 mm Redeco</t>
  </si>
  <si>
    <t>Cupla 75 mm Redeco</t>
  </si>
  <si>
    <t>1700/15</t>
  </si>
  <si>
    <t>Codo 20 mm Redeco</t>
  </si>
  <si>
    <t>1700/16</t>
  </si>
  <si>
    <t>1700/17</t>
  </si>
  <si>
    <t>1700/18</t>
  </si>
  <si>
    <t>1700/19</t>
  </si>
  <si>
    <t>1700/20</t>
  </si>
  <si>
    <t>1700/21</t>
  </si>
  <si>
    <t>Codo 25 mm Redeco</t>
  </si>
  <si>
    <t>Codo 32 mm Redeco</t>
  </si>
  <si>
    <t>Codo 40 mm Redeco</t>
  </si>
  <si>
    <t>Codo 50 mm Redeco</t>
  </si>
  <si>
    <t>Codo 63 mm Redeco</t>
  </si>
  <si>
    <t>Codo 75 mm Redeco</t>
  </si>
  <si>
    <t>1700/22</t>
  </si>
  <si>
    <t>Tee 20 mm Redeco</t>
  </si>
  <si>
    <t>1700/23</t>
  </si>
  <si>
    <t>1700/24</t>
  </si>
  <si>
    <t>1700/25</t>
  </si>
  <si>
    <t>1700/26</t>
  </si>
  <si>
    <t>1700/27</t>
  </si>
  <si>
    <t>1700/28</t>
  </si>
  <si>
    <t>Tee 25 mm Redeco</t>
  </si>
  <si>
    <t>Tee 32 mm Redeco</t>
  </si>
  <si>
    <t>Tee 40 mm Redeco</t>
  </si>
  <si>
    <t>Tee 50 mm Redeco</t>
  </si>
  <si>
    <t>Tee 63 mm Redeco</t>
  </si>
  <si>
    <t>Tee 75 mm Redeco</t>
  </si>
  <si>
    <t>1700/29</t>
  </si>
  <si>
    <t>Tee reducc. Central 25 x 20 mm Redeco</t>
  </si>
  <si>
    <t>1700/30</t>
  </si>
  <si>
    <t>1700/31</t>
  </si>
  <si>
    <t>1700/32</t>
  </si>
  <si>
    <t>1700/33</t>
  </si>
  <si>
    <t>1700/34</t>
  </si>
  <si>
    <t>1700/35</t>
  </si>
  <si>
    <t>1700/36</t>
  </si>
  <si>
    <t>1700/37</t>
  </si>
  <si>
    <t>Tee reducc. Central 32 x 20 mm Redeco</t>
  </si>
  <si>
    <t>Tee reducc. Central 32 x 25 mm Redeco</t>
  </si>
  <si>
    <t>Tee reducc. Central 40 x 25 mm Redeco</t>
  </si>
  <si>
    <t>Tee reducc. Central 40 x 32 mm Redeco</t>
  </si>
  <si>
    <t>Tee reducc. Central 50 x 32 mm Redeco</t>
  </si>
  <si>
    <t>Tee reducc. Central 50 x 40 mm Redeco</t>
  </si>
  <si>
    <t>Tee reducc. Central 63 x 40 mm Redeco</t>
  </si>
  <si>
    <t>Tee reducc. Central 63 x 50 mm Redeco</t>
  </si>
  <si>
    <t>1700/38</t>
  </si>
  <si>
    <t>Cupla reducc. 25 x 20 mm Redeco</t>
  </si>
  <si>
    <t>1700/39</t>
  </si>
  <si>
    <t>1700/40</t>
  </si>
  <si>
    <t>1700/41</t>
  </si>
  <si>
    <t>1700/42</t>
  </si>
  <si>
    <t>1700/43</t>
  </si>
  <si>
    <t>1700/44</t>
  </si>
  <si>
    <t>1700/45</t>
  </si>
  <si>
    <t>1700/46</t>
  </si>
  <si>
    <t>Cupla reducc. 32 x 20 mm Redeco</t>
  </si>
  <si>
    <t>Cupla reducc. 32 x 25 mm Redeco</t>
  </si>
  <si>
    <t>Cupla reducc. 40 x 25 mm Redeco</t>
  </si>
  <si>
    <t>Cupla reducc. 40 x 32 mm Redeco</t>
  </si>
  <si>
    <t>Cupla reducc. 50 x 32 mm Redeco</t>
  </si>
  <si>
    <t>Cupla reducc. 50 x 40 mm Redeco</t>
  </si>
  <si>
    <t>Cupla reducc. 63 x 40 mm Redeco</t>
  </si>
  <si>
    <t>Cupla reducc. 63 x 50 mm Redeco</t>
  </si>
  <si>
    <t>1700/47</t>
  </si>
  <si>
    <t>Buje reducc. 25 x 20 mm Redeco</t>
  </si>
  <si>
    <t>1700/48</t>
  </si>
  <si>
    <t>1700/49</t>
  </si>
  <si>
    <t>1700/50</t>
  </si>
  <si>
    <t>1700/51</t>
  </si>
  <si>
    <t>1700/52</t>
  </si>
  <si>
    <t>1700/53</t>
  </si>
  <si>
    <t>1700/54</t>
  </si>
  <si>
    <t>1700/55</t>
  </si>
  <si>
    <t>1700/56</t>
  </si>
  <si>
    <t>Buje reducc. 32 x 20 mm Redeco</t>
  </si>
  <si>
    <t>Buje reducc. 32 x 25 mm Redeco</t>
  </si>
  <si>
    <t>Buje reducc. 40 x 25 mm Redeco</t>
  </si>
  <si>
    <t>Buje reducc. 40 x 32 mm Redeco</t>
  </si>
  <si>
    <t>Buje reducc. 50 x 32 mm Redeco</t>
  </si>
  <si>
    <t>Buje reducc. 50 x 40 mm Redeco</t>
  </si>
  <si>
    <t>Buje reducc. 63 x 40 mm Redeco</t>
  </si>
  <si>
    <t>Buje reducc. 63 x 50 mm Redeco</t>
  </si>
  <si>
    <t>Buje reducc. 75 x 63 mm Redeco</t>
  </si>
  <si>
    <t>1700/57</t>
  </si>
  <si>
    <t>Tapa 20 mm Redeco</t>
  </si>
  <si>
    <t>1700/58</t>
  </si>
  <si>
    <t>1700/59</t>
  </si>
  <si>
    <t>1700/60</t>
  </si>
  <si>
    <t>1700/61</t>
  </si>
  <si>
    <t>1700/62</t>
  </si>
  <si>
    <t>1700/63</t>
  </si>
  <si>
    <t>Tapa 25 mm Redeco</t>
  </si>
  <si>
    <t>Tapa 32 mm Redeco</t>
  </si>
  <si>
    <t>Tapa 40 mm Redeco</t>
  </si>
  <si>
    <t>Tapa 50 mm Redeco</t>
  </si>
  <si>
    <t>Tapa 63 mm Redeco</t>
  </si>
  <si>
    <t>Tapa 75 mm Redeco</t>
  </si>
  <si>
    <t>1700/64</t>
  </si>
  <si>
    <t>Sobrepaso largo 20 mm Redeco</t>
  </si>
  <si>
    <t>Sobrepaso largo 25 mm Redeco</t>
  </si>
  <si>
    <t>Sobrepaso largo 32 mm Redeco</t>
  </si>
  <si>
    <t>1700/65</t>
  </si>
  <si>
    <t>1700/66</t>
  </si>
  <si>
    <t>1700/67</t>
  </si>
  <si>
    <t>Sobrepaso corto 20 mm Redeco</t>
  </si>
  <si>
    <t>Sobrepaso corto 25 mm Redeco</t>
  </si>
  <si>
    <t>1700/68</t>
  </si>
  <si>
    <t>1700/69</t>
  </si>
  <si>
    <t>Curva 90° 20 mm Redeco</t>
  </si>
  <si>
    <t>Curva 90° 25 mm Redeco</t>
  </si>
  <si>
    <t>Curva 90° 32 mm Redeco</t>
  </si>
  <si>
    <t>1700/70</t>
  </si>
  <si>
    <t>1700/71</t>
  </si>
  <si>
    <t>1700/72</t>
  </si>
  <si>
    <t>1700/73</t>
  </si>
  <si>
    <t>1700/74</t>
  </si>
  <si>
    <t>Codo 45° 20 mm Redeco</t>
  </si>
  <si>
    <t>Codo 45° 25 mm Redeco</t>
  </si>
  <si>
    <t>Codo 45° 32 mm Redeco</t>
  </si>
  <si>
    <t>1700/75</t>
  </si>
  <si>
    <t>Union doble 20 mm Redeco</t>
  </si>
  <si>
    <t>Union doble 25 mm Redeco</t>
  </si>
  <si>
    <t>Union doble 32 mm Redeco</t>
  </si>
  <si>
    <t>1700/76</t>
  </si>
  <si>
    <t>1700/77</t>
  </si>
  <si>
    <t>1700/78</t>
  </si>
  <si>
    <t>Union doble con brida 40 Redeco</t>
  </si>
  <si>
    <t>Union doble con brida 50 Redeco</t>
  </si>
  <si>
    <t>Union doble con brida 63 Redeco</t>
  </si>
  <si>
    <t>Union doble con brida 75 Redeco</t>
  </si>
  <si>
    <t>1700/79</t>
  </si>
  <si>
    <t>1700/80</t>
  </si>
  <si>
    <t>1700/81</t>
  </si>
  <si>
    <t>ACCESORIOS REDECO TERMOFUSION CON INSERTO METALICO</t>
  </si>
  <si>
    <t>1700/82</t>
  </si>
  <si>
    <t>Codo 90° RH 20 x 1/2 Redeco</t>
  </si>
  <si>
    <t>Codo 90° RH 25 x 1/2 Redeco</t>
  </si>
  <si>
    <t>Codo 90° RH 25 x 3/4 Redeco</t>
  </si>
  <si>
    <t>Codo 90° RH 32 x 3/4 Redeco</t>
  </si>
  <si>
    <t>Codo 90° RH 32 x 1 Redeco</t>
  </si>
  <si>
    <t>1700/83</t>
  </si>
  <si>
    <t>1700/84</t>
  </si>
  <si>
    <t>1700/85</t>
  </si>
  <si>
    <t>1700/86</t>
  </si>
  <si>
    <t>1700/87</t>
  </si>
  <si>
    <t>Codo 90° RM 20 x 1/2 Redeco</t>
  </si>
  <si>
    <t>1700/88</t>
  </si>
  <si>
    <t>1700/89</t>
  </si>
  <si>
    <t>1700/90</t>
  </si>
  <si>
    <t>1700/91</t>
  </si>
  <si>
    <t>Codo 90° RM 25 x 1/2 Redeco</t>
  </si>
  <si>
    <t>Codo 90° RM 25 x 3/4 Redeco</t>
  </si>
  <si>
    <t>Codo 90° RM 32 x 3/4 Redeco</t>
  </si>
  <si>
    <t>Codo 90° RM 32 x 1 Redeco</t>
  </si>
  <si>
    <t>1700/92</t>
  </si>
  <si>
    <t>Cupla RH 20 x 3/8 Redeco</t>
  </si>
  <si>
    <t>1700/93</t>
  </si>
  <si>
    <t>1700/94</t>
  </si>
  <si>
    <t>1700/95</t>
  </si>
  <si>
    <t>1700/96</t>
  </si>
  <si>
    <t>1700/97</t>
  </si>
  <si>
    <t>1700/98</t>
  </si>
  <si>
    <t>1700/99</t>
  </si>
  <si>
    <t>1700/100</t>
  </si>
  <si>
    <t>1700/101</t>
  </si>
  <si>
    <t>1700/102</t>
  </si>
  <si>
    <t>Cupla RH 20 x 1/2 Redeco</t>
  </si>
  <si>
    <t>Cupla RH 20 x 3/4 Redeco</t>
  </si>
  <si>
    <t>Cupla RH 25 x 1/2 Redeco</t>
  </si>
  <si>
    <t>Cupla RH 25 x 3/4 Redeco</t>
  </si>
  <si>
    <t>Cupla RH 32 x 3/4 Redeco</t>
  </si>
  <si>
    <t>Cupla RH 32 x 1 Redeco</t>
  </si>
  <si>
    <t>Cupla RH 40 x 1 1/4 Redeco</t>
  </si>
  <si>
    <t>Cupla RH 63 x 2 Redeco</t>
  </si>
  <si>
    <t>Cupla RH 75 x 2 1/2 Redeco</t>
  </si>
  <si>
    <t>1700/103</t>
  </si>
  <si>
    <t>Tubo RM 20 x 1/2 Redeco</t>
  </si>
  <si>
    <t>1700/104</t>
  </si>
  <si>
    <t>1700/105</t>
  </si>
  <si>
    <t>1700/106</t>
  </si>
  <si>
    <t>1700/107</t>
  </si>
  <si>
    <t>1700/108</t>
  </si>
  <si>
    <t>1700/109</t>
  </si>
  <si>
    <t>1700/110</t>
  </si>
  <si>
    <t>1700/111</t>
  </si>
  <si>
    <t>1700/112</t>
  </si>
  <si>
    <t>Tubo RM 20 x 3/4 Redeco</t>
  </si>
  <si>
    <t>Tubo RM 25 x 1/2 Redeco</t>
  </si>
  <si>
    <t>Tubo RM 25 x 3/4 Redeco</t>
  </si>
  <si>
    <t>Tubo RM 32 x 3/4 Redeco</t>
  </si>
  <si>
    <t>Tubo RM 32 x 1 Redeco</t>
  </si>
  <si>
    <t>Tubo RM 40 x 1 1/4 Redeco</t>
  </si>
  <si>
    <t>Tubo RM 50 x 1 1/2 Redeco</t>
  </si>
  <si>
    <t>Tubo RM 63 x 2 Redeco</t>
  </si>
  <si>
    <t>Tubo RM 75 x 2 1/2 Redeco</t>
  </si>
  <si>
    <t>1700/113</t>
  </si>
  <si>
    <t>Tee RH 20 x 1/2 Redeco</t>
  </si>
  <si>
    <t>Tee RH 25 x 1/2 Redeco</t>
  </si>
  <si>
    <t>Tee RH 25 x 3/4 Redeco</t>
  </si>
  <si>
    <t>Tee RH 32 x 3/4 Redeco</t>
  </si>
  <si>
    <t>Tee RH 32 x 1 Redeco</t>
  </si>
  <si>
    <t>1700/114</t>
  </si>
  <si>
    <t>1700/115</t>
  </si>
  <si>
    <t>1700/116</t>
  </si>
  <si>
    <t>1700/117</t>
  </si>
  <si>
    <t>Tee RM 20 x 1/2 Redeco</t>
  </si>
  <si>
    <t>Tee RM 25 x 1/2 Redeco</t>
  </si>
  <si>
    <t>Tee RM 25 x 3/4 Redeco</t>
  </si>
  <si>
    <t>Tee RM 32 x 3/4 Redeco</t>
  </si>
  <si>
    <t>Tee RM 32 x 1 Redeco</t>
  </si>
  <si>
    <t>Union doble RH 20 x 1/2 Redeco</t>
  </si>
  <si>
    <t>Union doble RH 25 x 3/4 Redeco</t>
  </si>
  <si>
    <t>Union doble RH 32 x 1 Redeco</t>
  </si>
  <si>
    <t>1700/118</t>
  </si>
  <si>
    <t>1700/119</t>
  </si>
  <si>
    <t>1700/120</t>
  </si>
  <si>
    <t>1700/121</t>
  </si>
  <si>
    <t>1700/122</t>
  </si>
  <si>
    <t>1700/123</t>
  </si>
  <si>
    <t>1700/124</t>
  </si>
  <si>
    <t>1700/125</t>
  </si>
  <si>
    <t>1700/126</t>
  </si>
  <si>
    <t>1700/127</t>
  </si>
  <si>
    <t>1700/128</t>
  </si>
  <si>
    <t>Union doble RM 20 x 1/2 Redeco</t>
  </si>
  <si>
    <t>Union doble RM 25 x 3/4 Redeco</t>
  </si>
  <si>
    <t>Union doble RM 32 x 1 Redeco</t>
  </si>
  <si>
    <t xml:space="preserve">LLAVES DE PASO REDECO TERMOFUSION </t>
  </si>
  <si>
    <t>Llave paso 20 mm c/campana Redeco cabezal plastico</t>
  </si>
  <si>
    <t>Llave paso 25 mm c/campana Redeco cabezal plastico</t>
  </si>
  <si>
    <t>Llave paso 32 mm c/campana Redeco cabezal plastico</t>
  </si>
  <si>
    <t>1700/129</t>
  </si>
  <si>
    <t>1700/130</t>
  </si>
  <si>
    <t>1700/131</t>
  </si>
  <si>
    <t>1700/132</t>
  </si>
  <si>
    <t>Llave paso 20 mm c/campana Redeco cabezal bronce</t>
  </si>
  <si>
    <t>Llave paso 25 mm c/campana Redeco cabezal bronce</t>
  </si>
  <si>
    <t>Llave paso 32 mm c/campana Redeco cabezal bronce</t>
  </si>
  <si>
    <t>1700/133</t>
  </si>
  <si>
    <t>1700/134</t>
  </si>
  <si>
    <t>1700/135</t>
  </si>
  <si>
    <t>Llave paso esferica 20 mm plastica Redeco</t>
  </si>
  <si>
    <t>Llave paso esferica 25 mm plastica Redeco</t>
  </si>
  <si>
    <t>Llave paso esferica 32 mm plastica Redeco</t>
  </si>
  <si>
    <t>1700/136</t>
  </si>
  <si>
    <t>1700/137</t>
  </si>
  <si>
    <t>1700/138</t>
  </si>
  <si>
    <t>Llave paso esferica 20 mm manija metal Redeco</t>
  </si>
  <si>
    <t>Llave paso esferica 25 mm manija metal Redeco</t>
  </si>
  <si>
    <t>Llave paso esferica 32 mm manija metal Redeco</t>
  </si>
  <si>
    <t>Llave paso esferica 40 mm manija metal Redeco</t>
  </si>
  <si>
    <t>1700/139</t>
  </si>
  <si>
    <t>1700/140</t>
  </si>
  <si>
    <t>1700/141</t>
  </si>
  <si>
    <t>Pileta para lavadero plastica 15 litros</t>
  </si>
  <si>
    <t>1440/08</t>
  </si>
  <si>
    <t>Pileta para lavadero plastica 24 litros</t>
  </si>
  <si>
    <t>ROSETAS VARIAS</t>
  </si>
  <si>
    <t>1510/10</t>
  </si>
  <si>
    <t>Roseta 1/2 p/flexible acero</t>
  </si>
  <si>
    <t>Cupla RH 50 x 1 1/2 Redeco</t>
  </si>
  <si>
    <t>1370/66</t>
  </si>
  <si>
    <t>Bomba Centrifuga 3/4 HP FE750</t>
  </si>
  <si>
    <t>Bomba Centrifuga 1 HP FE1000</t>
  </si>
  <si>
    <t>1140/77</t>
  </si>
  <si>
    <t>Bomba Centrifuga 1 1/2 HP FCG150</t>
  </si>
  <si>
    <t>1140/78</t>
  </si>
  <si>
    <t>Bomba Centrifuga 2 HP FCG200</t>
  </si>
  <si>
    <t>1140/79</t>
  </si>
  <si>
    <t>Manguera para riego 1/2 x 25 mts reforzada</t>
  </si>
  <si>
    <t>1140/80</t>
  </si>
  <si>
    <t>MiniKit Presion 2 Bocas</t>
  </si>
  <si>
    <t>1050/153</t>
  </si>
  <si>
    <t>Caño 110 x 4 mts Reforzado Linea Roja</t>
  </si>
  <si>
    <t>Manguera para riego 3/4 x 25 mts reforzada</t>
  </si>
  <si>
    <t>FILTROS Y REPUESTOS PARA TANQUES</t>
  </si>
  <si>
    <t>1310/30</t>
  </si>
  <si>
    <t>1310/31</t>
  </si>
  <si>
    <t>1430/06</t>
  </si>
  <si>
    <t>Pico J Grueso 55mm</t>
  </si>
  <si>
    <t>1170/09</t>
  </si>
  <si>
    <t>Lluvia Redonda 6 pulgadas acero(8990)</t>
  </si>
  <si>
    <t>1170/10</t>
  </si>
  <si>
    <t>Lluvia Cuadrada 6 pulgadas acero(8993)</t>
  </si>
  <si>
    <t>1310/32</t>
  </si>
  <si>
    <t>CAJA VEREDA DOMICILIARIA</t>
  </si>
  <si>
    <t>Jabonera de bronce cromado DACCORD ETNA</t>
  </si>
  <si>
    <t>Percha de bronce cromado DACCORD ETNA</t>
  </si>
  <si>
    <t>Aro para toalla de bronce cromado DACCORD ETNA</t>
  </si>
  <si>
    <t>Asiento plastico Daccord liviano Blanco</t>
  </si>
  <si>
    <t>1120/14</t>
  </si>
  <si>
    <t>Repuesto asiento Daccord interno</t>
  </si>
  <si>
    <t>Repuesto asiento Daccord redondo externo</t>
  </si>
  <si>
    <t>1140/81</t>
  </si>
  <si>
    <t>1140/82</t>
  </si>
  <si>
    <t>ORING MONOCOMANDO DOBLE LABIO 40 MM</t>
  </si>
  <si>
    <t>1350/60</t>
  </si>
  <si>
    <t>PUERTAS DE ACERO PARA LLAVE DE PASO</t>
  </si>
  <si>
    <t>1460/80</t>
  </si>
  <si>
    <t>1460/81</t>
  </si>
  <si>
    <t>Puerta llave paso acero 20 x 20</t>
  </si>
  <si>
    <t>PUERTA DE HIERRO PARA LLAVE DE PASO</t>
  </si>
  <si>
    <t>Puerta llave paso acero 20 x 25</t>
  </si>
  <si>
    <t>1460/90</t>
  </si>
  <si>
    <t>1460/91</t>
  </si>
  <si>
    <t>Puerta llave paso hierro 20 x 20</t>
  </si>
  <si>
    <t>Puerta llave paso hierro 20 x 25</t>
  </si>
  <si>
    <t>1040/57</t>
  </si>
  <si>
    <t>1040/58</t>
  </si>
  <si>
    <t>Espiga 1 rosca macho 3/4 polietileno</t>
  </si>
  <si>
    <t>Espiga 1 rosca macho 1/2 polietileno</t>
  </si>
  <si>
    <t>1040/59</t>
  </si>
  <si>
    <t>1040/60</t>
  </si>
  <si>
    <t>Espiga 1 rosca hembra 1/2 polietileno</t>
  </si>
  <si>
    <t>Espiga 1 rosca hembra 3/4 polietileno</t>
  </si>
  <si>
    <t>1040/61</t>
  </si>
  <si>
    <t>1040/62</t>
  </si>
  <si>
    <t>1040/63</t>
  </si>
  <si>
    <t>Codo espiga ROSCA MACHO 1 1/4 polietileno</t>
  </si>
  <si>
    <t>Codo espiga ROSCA MACHO 1 1/2 polietileno</t>
  </si>
  <si>
    <t>Codo espiga ROSCA MACHO 2 polietileno</t>
  </si>
  <si>
    <t>1050/200</t>
  </si>
  <si>
    <t>1050/201</t>
  </si>
  <si>
    <t>Conexión tanque 20 mm</t>
  </si>
  <si>
    <t>Conexión tanque 25 mm</t>
  </si>
  <si>
    <t>1050/202</t>
  </si>
  <si>
    <t>1050/203</t>
  </si>
  <si>
    <t>Conexión tanque 32 mm</t>
  </si>
  <si>
    <t>Conexión tanque 40 mm</t>
  </si>
  <si>
    <t xml:space="preserve">VALVULAS DE RENTENCION DE BRONCE   IMPORTADAS </t>
  </si>
  <si>
    <t>1660/21</t>
  </si>
  <si>
    <t>1660/22</t>
  </si>
  <si>
    <t>Valvula retencion bronce 3/4 importada</t>
  </si>
  <si>
    <t>Valvula retencion bronce 1 importada</t>
  </si>
  <si>
    <t>1460/60</t>
  </si>
  <si>
    <t>Sellador Anaerobico gas 15 grs</t>
  </si>
  <si>
    <t>Boton para mochila ROCA NACIONAL (420233)</t>
  </si>
  <si>
    <t>Boton AQUA DUO (420523)</t>
  </si>
  <si>
    <t>*DESCARGA APOYO MOTTA (430312)</t>
  </si>
  <si>
    <t>ASIENTOS Y REPUESTOS PARA INODORO DACCORD</t>
  </si>
  <si>
    <t>1350/61</t>
  </si>
  <si>
    <t>1350/62</t>
  </si>
  <si>
    <t>1350/63</t>
  </si>
  <si>
    <t>Mezclador para mesada Vento</t>
  </si>
  <si>
    <t>Mezclador para pared pico movil embutir Vento</t>
  </si>
  <si>
    <t>Mezclador para pared pico fijo embutir Vento</t>
  </si>
  <si>
    <t>Mezclador para pared exterior Vento</t>
  </si>
  <si>
    <t>Mezclador para lavatorio Vento</t>
  </si>
  <si>
    <t>Mezclador para bidet Vento</t>
  </si>
  <si>
    <t>Mezclador ducha con transferencia Vento</t>
  </si>
  <si>
    <t>Mezclador ducha sin transferencia Vento</t>
  </si>
  <si>
    <t>Mezclador ducha exterior con duchador Vento</t>
  </si>
  <si>
    <t>Monocomando de pared (9024)</t>
  </si>
  <si>
    <t>Adhesivo PVC x 50 cc Duke</t>
  </si>
  <si>
    <t>Adhesivo PVC x 100 cc Duke</t>
  </si>
  <si>
    <t>Adhesivo PVC x 250 cc Duke</t>
  </si>
  <si>
    <t>Adhesivo PVC x 500 cc Duke</t>
  </si>
  <si>
    <t>Canilla esferica 1/2 metal</t>
  </si>
  <si>
    <t>Canilla esferica 3/4 metal</t>
  </si>
  <si>
    <t>Canilla esferica 1 metal</t>
  </si>
  <si>
    <t>1030/35A</t>
  </si>
  <si>
    <t>1030/35B</t>
  </si>
  <si>
    <t>Buje  1 1/2 x 3/4 polipropileno</t>
  </si>
  <si>
    <t>Buje  1 1/2 x 1/2 polipropileno</t>
  </si>
  <si>
    <t>1030/37A</t>
  </si>
  <si>
    <t>1030/37B</t>
  </si>
  <si>
    <t>1030/37C</t>
  </si>
  <si>
    <t>Buje 2 x 1 polipropileno</t>
  </si>
  <si>
    <t>Buje 2 x 3/4 polipropileno</t>
  </si>
  <si>
    <t>Buje 2 x 1/2 polipropileno</t>
  </si>
  <si>
    <t xml:space="preserve">ARANDELAS DE FIBRA            </t>
  </si>
  <si>
    <t>AQUA KIT APOYO LATERAL (491154)</t>
  </si>
  <si>
    <t>AQUA KIT APOYO SUPERIOR (491254)</t>
  </si>
  <si>
    <t>4710/35</t>
  </si>
  <si>
    <t>4710/36</t>
  </si>
  <si>
    <t>AQUA KIT APOYO FRONTAL (491354)</t>
  </si>
  <si>
    <t>AQUA KIT A CODO FRONTAL (491355)</t>
  </si>
  <si>
    <t>AQUA KIT A CODO LATERAL (491155)</t>
  </si>
  <si>
    <t>AQUA KIT A CODO SUPERIOR (491255)</t>
  </si>
  <si>
    <t>VALVULA ADM. INTEGRAL 3/8 REGUL. (412010)</t>
  </si>
  <si>
    <t>VALVULA ADM. INTEGRAL 1/2 REGUL. (412020)</t>
  </si>
  <si>
    <t>DESCARGA AQUA STOP (430752)</t>
  </si>
  <si>
    <t>DESCARGA AQUA DUO (430552)</t>
  </si>
  <si>
    <t>DESCARGA AQUA DUO PLUS (430562)</t>
  </si>
  <si>
    <t>*VALVULA ENTRADA AGUA  SIMIL ORIGINAL (411023)</t>
  </si>
  <si>
    <t>FLAPPER RIGIDO  DEALER hembra (930202)</t>
  </si>
  <si>
    <t>DESCARGA LATERAL ECO FLUSH (430212)</t>
  </si>
  <si>
    <t>Boton neumatico para mochila MOTTA (420413)</t>
  </si>
  <si>
    <t>Boton cromo  mochila ROCA original/AQUA STOP (420733)</t>
  </si>
  <si>
    <t>4710/19</t>
  </si>
  <si>
    <t>GOMA PARA EXTENSIBLE DEALER 2 (440420)</t>
  </si>
  <si>
    <t>4710/30A</t>
  </si>
  <si>
    <t>GOMA PARA EXTENSIBLE DEALER 1 1/2 (440410)</t>
  </si>
  <si>
    <t>FIJACION INODORO ROCA DAMA (445330)</t>
  </si>
  <si>
    <t>VALVULAS DE RENTENCION DE BRONCE  NACIONALES</t>
  </si>
  <si>
    <t>1070/11</t>
  </si>
  <si>
    <t>1070/12</t>
  </si>
  <si>
    <t>1070/13</t>
  </si>
  <si>
    <t>1070/14</t>
  </si>
  <si>
    <t>Acople rapido 1/2 a codo duke</t>
  </si>
  <si>
    <t>Acople rapido 3/4 a codo duke</t>
  </si>
  <si>
    <t>Acople rapido tee 1/2 duke</t>
  </si>
  <si>
    <t>Acople rapido tee 3/4 duke</t>
  </si>
  <si>
    <t>Canilla esf. 1/2 economica metal</t>
  </si>
  <si>
    <t>Canilla esf. 3/4 economica metal</t>
  </si>
  <si>
    <t>1210/18</t>
  </si>
  <si>
    <t>1210/19</t>
  </si>
  <si>
    <t>1050/154</t>
  </si>
  <si>
    <t>1050/155</t>
  </si>
  <si>
    <t>1050/156</t>
  </si>
  <si>
    <t>1050/157</t>
  </si>
  <si>
    <t>Valvula antiplaga awaduct</t>
  </si>
  <si>
    <t>1540/50</t>
  </si>
  <si>
    <t>1540/51</t>
  </si>
  <si>
    <t>1540/52</t>
  </si>
  <si>
    <t>TANQUES DE AGUA WATERPLAS</t>
  </si>
  <si>
    <t>Tanque 100 lts tricapa Waterplas</t>
  </si>
  <si>
    <t>Tanque 150 lts tricapa Waterplas</t>
  </si>
  <si>
    <t>Tanque 180 lts tricapa Waterplas</t>
  </si>
  <si>
    <t>Herramienta cortante Vantec</t>
  </si>
  <si>
    <t>Cinta Ipsolar 10 mts x 4 cm</t>
  </si>
  <si>
    <t>Cinta Ipsoband 10 mt x 5 cm</t>
  </si>
  <si>
    <t>Cinta aluminio Vantec 48 mm x 30 mts</t>
  </si>
  <si>
    <t>1540/53</t>
  </si>
  <si>
    <t>1540/54</t>
  </si>
  <si>
    <t>1540/55</t>
  </si>
  <si>
    <t>1540/56</t>
  </si>
  <si>
    <t>1540/57</t>
  </si>
  <si>
    <t>1540/58</t>
  </si>
  <si>
    <t>1540/59</t>
  </si>
  <si>
    <t>1350/05A</t>
  </si>
  <si>
    <t>1350/08A</t>
  </si>
  <si>
    <t>Repuesto para jabonera DACCORD</t>
  </si>
  <si>
    <t>Repuesto para vaso portacepillo DACCORD</t>
  </si>
  <si>
    <t xml:space="preserve">FLEXIBLES PLASTICOS REGULABLES (GRIS)        </t>
  </si>
  <si>
    <t>1280/10</t>
  </si>
  <si>
    <t>Soporte duchador articulado lujo</t>
  </si>
  <si>
    <t>1120/15</t>
  </si>
  <si>
    <t>Cabezal completo universal Daccord</t>
  </si>
  <si>
    <t>1350/45</t>
  </si>
  <si>
    <t>Canilla Pressmatic Lavatorio Gruesa (7592)</t>
  </si>
  <si>
    <t>Camara desengrasadora c/sif y filtro awaduct</t>
  </si>
  <si>
    <t>1660/19</t>
  </si>
  <si>
    <t>1660/20</t>
  </si>
  <si>
    <t>Bacha vanitory 1 o 3 agujeros 50 cm curva</t>
  </si>
  <si>
    <t>Bacha vanitory 1 o 3 agujeros 60 cm curva</t>
  </si>
  <si>
    <t>Bacha vanitory 1 o 3 aguj. 50 cm maral recta</t>
  </si>
  <si>
    <t>Bacha vanitory 1 o 3 aguj. 60 cm maral recta</t>
  </si>
  <si>
    <t xml:space="preserve">Vanitory blanco  50 cm 2 puertas c/bacha </t>
  </si>
  <si>
    <t xml:space="preserve">Vanitory blanco  60 cm 2 puertas c/bacha </t>
  </si>
  <si>
    <t>1540/60</t>
  </si>
  <si>
    <t>ACCESORIOS DE ZINGUERIA</t>
  </si>
  <si>
    <t>1060/01</t>
  </si>
  <si>
    <t>1060/02</t>
  </si>
  <si>
    <t>Caño flexible aluminio 3" 0,50 a 1 mt</t>
  </si>
  <si>
    <t>Caño flexible aluminio 4" 0,50 a 1 mt</t>
  </si>
  <si>
    <t>1220/28</t>
  </si>
  <si>
    <t>Caño 160 x 4 mts</t>
  </si>
  <si>
    <t>1450/04</t>
  </si>
  <si>
    <t>Piezo electrico estrellita sin masa (coc35)</t>
  </si>
  <si>
    <t>Piezo electrico Eskabe con masa (coc68)</t>
  </si>
  <si>
    <t>1060/03</t>
  </si>
  <si>
    <t>1060/04</t>
  </si>
  <si>
    <t>Caño flexible aluminio 3" 1 a 2 mt</t>
  </si>
  <si>
    <t>Caño flexible aluminio 4" 1 a 2 mt</t>
  </si>
  <si>
    <t>ORINGS PARA SANITARIOS</t>
  </si>
  <si>
    <t>4803/37</t>
  </si>
  <si>
    <t>4803/39</t>
  </si>
  <si>
    <t>4803/40</t>
  </si>
  <si>
    <t>4803/41</t>
  </si>
  <si>
    <t>4803/42</t>
  </si>
  <si>
    <t>Oring 011 serie 1,78mm</t>
  </si>
  <si>
    <t>Oring 012 serie 1,78mm</t>
  </si>
  <si>
    <t>Oring 013 serie 1,78mm</t>
  </si>
  <si>
    <t>Oring 014 serie 1,78mm</t>
  </si>
  <si>
    <t>Oring 018 serie 1,78mm</t>
  </si>
  <si>
    <t>Oring 021 serie 1,78mm</t>
  </si>
  <si>
    <t>Oring 023 serie 1,78mm</t>
  </si>
  <si>
    <t>Oring 026 serie 1,78mm</t>
  </si>
  <si>
    <t>Oring 107 serie 2,62mm</t>
  </si>
  <si>
    <t>4803/43</t>
  </si>
  <si>
    <t>4803/44</t>
  </si>
  <si>
    <t>4803/45</t>
  </si>
  <si>
    <t>4803/46</t>
  </si>
  <si>
    <t>4803/47</t>
  </si>
  <si>
    <t>4803/48</t>
  </si>
  <si>
    <t>4803/49</t>
  </si>
  <si>
    <t>4803/51</t>
  </si>
  <si>
    <t>4803/52</t>
  </si>
  <si>
    <t>4803/53</t>
  </si>
  <si>
    <t>4803/54</t>
  </si>
  <si>
    <t>Oring 111 serie 2,62mm</t>
  </si>
  <si>
    <t>Oring 113 serie 2,62mm</t>
  </si>
  <si>
    <t>Oring 120 serie 2,62mm</t>
  </si>
  <si>
    <t>4803/55</t>
  </si>
  <si>
    <t>4803/56</t>
  </si>
  <si>
    <t>4803/57</t>
  </si>
  <si>
    <t>4803/58</t>
  </si>
  <si>
    <t>Oring 202 serie 3,53mm</t>
  </si>
  <si>
    <t>Oring 208 serie 3,53mm</t>
  </si>
  <si>
    <t>Oring 212 serie 3,53mm</t>
  </si>
  <si>
    <t>Oring 214 serie 3,53mm</t>
  </si>
  <si>
    <t>Oring 216 serie 3,53mm</t>
  </si>
  <si>
    <t>JUEGOS DE GRIFERIA MAJOS NACIONAL</t>
  </si>
  <si>
    <t>Griferia cocina mesada Trevi</t>
  </si>
  <si>
    <t>Griferia pared embutir Trevi</t>
  </si>
  <si>
    <t>Griferia pared exterior Trevi</t>
  </si>
  <si>
    <t>Griferia lavatorio Trevi</t>
  </si>
  <si>
    <t>Griferia Bidet Trevi</t>
  </si>
  <si>
    <t>1350/55</t>
  </si>
  <si>
    <t>1350/56</t>
  </si>
  <si>
    <t>Griferia ducha sin transf. Trevi</t>
  </si>
  <si>
    <t>Griferia ducha con transf. Trevi</t>
  </si>
  <si>
    <t>1350/70</t>
  </si>
  <si>
    <t>Monocomando mesada negra pico grueso (7584)</t>
  </si>
  <si>
    <t>Set de 5 piezas bronce c/barral cromado</t>
  </si>
  <si>
    <t>BRAZO DE BRONCE PARA LLUVIA</t>
  </si>
  <si>
    <t>1660/23</t>
  </si>
  <si>
    <t>Valvula retencion bronce 1 1/4 importada</t>
  </si>
  <si>
    <t>1540/70</t>
  </si>
  <si>
    <t>1570/71</t>
  </si>
  <si>
    <t>1540/72</t>
  </si>
  <si>
    <t>1540/73</t>
  </si>
  <si>
    <t>Tanque Rotoplas beige 400 lts multicapa</t>
  </si>
  <si>
    <t>Tanque Rotoplas beige 600 lts multicapa</t>
  </si>
  <si>
    <t>Tanque Rotoplas beige 850 lts multicapa</t>
  </si>
  <si>
    <t>Tanque Rotoplas beige 1100 lts multicapa</t>
  </si>
  <si>
    <t>1350/57</t>
  </si>
  <si>
    <t>Griferia ducha exterior. Trevi</t>
  </si>
  <si>
    <t>1450/05</t>
  </si>
  <si>
    <t>Piezo electrico Eurostar con masa (coc36)</t>
  </si>
  <si>
    <t>1300/60</t>
  </si>
  <si>
    <t>Flexible malladop/bomba 1 x 50 cm</t>
  </si>
  <si>
    <t>1360/60</t>
  </si>
  <si>
    <t>LLAVES PASO GAS ESFERICA</t>
  </si>
  <si>
    <t>Llave paso esferica 4 Bar 3/4 gas</t>
  </si>
  <si>
    <t>1300/61</t>
  </si>
  <si>
    <t>1300/62</t>
  </si>
  <si>
    <t>1300/63</t>
  </si>
  <si>
    <t>1300/64</t>
  </si>
  <si>
    <t>1300/65</t>
  </si>
  <si>
    <t>1300/66</t>
  </si>
  <si>
    <t>1300/67</t>
  </si>
  <si>
    <t>1300/68</t>
  </si>
  <si>
    <t>Flexible acero inox. 1/2 x 30 Macho giratorio</t>
  </si>
  <si>
    <t>Flexible acero inox. 1/2 x 35 Macho giratorio</t>
  </si>
  <si>
    <t>Flexible acero inox. 1/2 x 40 Macho giratorio</t>
  </si>
  <si>
    <t>Flexible acero inox. 1/2 x 50 Macho giratorio</t>
  </si>
  <si>
    <t>Flexible acero inox. 3/4 x 30 Macho giratorio</t>
  </si>
  <si>
    <t>Flexible acero inox. 3/4 x 35 Macho giratorio</t>
  </si>
  <si>
    <t>Flexible acero inox. 3/4 x 40 Macho giratorio</t>
  </si>
  <si>
    <t xml:space="preserve">FLEXIBLE MALLADO PARA BOMBA    </t>
  </si>
  <si>
    <t>FLEXIBLES ACERO INOX. MACHO GIRATORIO</t>
  </si>
  <si>
    <t>RESISTENCIAS TERMOTANQUES</t>
  </si>
  <si>
    <t>1180/15</t>
  </si>
  <si>
    <t>Resistencia p/termotanque 1500 Wat completa</t>
  </si>
  <si>
    <t>1170/11</t>
  </si>
  <si>
    <t>Lluvia redonda alta gris completa(9377)</t>
  </si>
  <si>
    <t>1140/83</t>
  </si>
  <si>
    <t>Bomba presurizadora COMPACTMINI</t>
  </si>
  <si>
    <t>Deposito de MOCHILKA Aqua Duo DEALER</t>
  </si>
  <si>
    <t>1660/24</t>
  </si>
  <si>
    <t>Valvula retencion bronce 1 1/2 importada</t>
  </si>
  <si>
    <t>1660/26</t>
  </si>
  <si>
    <t>Valvula retencion bronce 1/2 importada</t>
  </si>
  <si>
    <t>LLAVES PASO ESCLUSAS</t>
  </si>
  <si>
    <t>1360/70</t>
  </si>
  <si>
    <t>1360/71</t>
  </si>
  <si>
    <t>1360/72</t>
  </si>
  <si>
    <t>Llave esclusa 1/2 bronce</t>
  </si>
  <si>
    <t>Llave esclusa 3/4 bronce</t>
  </si>
  <si>
    <t>Llave esclusa 1 bronce</t>
  </si>
  <si>
    <t>1350/58</t>
  </si>
  <si>
    <t>Griferia cocina mesada Lyon</t>
  </si>
  <si>
    <t>1290/23</t>
  </si>
  <si>
    <t>Esquinero negro chico 2 estantes</t>
  </si>
  <si>
    <t>Pico U para griferia</t>
  </si>
  <si>
    <t>1140/54</t>
  </si>
  <si>
    <t>1540/74</t>
  </si>
  <si>
    <t>Tanque Rotoplas gris 2750 lts tricapa</t>
  </si>
  <si>
    <t>Flexible acero inox. 3/4x 50 Macho giratorio</t>
  </si>
  <si>
    <t>1540/75</t>
  </si>
  <si>
    <t>1540/76</t>
  </si>
  <si>
    <t>Biodigestor 1300 lts Rotoplas</t>
  </si>
  <si>
    <t>Biodigestor 600 lts Rotoplas</t>
  </si>
  <si>
    <t>ACCESORIOS AWADUCT/POLIMEX</t>
  </si>
  <si>
    <t>Porta reja 12 x 12 acero POLIMEX</t>
  </si>
  <si>
    <t>Porta reja 15 x 15 acero POLIMEX</t>
  </si>
  <si>
    <t>Porta tapa 12 x 12 acero POLIMEX</t>
  </si>
  <si>
    <t>Porta tapa 15 x 15 acero POLIMEX</t>
  </si>
  <si>
    <t>Porta reja 8 x 8 acero POLIMEX</t>
  </si>
  <si>
    <t>Porta tapa 8 x 8 acero POLIMEX</t>
  </si>
  <si>
    <t>1360/36A</t>
  </si>
  <si>
    <t>Minivalvula paso esferico MM 1/2</t>
  </si>
  <si>
    <t>Termofusora 800 watt con boquillas 20 a 32</t>
  </si>
  <si>
    <t>1350/59</t>
  </si>
  <si>
    <t>Griferia cocina mesada Neo vol. ABS</t>
  </si>
  <si>
    <t>Base tanque chica metalica Economica</t>
  </si>
  <si>
    <t>Base tanque grande metalica Economica</t>
  </si>
  <si>
    <t>1140/55</t>
  </si>
  <si>
    <t>1140/56</t>
  </si>
  <si>
    <t>Base tanque chica metalica Intermedia</t>
  </si>
  <si>
    <t>Base tanque grande metalica Intermedia</t>
  </si>
  <si>
    <t>1140/84</t>
  </si>
  <si>
    <t>2153/8</t>
  </si>
  <si>
    <t>CABEZAL DELTA/STALGRIF/MASTERLY FINO</t>
  </si>
  <si>
    <t>3018/1</t>
  </si>
  <si>
    <t>CABEZAL REMPLAZA CERAMICO 3/4</t>
  </si>
  <si>
    <t>3021/3</t>
  </si>
  <si>
    <t>CABEZAL FV ALEGRO TRASF.VASTAGO CORTO</t>
  </si>
  <si>
    <t>3026/4</t>
  </si>
  <si>
    <t>CABEZAL LLAVE PASO 3/4 DUKE/CAFU</t>
  </si>
  <si>
    <t>3040/3</t>
  </si>
  <si>
    <t>CABEZAL PEIRANO MODELO ACTUAL</t>
  </si>
  <si>
    <t>3121/2</t>
  </si>
  <si>
    <t>CABEZAL FV IGUAL 3121 C/CIERRE DE GOMA</t>
  </si>
  <si>
    <t>CABEZAL HIDROS TRASF. DUCHA</t>
  </si>
  <si>
    <t>3185/1</t>
  </si>
  <si>
    <t>CABEZAL LP LATYN FUSION 20 MM</t>
  </si>
  <si>
    <t>CABEZAL LP LATYN FUSION 25 MM</t>
  </si>
  <si>
    <t>CABEZAL PIAZZA TRASF. NUEVO VASTAGO</t>
  </si>
  <si>
    <t>CABEZAL PIAZZA CON CAPUCHON</t>
  </si>
  <si>
    <t>CABEZAL PIAZZA BIDET LINEA CIERRE CERAMICO</t>
  </si>
  <si>
    <t>CABEZAL HIDROMET LINEA FLY</t>
  </si>
  <si>
    <t>BOMBAS PLUVIUS</t>
  </si>
  <si>
    <t>1140/100</t>
  </si>
  <si>
    <t>1140/101</t>
  </si>
  <si>
    <t>Bomba periferica 1/2 hp Pluvius</t>
  </si>
  <si>
    <t>Bomba presurizadoora 100 wat Pluvius</t>
  </si>
  <si>
    <t xml:space="preserve">NIPLES DE POLIPROPILENO         </t>
  </si>
  <si>
    <t>1310/13</t>
  </si>
  <si>
    <t xml:space="preserve">Filtro 1/2 acero valvula retencion </t>
  </si>
  <si>
    <t>1310/17</t>
  </si>
  <si>
    <t>1310/18</t>
  </si>
  <si>
    <t>FLOTANTES COMPACTOS LATYN</t>
  </si>
  <si>
    <t>Flotante p/tanque 1/2 compacto alta presion</t>
  </si>
  <si>
    <t>Flotante p/tanque 3/4 compacto alta presion</t>
  </si>
  <si>
    <t>1210/20</t>
  </si>
  <si>
    <t>Canilla nicho esferica 1/2</t>
  </si>
  <si>
    <t>5000/54001</t>
  </si>
  <si>
    <t>Bacha loza blanca SOFY</t>
  </si>
  <si>
    <r>
      <t xml:space="preserve">*CABEZAL </t>
    </r>
    <r>
      <rPr>
        <b/>
        <sz val="14"/>
        <color theme="1"/>
        <rFont val="Arial"/>
        <family val="2"/>
      </rPr>
      <t>L.U.</t>
    </r>
    <r>
      <rPr>
        <sz val="14"/>
        <color theme="1"/>
        <rFont val="Arial"/>
        <family val="2"/>
      </rPr>
      <t>LLAVE PASO 3/4"</t>
    </r>
  </si>
  <si>
    <r>
      <t xml:space="preserve">*CABEZAL </t>
    </r>
    <r>
      <rPr>
        <b/>
        <sz val="14"/>
        <color theme="1"/>
        <rFont val="Arial"/>
        <family val="2"/>
      </rPr>
      <t>L.U.</t>
    </r>
    <r>
      <rPr>
        <sz val="14"/>
        <color theme="1"/>
        <rFont val="Arial"/>
        <family val="2"/>
      </rPr>
      <t>LLAVE PASO 1/2"</t>
    </r>
  </si>
  <si>
    <r>
      <t xml:space="preserve">*CABEZAL </t>
    </r>
    <r>
      <rPr>
        <b/>
        <sz val="14"/>
        <color theme="1"/>
        <rFont val="Arial"/>
        <family val="2"/>
      </rPr>
      <t>L.U.</t>
    </r>
    <r>
      <rPr>
        <sz val="14"/>
        <color theme="1"/>
        <rFont val="Arial"/>
        <family val="2"/>
      </rPr>
      <t>4 LLAVES</t>
    </r>
  </si>
  <si>
    <r>
      <t xml:space="preserve">*CABEZAL </t>
    </r>
    <r>
      <rPr>
        <b/>
        <sz val="14"/>
        <color theme="1"/>
        <rFont val="Arial"/>
        <family val="2"/>
      </rPr>
      <t>BROADWAY</t>
    </r>
    <r>
      <rPr>
        <sz val="14"/>
        <color theme="1"/>
        <rFont val="Arial"/>
        <family val="2"/>
      </rPr>
      <t xml:space="preserve"> 4 LLAVES</t>
    </r>
  </si>
  <si>
    <r>
      <t xml:space="preserve">*CABEZAL </t>
    </r>
    <r>
      <rPr>
        <b/>
        <sz val="14"/>
        <color theme="1"/>
        <rFont val="Arial"/>
        <family val="2"/>
      </rPr>
      <t xml:space="preserve">SAN BERNARDO </t>
    </r>
    <r>
      <rPr>
        <sz val="14"/>
        <color theme="1"/>
        <rFont val="Arial"/>
        <family val="2"/>
      </rPr>
      <t>C/VÁSTAGO 1046</t>
    </r>
  </si>
  <si>
    <r>
      <t>*CABEZAL</t>
    </r>
    <r>
      <rPr>
        <b/>
        <sz val="14"/>
        <color theme="1"/>
        <rFont val="Arial"/>
        <family val="2"/>
      </rPr>
      <t xml:space="preserve"> VARELA Y PINI</t>
    </r>
    <r>
      <rPr>
        <sz val="14"/>
        <color theme="1"/>
        <rFont val="Arial"/>
        <family val="2"/>
      </rPr>
      <t xml:space="preserve"> LLAVE PASO DE 1/2"</t>
    </r>
  </si>
  <si>
    <r>
      <t xml:space="preserve">*CABEZAL </t>
    </r>
    <r>
      <rPr>
        <b/>
        <sz val="14"/>
        <color theme="1"/>
        <rFont val="Arial"/>
        <family val="2"/>
      </rPr>
      <t>PIAZZA</t>
    </r>
    <r>
      <rPr>
        <sz val="14"/>
        <color theme="1"/>
        <rFont val="Arial"/>
        <family val="2"/>
      </rPr>
      <t xml:space="preserve"> 2 ENTRADAS LAVATORIO</t>
    </r>
  </si>
  <si>
    <r>
      <t xml:space="preserve">*CABEZAL </t>
    </r>
    <r>
      <rPr>
        <b/>
        <sz val="14"/>
        <color theme="1"/>
        <rFont val="Arial"/>
        <family val="2"/>
      </rPr>
      <t>PIAZZA</t>
    </r>
    <r>
      <rPr>
        <sz val="14"/>
        <color theme="1"/>
        <rFont val="Arial"/>
        <family val="2"/>
      </rPr>
      <t xml:space="preserve"> LLAVE PASO CROMADA</t>
    </r>
  </si>
  <si>
    <r>
      <t xml:space="preserve">*CABEZAL </t>
    </r>
    <r>
      <rPr>
        <b/>
        <sz val="14"/>
        <color theme="1"/>
        <rFont val="Arial"/>
        <family val="2"/>
      </rPr>
      <t xml:space="preserve">PIAZZA </t>
    </r>
    <r>
      <rPr>
        <sz val="14"/>
        <color theme="1"/>
        <rFont val="Arial"/>
        <family val="2"/>
      </rPr>
      <t>MESADA CROMO C/CRUZ</t>
    </r>
  </si>
  <si>
    <r>
      <t xml:space="preserve">*CABEZAL </t>
    </r>
    <r>
      <rPr>
        <b/>
        <sz val="14"/>
        <color theme="1"/>
        <rFont val="Arial"/>
        <family val="2"/>
      </rPr>
      <t>FV.</t>
    </r>
    <r>
      <rPr>
        <sz val="14"/>
        <color theme="1"/>
        <rFont val="Arial"/>
        <family val="2"/>
      </rPr>
      <t>MESADA CROMO</t>
    </r>
  </si>
  <si>
    <r>
      <t xml:space="preserve">*CABEZAL </t>
    </r>
    <r>
      <rPr>
        <b/>
        <sz val="14"/>
        <color theme="1"/>
        <rFont val="Arial"/>
        <family val="2"/>
      </rPr>
      <t>1ª MARCA</t>
    </r>
    <r>
      <rPr>
        <sz val="14"/>
        <color theme="1"/>
        <rFont val="Arial"/>
        <family val="2"/>
      </rPr>
      <t xml:space="preserve"> 4 LLAVES E. FINA</t>
    </r>
  </si>
  <si>
    <r>
      <t>*CABEZAL</t>
    </r>
    <r>
      <rPr>
        <b/>
        <sz val="14"/>
        <color theme="1"/>
        <rFont val="Arial"/>
        <family val="2"/>
      </rPr>
      <t xml:space="preserve"> 1ª MARCA </t>
    </r>
    <r>
      <rPr>
        <sz val="14"/>
        <color theme="1"/>
        <rFont val="Arial"/>
        <family val="2"/>
      </rPr>
      <t>MODELO VIEJO</t>
    </r>
  </si>
  <si>
    <r>
      <t xml:space="preserve">*CABEZAL </t>
    </r>
    <r>
      <rPr>
        <b/>
        <sz val="14"/>
        <color theme="1"/>
        <rFont val="Arial"/>
        <family val="2"/>
      </rPr>
      <t xml:space="preserve">PEIRANO </t>
    </r>
    <r>
      <rPr>
        <sz val="14"/>
        <color theme="1"/>
        <rFont val="Arial"/>
        <family val="2"/>
      </rPr>
      <t xml:space="preserve">MODELO VIEJO </t>
    </r>
    <r>
      <rPr>
        <b/>
        <sz val="14"/>
        <color theme="1"/>
        <rFont val="Arial"/>
        <family val="2"/>
      </rPr>
      <t>(cod,DISA 2132)</t>
    </r>
  </si>
  <si>
    <r>
      <t xml:space="preserve">*CABEZAL LLAVE PASO </t>
    </r>
    <r>
      <rPr>
        <b/>
        <sz val="14"/>
        <color theme="1"/>
        <rFont val="Arial"/>
        <family val="2"/>
      </rPr>
      <t>1ª MARCA</t>
    </r>
    <r>
      <rPr>
        <sz val="14"/>
        <color theme="1"/>
        <rFont val="Arial"/>
        <family val="2"/>
      </rPr>
      <t xml:space="preserve"> 1/2"</t>
    </r>
  </si>
  <si>
    <r>
      <t xml:space="preserve">*CABEZAL LAVATORIO </t>
    </r>
    <r>
      <rPr>
        <b/>
        <sz val="14"/>
        <color theme="1"/>
        <rFont val="Arial"/>
        <family val="2"/>
      </rPr>
      <t xml:space="preserve">1ª MARCA  </t>
    </r>
    <r>
      <rPr>
        <sz val="14"/>
        <color theme="1"/>
        <rFont val="Arial"/>
        <family val="2"/>
      </rPr>
      <t>C/ENTREROSCA FINO</t>
    </r>
  </si>
  <si>
    <r>
      <t xml:space="preserve">*CABEZAL LAVATORIO </t>
    </r>
    <r>
      <rPr>
        <b/>
        <sz val="14"/>
        <color theme="1"/>
        <rFont val="Arial"/>
        <family val="2"/>
      </rPr>
      <t xml:space="preserve">1ª MARCA </t>
    </r>
    <r>
      <rPr>
        <sz val="14"/>
        <color theme="1"/>
        <rFont val="Arial"/>
        <family val="2"/>
      </rPr>
      <t xml:space="preserve"> C/ENTREROSCA GRUESO</t>
    </r>
  </si>
  <si>
    <r>
      <t xml:space="preserve">*CABEZAL LLAVE PASO </t>
    </r>
    <r>
      <rPr>
        <b/>
        <sz val="14"/>
        <color theme="1"/>
        <rFont val="Arial"/>
        <family val="2"/>
      </rPr>
      <t xml:space="preserve">1ª MARCA </t>
    </r>
    <r>
      <rPr>
        <sz val="14"/>
        <color theme="1"/>
        <rFont val="Arial"/>
        <family val="2"/>
      </rPr>
      <t>1/2" C/VOLANTE</t>
    </r>
  </si>
  <si>
    <r>
      <t xml:space="preserve">*CABEZAL LLAVE PASO </t>
    </r>
    <r>
      <rPr>
        <b/>
        <sz val="14"/>
        <color theme="1"/>
        <rFont val="Arial"/>
        <family val="2"/>
      </rPr>
      <t>1ª MARCA</t>
    </r>
    <r>
      <rPr>
        <sz val="14"/>
        <color theme="1"/>
        <rFont val="Arial"/>
        <family val="2"/>
      </rPr>
      <t xml:space="preserve"> 1/2" CROMO CRUZ</t>
    </r>
  </si>
  <si>
    <r>
      <t xml:space="preserve">*CABEZAL LLAVE PASO </t>
    </r>
    <r>
      <rPr>
        <b/>
        <sz val="14"/>
        <color theme="1"/>
        <rFont val="Arial"/>
        <family val="2"/>
      </rPr>
      <t>1ª MARCA</t>
    </r>
    <r>
      <rPr>
        <sz val="14"/>
        <color theme="1"/>
        <rFont val="Arial"/>
        <family val="2"/>
      </rPr>
      <t xml:space="preserve"> 1/2" VÁSTAGO LARGO</t>
    </r>
  </si>
  <si>
    <r>
      <t xml:space="preserve">*CABEZAL LLAVE PASO </t>
    </r>
    <r>
      <rPr>
        <b/>
        <sz val="14"/>
        <color theme="1"/>
        <rFont val="Arial"/>
        <family val="2"/>
      </rPr>
      <t>1ª MARCA</t>
    </r>
    <r>
      <rPr>
        <sz val="14"/>
        <color theme="1"/>
        <rFont val="Arial"/>
        <family val="2"/>
      </rPr>
      <t xml:space="preserve"> 1/2" VÁSTAGO LARGO C/VOLANTE</t>
    </r>
  </si>
  <si>
    <r>
      <t xml:space="preserve">*CABEZAL LLAVE PASO </t>
    </r>
    <r>
      <rPr>
        <b/>
        <sz val="14"/>
        <color theme="1"/>
        <rFont val="Arial"/>
        <family val="2"/>
      </rPr>
      <t xml:space="preserve">1ª MARCA </t>
    </r>
    <r>
      <rPr>
        <sz val="14"/>
        <color theme="1"/>
        <rFont val="Arial"/>
        <family val="2"/>
      </rPr>
      <t>3/4"</t>
    </r>
  </si>
  <si>
    <r>
      <t xml:space="preserve">*CABEZAL LLAVE PASO </t>
    </r>
    <r>
      <rPr>
        <b/>
        <sz val="14"/>
        <color theme="1"/>
        <rFont val="Arial"/>
        <family val="2"/>
      </rPr>
      <t>1ª MARCA</t>
    </r>
    <r>
      <rPr>
        <sz val="14"/>
        <color theme="1"/>
        <rFont val="Arial"/>
        <family val="2"/>
      </rPr>
      <t xml:space="preserve"> 3/4" VÁSTAGO LARGO</t>
    </r>
  </si>
  <si>
    <r>
      <t xml:space="preserve">*CABEZAL LLAVE PASO </t>
    </r>
    <r>
      <rPr>
        <b/>
        <sz val="14"/>
        <color theme="1"/>
        <rFont val="Arial"/>
        <family val="2"/>
      </rPr>
      <t>1ª MARCA</t>
    </r>
    <r>
      <rPr>
        <sz val="14"/>
        <color theme="1"/>
        <rFont val="Arial"/>
        <family val="2"/>
      </rPr>
      <t xml:space="preserve"> 3/4" C/VOLANTE</t>
    </r>
  </si>
  <si>
    <r>
      <t xml:space="preserve">*CABEZAL LLAVE PASO </t>
    </r>
    <r>
      <rPr>
        <b/>
        <sz val="14"/>
        <color theme="1"/>
        <rFont val="Arial"/>
        <family val="2"/>
      </rPr>
      <t xml:space="preserve">1ª MARCA </t>
    </r>
    <r>
      <rPr>
        <sz val="14"/>
        <color theme="1"/>
        <rFont val="Arial"/>
        <family val="2"/>
      </rPr>
      <t>3/4" CROMO CRUZ</t>
    </r>
  </si>
  <si>
    <r>
      <t xml:space="preserve">*CABEZAL </t>
    </r>
    <r>
      <rPr>
        <b/>
        <sz val="14"/>
        <color theme="1"/>
        <rFont val="Arial"/>
        <family val="2"/>
      </rPr>
      <t>1ª MARCA STANDARD-TORNADO</t>
    </r>
    <r>
      <rPr>
        <sz val="14"/>
        <color theme="1"/>
        <rFont val="Arial"/>
        <family val="2"/>
      </rPr>
      <t xml:space="preserve"> LARGO FINO</t>
    </r>
  </si>
  <si>
    <r>
      <t xml:space="preserve">*CABEZAL </t>
    </r>
    <r>
      <rPr>
        <b/>
        <sz val="14"/>
        <color theme="1"/>
        <rFont val="Arial"/>
        <family val="2"/>
      </rPr>
      <t xml:space="preserve">1ª MARCA STANDARD-TORNADO </t>
    </r>
    <r>
      <rPr>
        <sz val="14"/>
        <color theme="1"/>
        <rFont val="Arial"/>
        <family val="2"/>
      </rPr>
      <t>LARGO GRUESO</t>
    </r>
  </si>
  <si>
    <r>
      <t xml:space="preserve">*CABEZAL </t>
    </r>
    <r>
      <rPr>
        <b/>
        <sz val="14"/>
        <color theme="1"/>
        <rFont val="Arial"/>
        <family val="2"/>
      </rPr>
      <t>1ª MARCA</t>
    </r>
    <r>
      <rPr>
        <sz val="14"/>
        <color theme="1"/>
        <rFont val="Arial"/>
        <family val="2"/>
      </rPr>
      <t xml:space="preserve"> MESADA PICO MÓVIL AGUATERO DERECHO</t>
    </r>
  </si>
  <si>
    <r>
      <t xml:space="preserve">*CABEZAL LATERAL LLUVIA NO ASCENDENTE </t>
    </r>
    <r>
      <rPr>
        <b/>
        <sz val="14"/>
        <color theme="1"/>
        <rFont val="Arial"/>
        <family val="2"/>
      </rPr>
      <t>1ª MARCA</t>
    </r>
    <r>
      <rPr>
        <sz val="14"/>
        <color theme="1"/>
        <rFont val="Arial"/>
        <family val="2"/>
      </rPr>
      <t xml:space="preserve"> </t>
    </r>
  </si>
  <si>
    <r>
      <t xml:space="preserve">*CABEZAL </t>
    </r>
    <r>
      <rPr>
        <b/>
        <sz val="14"/>
        <color theme="1"/>
        <rFont val="Arial"/>
        <family val="2"/>
      </rPr>
      <t>1ª MARCA</t>
    </r>
    <r>
      <rPr>
        <sz val="14"/>
        <color theme="1"/>
        <rFont val="Arial"/>
        <family val="2"/>
      </rPr>
      <t xml:space="preserve"> LARGO NO ASCENDENTE LLUVIA</t>
    </r>
  </si>
  <si>
    <r>
      <t xml:space="preserve">*CABEZAL </t>
    </r>
    <r>
      <rPr>
        <b/>
        <sz val="14"/>
        <color theme="1"/>
        <rFont val="Arial"/>
        <family val="2"/>
      </rPr>
      <t>PEIRANO</t>
    </r>
    <r>
      <rPr>
        <sz val="14"/>
        <color theme="1"/>
        <rFont val="Arial"/>
        <family val="2"/>
      </rPr>
      <t xml:space="preserve"> MESADA ANTIGUO</t>
    </r>
  </si>
  <si>
    <r>
      <t>*CABEZAL</t>
    </r>
    <r>
      <rPr>
        <b/>
        <sz val="14"/>
        <color theme="1"/>
        <rFont val="Arial"/>
        <family val="2"/>
      </rPr>
      <t xml:space="preserve"> PEIRANO </t>
    </r>
    <r>
      <rPr>
        <sz val="14"/>
        <color theme="1"/>
        <rFont val="Arial"/>
        <family val="2"/>
      </rPr>
      <t>ANTIGUO</t>
    </r>
  </si>
  <si>
    <r>
      <t xml:space="preserve">*CABEZAL </t>
    </r>
    <r>
      <rPr>
        <b/>
        <sz val="14"/>
        <color theme="1"/>
        <rFont val="Arial"/>
        <family val="2"/>
      </rPr>
      <t>PIAZZA</t>
    </r>
    <r>
      <rPr>
        <sz val="14"/>
        <color theme="1"/>
        <rFont val="Arial"/>
        <family val="2"/>
      </rPr>
      <t xml:space="preserve"> MESADA VÁSTAGO CORTO</t>
    </r>
  </si>
  <si>
    <r>
      <t>*CABEZAL</t>
    </r>
    <r>
      <rPr>
        <b/>
        <sz val="14"/>
        <color theme="1"/>
        <rFont val="Arial"/>
        <family val="2"/>
      </rPr>
      <t xml:space="preserve"> PIAZZA</t>
    </r>
    <r>
      <rPr>
        <sz val="14"/>
        <color theme="1"/>
        <rFont val="Arial"/>
        <family val="2"/>
      </rPr>
      <t xml:space="preserve"> MESADA VÁSTAGO LARGO</t>
    </r>
  </si>
  <si>
    <r>
      <t xml:space="preserve">*CABEZAL </t>
    </r>
    <r>
      <rPr>
        <b/>
        <sz val="14"/>
        <color theme="1"/>
        <rFont val="Arial"/>
        <family val="2"/>
      </rPr>
      <t>PIAZZA</t>
    </r>
    <r>
      <rPr>
        <sz val="14"/>
        <color theme="1"/>
        <rFont val="Arial"/>
        <family val="2"/>
      </rPr>
      <t xml:space="preserve"> LAVATORIO Y BIDET</t>
    </r>
  </si>
  <si>
    <r>
      <t xml:space="preserve">*CABEZAL </t>
    </r>
    <r>
      <rPr>
        <b/>
        <sz val="14"/>
        <color theme="1"/>
        <rFont val="Arial"/>
        <family val="2"/>
      </rPr>
      <t>PIAZZA</t>
    </r>
    <r>
      <rPr>
        <sz val="14"/>
        <color theme="1"/>
        <rFont val="Arial"/>
        <family val="2"/>
      </rPr>
      <t xml:space="preserve"> LATERAL LLUVIA VÁSTAGO CORTO</t>
    </r>
  </si>
  <si>
    <r>
      <t xml:space="preserve">*CABEZAL </t>
    </r>
    <r>
      <rPr>
        <b/>
        <sz val="14"/>
        <color theme="1"/>
        <rFont val="Arial"/>
        <family val="2"/>
      </rPr>
      <t>PIAZZA</t>
    </r>
    <r>
      <rPr>
        <sz val="14"/>
        <color theme="1"/>
        <rFont val="Arial"/>
        <family val="2"/>
      </rPr>
      <t xml:space="preserve"> LATERAL LLUVIA VÁSTAGO LARGO</t>
    </r>
  </si>
  <si>
    <r>
      <t xml:space="preserve">*CABEZAL </t>
    </r>
    <r>
      <rPr>
        <b/>
        <sz val="14"/>
        <color theme="1"/>
        <rFont val="Arial"/>
        <family val="2"/>
      </rPr>
      <t>PIAZZA 4000-5000</t>
    </r>
    <r>
      <rPr>
        <sz val="14"/>
        <color theme="1"/>
        <rFont val="Arial"/>
        <family val="2"/>
      </rPr>
      <t xml:space="preserve"> MESADA SIN  TACITA CORTO</t>
    </r>
  </si>
  <si>
    <r>
      <t xml:space="preserve">*CABEZAL </t>
    </r>
    <r>
      <rPr>
        <b/>
        <sz val="14"/>
        <color theme="1"/>
        <rFont val="Arial"/>
        <family val="2"/>
      </rPr>
      <t>PIAZZA 4000-5000</t>
    </r>
    <r>
      <rPr>
        <sz val="14"/>
        <color theme="1"/>
        <rFont val="Arial"/>
        <family val="2"/>
      </rPr>
      <t xml:space="preserve"> MESADA SIN TACITA LARGO</t>
    </r>
  </si>
  <si>
    <r>
      <t xml:space="preserve">*CABEZAL TRANSF. </t>
    </r>
    <r>
      <rPr>
        <b/>
        <sz val="14"/>
        <color theme="1"/>
        <rFont val="Arial"/>
        <family val="2"/>
      </rPr>
      <t>1ª MARCA</t>
    </r>
    <r>
      <rPr>
        <sz val="14"/>
        <color theme="1"/>
        <rFont val="Arial"/>
        <family val="2"/>
      </rPr>
      <t xml:space="preserve"> </t>
    </r>
    <r>
      <rPr>
        <b/>
        <sz val="14"/>
        <color theme="1"/>
        <rFont val="Arial"/>
        <family val="2"/>
      </rPr>
      <t>STD</t>
    </r>
    <r>
      <rPr>
        <sz val="14"/>
        <color theme="1"/>
        <rFont val="Arial"/>
        <family val="2"/>
      </rPr>
      <t xml:space="preserve"> LLUVIA FINO TERMINAL GOMA</t>
    </r>
  </si>
  <si>
    <r>
      <t>*CABEZAL TRANSF.</t>
    </r>
    <r>
      <rPr>
        <b/>
        <sz val="14"/>
        <color theme="1"/>
        <rFont val="Arial"/>
        <family val="2"/>
      </rPr>
      <t xml:space="preserve"> 1ª MARCA STD</t>
    </r>
    <r>
      <rPr>
        <sz val="14"/>
        <color theme="1"/>
        <rFont val="Arial"/>
        <family val="2"/>
      </rPr>
      <t xml:space="preserve"> LLUVIA FINO TERMINAL  BRONCE</t>
    </r>
  </si>
  <si>
    <r>
      <t xml:space="preserve">*CABEZAL TRANSF. </t>
    </r>
    <r>
      <rPr>
        <b/>
        <sz val="14"/>
        <color theme="1"/>
        <rFont val="Arial"/>
        <family val="2"/>
      </rPr>
      <t>1ª MARCA</t>
    </r>
    <r>
      <rPr>
        <sz val="14"/>
        <color theme="1"/>
        <rFont val="Arial"/>
        <family val="2"/>
      </rPr>
      <t xml:space="preserve"> </t>
    </r>
    <r>
      <rPr>
        <b/>
        <sz val="14"/>
        <color theme="1"/>
        <rFont val="Arial"/>
        <family val="2"/>
      </rPr>
      <t>STD</t>
    </r>
    <r>
      <rPr>
        <sz val="14"/>
        <color theme="1"/>
        <rFont val="Arial"/>
        <family val="2"/>
      </rPr>
      <t xml:space="preserve"> LLUVIA GRUESO TERMINAL GOMA </t>
    </r>
  </si>
  <si>
    <r>
      <t xml:space="preserve">*CABEZAL TRANSF. </t>
    </r>
    <r>
      <rPr>
        <b/>
        <sz val="14"/>
        <color theme="1"/>
        <rFont val="Arial"/>
        <family val="2"/>
      </rPr>
      <t>1ª MARCA STD</t>
    </r>
    <r>
      <rPr>
        <sz val="14"/>
        <color theme="1"/>
        <rFont val="Arial"/>
        <family val="2"/>
      </rPr>
      <t xml:space="preserve"> LLUVIA GRUESO TERMINAL BRCE, </t>
    </r>
  </si>
  <si>
    <r>
      <t xml:space="preserve">*CABEZAL </t>
    </r>
    <r>
      <rPr>
        <b/>
        <sz val="14"/>
        <color theme="1"/>
        <rFont val="Arial"/>
        <family val="2"/>
      </rPr>
      <t>CAUDAL</t>
    </r>
    <r>
      <rPr>
        <sz val="14"/>
        <color theme="1"/>
        <rFont val="Arial"/>
        <family val="2"/>
      </rPr>
      <t xml:space="preserve"> DE 1/2" CROMO</t>
    </r>
  </si>
  <si>
    <r>
      <t xml:space="preserve">*CABEZAL </t>
    </r>
    <r>
      <rPr>
        <b/>
        <sz val="14"/>
        <color theme="1"/>
        <rFont val="Arial"/>
        <family val="2"/>
      </rPr>
      <t>CAUDAL</t>
    </r>
    <r>
      <rPr>
        <sz val="14"/>
        <color theme="1"/>
        <rFont val="Arial"/>
        <family val="2"/>
      </rPr>
      <t xml:space="preserve"> DE 3/4"</t>
    </r>
  </si>
  <si>
    <r>
      <t xml:space="preserve">*CABEZAL </t>
    </r>
    <r>
      <rPr>
        <b/>
        <sz val="14"/>
        <color theme="1"/>
        <rFont val="Arial"/>
        <family val="2"/>
      </rPr>
      <t>CAUDAL</t>
    </r>
    <r>
      <rPr>
        <sz val="14"/>
        <color theme="1"/>
        <rFont val="Arial"/>
        <family val="2"/>
      </rPr>
      <t xml:space="preserve"> DE 1/2" BRONCE</t>
    </r>
  </si>
  <si>
    <r>
      <t xml:space="preserve">*CABEZAL </t>
    </r>
    <r>
      <rPr>
        <b/>
        <sz val="14"/>
        <color theme="1"/>
        <rFont val="Arial"/>
        <family val="2"/>
      </rPr>
      <t>CAUDAL</t>
    </r>
    <r>
      <rPr>
        <sz val="14"/>
        <color theme="1"/>
        <rFont val="Arial"/>
        <family val="2"/>
      </rPr>
      <t xml:space="preserve"> DE 3/4" BRONCE</t>
    </r>
  </si>
  <si>
    <r>
      <t xml:space="preserve">*CABEZAL </t>
    </r>
    <r>
      <rPr>
        <b/>
        <sz val="14"/>
        <color theme="1"/>
        <rFont val="Arial"/>
        <family val="2"/>
      </rPr>
      <t>PEIRANO</t>
    </r>
    <r>
      <rPr>
        <sz val="14"/>
        <color theme="1"/>
        <rFont val="Arial"/>
        <family val="2"/>
      </rPr>
      <t xml:space="preserve"> TRANSFERENCIA LLUVIA</t>
    </r>
  </si>
  <si>
    <r>
      <t xml:space="preserve">*CABEZAL </t>
    </r>
    <r>
      <rPr>
        <b/>
        <sz val="14"/>
        <color theme="1"/>
        <rFont val="Arial"/>
        <family val="2"/>
      </rPr>
      <t>PEIRANO</t>
    </r>
    <r>
      <rPr>
        <sz val="14"/>
        <color theme="1"/>
        <rFont val="Arial"/>
        <family val="2"/>
      </rPr>
      <t xml:space="preserve"> TRANSFERENCIA LLUVIA MULTIFAZ</t>
    </r>
  </si>
  <si>
    <r>
      <t xml:space="preserve">*CABEZAL </t>
    </r>
    <r>
      <rPr>
        <b/>
        <sz val="14"/>
        <color theme="1"/>
        <rFont val="Arial"/>
        <family val="2"/>
      </rPr>
      <t>CENTAURO</t>
    </r>
    <r>
      <rPr>
        <sz val="14"/>
        <color theme="1"/>
        <rFont val="Arial"/>
        <family val="2"/>
      </rPr>
      <t xml:space="preserve"> LAVATORIO Y BIDET</t>
    </r>
  </si>
  <si>
    <r>
      <t xml:space="preserve">*CABEZAL </t>
    </r>
    <r>
      <rPr>
        <b/>
        <sz val="14"/>
        <color theme="1"/>
        <rFont val="Arial"/>
        <family val="2"/>
      </rPr>
      <t>CENTAURO</t>
    </r>
    <r>
      <rPr>
        <sz val="14"/>
        <color theme="1"/>
        <rFont val="Arial"/>
        <family val="2"/>
      </rPr>
      <t xml:space="preserve"> LLUVIA</t>
    </r>
  </si>
  <si>
    <r>
      <t xml:space="preserve">*CABEZAL </t>
    </r>
    <r>
      <rPr>
        <b/>
        <sz val="14"/>
        <color theme="1"/>
        <rFont val="Arial"/>
        <family val="2"/>
      </rPr>
      <t xml:space="preserve">CENTAURO </t>
    </r>
    <r>
      <rPr>
        <sz val="14"/>
        <color theme="1"/>
        <rFont val="Arial"/>
        <family val="2"/>
      </rPr>
      <t>MESADA</t>
    </r>
  </si>
  <si>
    <r>
      <t xml:space="preserve">*CABEZAL CANILLA PICO MÓVIL </t>
    </r>
    <r>
      <rPr>
        <b/>
        <sz val="14"/>
        <color theme="1"/>
        <rFont val="Arial"/>
        <family val="2"/>
      </rPr>
      <t>PEIRANO</t>
    </r>
  </si>
  <si>
    <r>
      <t xml:space="preserve">*CABEZAL </t>
    </r>
    <r>
      <rPr>
        <b/>
        <sz val="14"/>
        <color theme="1"/>
        <rFont val="Arial"/>
        <family val="2"/>
      </rPr>
      <t xml:space="preserve">PEIRANO </t>
    </r>
    <r>
      <rPr>
        <sz val="14"/>
        <color theme="1"/>
        <rFont val="Arial"/>
        <family val="2"/>
      </rPr>
      <t>MODELO NUEVO</t>
    </r>
  </si>
  <si>
    <r>
      <t xml:space="preserve">*CABEZAL </t>
    </r>
    <r>
      <rPr>
        <b/>
        <sz val="14"/>
        <color theme="1"/>
        <rFont val="Arial"/>
        <family val="2"/>
      </rPr>
      <t xml:space="preserve">PEIRANO </t>
    </r>
    <r>
      <rPr>
        <sz val="14"/>
        <color theme="1"/>
        <rFont val="Arial"/>
        <family val="2"/>
      </rPr>
      <t>MESADA NUEVO MODELO</t>
    </r>
  </si>
  <si>
    <r>
      <t xml:space="preserve">*CABEZAL </t>
    </r>
    <r>
      <rPr>
        <b/>
        <sz val="14"/>
        <color theme="1"/>
        <rFont val="Arial"/>
        <family val="2"/>
      </rPr>
      <t>PEIRANO</t>
    </r>
    <r>
      <rPr>
        <sz val="14"/>
        <color theme="1"/>
        <rFont val="Arial"/>
        <family val="2"/>
      </rPr>
      <t xml:space="preserve"> TRANSFERENCIA BIDET</t>
    </r>
  </si>
  <si>
    <r>
      <t xml:space="preserve">*CABEZAL </t>
    </r>
    <r>
      <rPr>
        <b/>
        <sz val="14"/>
        <color theme="1"/>
        <rFont val="Arial"/>
        <family val="2"/>
      </rPr>
      <t xml:space="preserve">PEIRANO </t>
    </r>
    <r>
      <rPr>
        <sz val="14"/>
        <color theme="1"/>
        <rFont val="Arial"/>
        <family val="2"/>
      </rPr>
      <t>LLAVE DE PASO 3/4"</t>
    </r>
  </si>
  <si>
    <r>
      <t xml:space="preserve">*CABEZAL </t>
    </r>
    <r>
      <rPr>
        <b/>
        <sz val="14"/>
        <color theme="1"/>
        <rFont val="Arial"/>
        <family val="2"/>
      </rPr>
      <t>1ª MARCA</t>
    </r>
    <r>
      <rPr>
        <sz val="14"/>
        <color theme="1"/>
        <rFont val="Arial"/>
        <family val="2"/>
      </rPr>
      <t xml:space="preserve"> </t>
    </r>
    <r>
      <rPr>
        <b/>
        <sz val="14"/>
        <color theme="1"/>
        <rFont val="Arial"/>
        <family val="2"/>
      </rPr>
      <t>SENIOR</t>
    </r>
    <r>
      <rPr>
        <sz val="14"/>
        <color theme="1"/>
        <rFont val="Arial"/>
        <family val="2"/>
      </rPr>
      <t xml:space="preserve">  3/8"</t>
    </r>
  </si>
  <si>
    <r>
      <t xml:space="preserve">*CABEZAL </t>
    </r>
    <r>
      <rPr>
        <b/>
        <sz val="14"/>
        <color theme="1"/>
        <rFont val="Arial"/>
        <family val="2"/>
      </rPr>
      <t>1ª MARCA</t>
    </r>
    <r>
      <rPr>
        <sz val="14"/>
        <color theme="1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SENIOR </t>
    </r>
    <r>
      <rPr>
        <sz val="14"/>
        <color theme="1"/>
        <rFont val="Arial"/>
        <family val="2"/>
      </rPr>
      <t xml:space="preserve"> 1/2"</t>
    </r>
  </si>
  <si>
    <r>
      <t xml:space="preserve">*CABEZAL </t>
    </r>
    <r>
      <rPr>
        <b/>
        <sz val="14"/>
        <color theme="1"/>
        <rFont val="Arial"/>
        <family val="2"/>
      </rPr>
      <t>LLAVE PASO</t>
    </r>
    <r>
      <rPr>
        <sz val="14"/>
        <color theme="1"/>
        <rFont val="Arial"/>
        <family val="2"/>
      </rPr>
      <t xml:space="preserve"> ROSCA 1/2" C/VOLANTIN</t>
    </r>
  </si>
  <si>
    <r>
      <t xml:space="preserve">*CABEZAL </t>
    </r>
    <r>
      <rPr>
        <b/>
        <sz val="14"/>
        <color theme="1"/>
        <rFont val="Arial"/>
        <family val="2"/>
      </rPr>
      <t>LLAVE PASO</t>
    </r>
    <r>
      <rPr>
        <sz val="14"/>
        <color theme="1"/>
        <rFont val="Arial"/>
        <family val="2"/>
      </rPr>
      <t xml:space="preserve"> ROSCA 3/4" C/VOLANTIN</t>
    </r>
  </si>
  <si>
    <r>
      <t xml:space="preserve">*CABEZAL </t>
    </r>
    <r>
      <rPr>
        <b/>
        <sz val="14"/>
        <color theme="1"/>
        <rFont val="Arial"/>
        <family val="2"/>
      </rPr>
      <t xml:space="preserve">CAUDAL </t>
    </r>
    <r>
      <rPr>
        <sz val="14"/>
        <color theme="1"/>
        <rFont val="Arial"/>
        <family val="2"/>
      </rPr>
      <t>LLUVIA</t>
    </r>
  </si>
  <si>
    <r>
      <t xml:space="preserve">*CABEZAL </t>
    </r>
    <r>
      <rPr>
        <b/>
        <sz val="14"/>
        <color theme="1"/>
        <rFont val="Arial"/>
        <family val="2"/>
      </rPr>
      <t xml:space="preserve">CAUDAL </t>
    </r>
    <r>
      <rPr>
        <sz val="14"/>
        <color theme="1"/>
        <rFont val="Arial"/>
        <family val="2"/>
      </rPr>
      <t>LAVATORIO</t>
    </r>
  </si>
  <si>
    <r>
      <t xml:space="preserve">*CABEZAL </t>
    </r>
    <r>
      <rPr>
        <b/>
        <sz val="14"/>
        <color theme="1"/>
        <rFont val="Arial"/>
        <family val="2"/>
      </rPr>
      <t>PIAZZA</t>
    </r>
    <r>
      <rPr>
        <sz val="14"/>
        <color theme="1"/>
        <rFont val="Arial"/>
        <family val="2"/>
      </rPr>
      <t xml:space="preserve"> C/BUJE DE BRONCE MACHO</t>
    </r>
  </si>
  <si>
    <r>
      <t xml:space="preserve">*CABEZAL </t>
    </r>
    <r>
      <rPr>
        <b/>
        <sz val="14"/>
        <color theme="1"/>
        <rFont val="Arial"/>
        <family val="2"/>
      </rPr>
      <t xml:space="preserve">PIAZZA </t>
    </r>
    <r>
      <rPr>
        <sz val="14"/>
        <color theme="1"/>
        <rFont val="Arial"/>
        <family val="2"/>
      </rPr>
      <t>C/BUJE BRONCE HEMBRA.</t>
    </r>
  </si>
  <si>
    <r>
      <t xml:space="preserve">*CABEZAL </t>
    </r>
    <r>
      <rPr>
        <b/>
        <sz val="14"/>
        <color theme="1"/>
        <rFont val="Arial"/>
        <family val="2"/>
      </rPr>
      <t xml:space="preserve">PIAZZA </t>
    </r>
    <r>
      <rPr>
        <sz val="14"/>
        <color theme="1"/>
        <rFont val="Arial"/>
        <family val="2"/>
      </rPr>
      <t>VÁSTAGO 1158</t>
    </r>
  </si>
  <si>
    <r>
      <t xml:space="preserve">*CABEZAL </t>
    </r>
    <r>
      <rPr>
        <b/>
        <sz val="14"/>
        <color theme="1"/>
        <rFont val="Arial"/>
        <family val="2"/>
      </rPr>
      <t xml:space="preserve">PIAZZA </t>
    </r>
    <r>
      <rPr>
        <sz val="14"/>
        <color theme="1"/>
        <rFont val="Arial"/>
        <family val="2"/>
      </rPr>
      <t>VÁSTAGO 1159</t>
    </r>
  </si>
  <si>
    <r>
      <t>*CABEZAL</t>
    </r>
    <r>
      <rPr>
        <b/>
        <sz val="14"/>
        <color theme="1"/>
        <rFont val="Arial"/>
        <family val="2"/>
      </rPr>
      <t xml:space="preserve"> PIAZZA</t>
    </r>
    <r>
      <rPr>
        <sz val="14"/>
        <color theme="1"/>
        <rFont val="Arial"/>
        <family val="2"/>
      </rPr>
      <t xml:space="preserve"> LAVATORIO Y BIDET</t>
    </r>
  </si>
  <si>
    <r>
      <t>*CABEZAL</t>
    </r>
    <r>
      <rPr>
        <b/>
        <sz val="14"/>
        <color theme="1"/>
        <rFont val="Arial"/>
        <family val="2"/>
      </rPr>
      <t xml:space="preserve"> PIAZZA </t>
    </r>
    <r>
      <rPr>
        <sz val="14"/>
        <color theme="1"/>
        <rFont val="Arial"/>
        <family val="2"/>
      </rPr>
      <t>LATERAL LLUVIA</t>
    </r>
  </si>
  <si>
    <r>
      <t xml:space="preserve">*CABEZAL MESADA </t>
    </r>
    <r>
      <rPr>
        <b/>
        <sz val="14"/>
        <color theme="1"/>
        <rFont val="Arial"/>
        <family val="2"/>
      </rPr>
      <t>ROCA</t>
    </r>
    <r>
      <rPr>
        <sz val="14"/>
        <color theme="1"/>
        <rFont val="Arial"/>
        <family val="2"/>
      </rPr>
      <t xml:space="preserve"> CROMADO</t>
    </r>
  </si>
  <si>
    <r>
      <t xml:space="preserve">*CABEZAL </t>
    </r>
    <r>
      <rPr>
        <b/>
        <sz val="14"/>
        <color theme="1"/>
        <rFont val="Arial"/>
        <family val="2"/>
      </rPr>
      <t>CENTAURO</t>
    </r>
    <r>
      <rPr>
        <sz val="14"/>
        <color theme="1"/>
        <rFont val="Arial"/>
        <family val="2"/>
      </rPr>
      <t xml:space="preserve"> TRANSFERENCIA LLUVIA CUADRADO LARGO</t>
    </r>
  </si>
  <si>
    <r>
      <t xml:space="preserve">*CABEZAL </t>
    </r>
    <r>
      <rPr>
        <b/>
        <sz val="14"/>
        <color theme="1"/>
        <rFont val="Arial"/>
        <family val="2"/>
      </rPr>
      <t>CENTAURO</t>
    </r>
    <r>
      <rPr>
        <sz val="14"/>
        <color theme="1"/>
        <rFont val="Arial"/>
        <family val="2"/>
      </rPr>
      <t xml:space="preserve"> TRANSFERENCIA LLUVIA GRUESO</t>
    </r>
  </si>
  <si>
    <r>
      <t>*CABEZAL</t>
    </r>
    <r>
      <rPr>
        <b/>
        <sz val="14"/>
        <color theme="1"/>
        <rFont val="Arial"/>
        <family val="2"/>
      </rPr>
      <t xml:space="preserve"> 1ª MARCA </t>
    </r>
    <r>
      <rPr>
        <sz val="14"/>
        <color theme="1"/>
        <rFont val="Arial"/>
        <family val="2"/>
      </rPr>
      <t>TRANSFERENCIA BIDET STANDARD FINO</t>
    </r>
  </si>
  <si>
    <r>
      <t>*CABEZAL</t>
    </r>
    <r>
      <rPr>
        <b/>
        <sz val="14"/>
        <color theme="1"/>
        <rFont val="Arial"/>
        <family val="2"/>
      </rPr>
      <t xml:space="preserve"> 1ª MARCA</t>
    </r>
    <r>
      <rPr>
        <sz val="14"/>
        <color theme="1"/>
        <rFont val="Arial"/>
        <family val="2"/>
      </rPr>
      <t xml:space="preserve"> TRANSFERENCIA BIDET STANDARD GRUESO</t>
    </r>
  </si>
  <si>
    <r>
      <t>*CABEZAL</t>
    </r>
    <r>
      <rPr>
        <b/>
        <sz val="14"/>
        <color theme="1"/>
        <rFont val="Arial"/>
        <family val="2"/>
      </rPr>
      <t xml:space="preserve"> 1ª MARCA </t>
    </r>
    <r>
      <rPr>
        <sz val="14"/>
        <color theme="1"/>
        <rFont val="Arial"/>
        <family val="2"/>
      </rPr>
      <t xml:space="preserve"> TRANSFERENCIA BIDET LUJO</t>
    </r>
  </si>
  <si>
    <r>
      <t xml:space="preserve">*CABEZAL TRANSFERERENCIA LLUVIA </t>
    </r>
    <r>
      <rPr>
        <b/>
        <sz val="14"/>
        <color theme="1"/>
        <rFont val="Arial"/>
        <family val="2"/>
      </rPr>
      <t xml:space="preserve">LUJO 1ª MARCA </t>
    </r>
    <r>
      <rPr>
        <sz val="14"/>
        <color theme="1"/>
        <rFont val="Arial"/>
        <family val="2"/>
      </rPr>
      <t>TERMINAL GOMA</t>
    </r>
  </si>
  <si>
    <r>
      <t xml:space="preserve">*CABEZAL </t>
    </r>
    <r>
      <rPr>
        <b/>
        <sz val="14"/>
        <color theme="1"/>
        <rFont val="Arial"/>
        <family val="2"/>
      </rPr>
      <t>RAMOS</t>
    </r>
    <r>
      <rPr>
        <sz val="14"/>
        <color theme="1"/>
        <rFont val="Arial"/>
        <family val="2"/>
      </rPr>
      <t xml:space="preserve"> LAVATORIO Y BIDET</t>
    </r>
  </si>
  <si>
    <r>
      <t xml:space="preserve">*CABEZAL </t>
    </r>
    <r>
      <rPr>
        <b/>
        <sz val="14"/>
        <color theme="1"/>
        <rFont val="Arial"/>
        <family val="2"/>
      </rPr>
      <t xml:space="preserve">RAMOS </t>
    </r>
    <r>
      <rPr>
        <sz val="14"/>
        <color theme="1"/>
        <rFont val="Arial"/>
        <family val="2"/>
      </rPr>
      <t>LLUVIA C/VÁSTAGO 1018</t>
    </r>
  </si>
  <si>
    <r>
      <t xml:space="preserve">*CABEZAL </t>
    </r>
    <r>
      <rPr>
        <b/>
        <sz val="14"/>
        <color theme="1"/>
        <rFont val="Arial"/>
        <family val="2"/>
      </rPr>
      <t>RAMOS</t>
    </r>
    <r>
      <rPr>
        <sz val="14"/>
        <color theme="1"/>
        <rFont val="Arial"/>
        <family val="2"/>
      </rPr>
      <t xml:space="preserve"> MESADA</t>
    </r>
  </si>
  <si>
    <r>
      <t xml:space="preserve">*CABEZAL </t>
    </r>
    <r>
      <rPr>
        <b/>
        <sz val="14"/>
        <color theme="1"/>
        <rFont val="Arial"/>
        <family val="2"/>
      </rPr>
      <t xml:space="preserve">RAMOS </t>
    </r>
    <r>
      <rPr>
        <sz val="14"/>
        <color theme="1"/>
        <rFont val="Arial"/>
        <family val="2"/>
      </rPr>
      <t>TRANSFERENCIA BIDET</t>
    </r>
  </si>
  <si>
    <r>
      <t xml:space="preserve">*CABEZAL </t>
    </r>
    <r>
      <rPr>
        <b/>
        <sz val="14"/>
        <color theme="1"/>
        <rFont val="Arial"/>
        <family val="2"/>
      </rPr>
      <t>RAMOS</t>
    </r>
    <r>
      <rPr>
        <sz val="14"/>
        <color theme="1"/>
        <rFont val="Arial"/>
        <family val="2"/>
      </rPr>
      <t xml:space="preserve"> TRANSFERENCIA LLUVIA</t>
    </r>
  </si>
  <si>
    <r>
      <t xml:space="preserve">*CABEZAL </t>
    </r>
    <r>
      <rPr>
        <b/>
        <sz val="14"/>
        <color theme="1"/>
        <rFont val="Arial"/>
        <family val="2"/>
      </rPr>
      <t>RAMOS</t>
    </r>
    <r>
      <rPr>
        <sz val="14"/>
        <color theme="1"/>
        <rFont val="Arial"/>
        <family val="2"/>
      </rPr>
      <t xml:space="preserve"> LATERAL LLUVIA</t>
    </r>
  </si>
  <si>
    <r>
      <t xml:space="preserve">*CABEZAL </t>
    </r>
    <r>
      <rPr>
        <b/>
        <sz val="14"/>
        <color theme="1"/>
        <rFont val="Arial"/>
        <family val="2"/>
      </rPr>
      <t xml:space="preserve">PIAZZA </t>
    </r>
    <r>
      <rPr>
        <sz val="14"/>
        <color theme="1"/>
        <rFont val="Arial"/>
        <family val="2"/>
      </rPr>
      <t>FRENTEADO LAVATORIO , BIDET</t>
    </r>
  </si>
  <si>
    <r>
      <t xml:space="preserve">*CABEZAL FRENTEADO LATERAL LLUVIA </t>
    </r>
    <r>
      <rPr>
        <b/>
        <sz val="14"/>
        <color theme="1"/>
        <rFont val="Arial"/>
        <family val="2"/>
      </rPr>
      <t>PIAZZA</t>
    </r>
  </si>
  <si>
    <r>
      <t xml:space="preserve">*CABEZAL FRENTEADO TRANSFERENCIA LLUVIA </t>
    </r>
    <r>
      <rPr>
        <b/>
        <sz val="14"/>
        <color theme="1"/>
        <rFont val="Arial"/>
        <family val="2"/>
      </rPr>
      <t>PIAZZA</t>
    </r>
  </si>
  <si>
    <r>
      <t>*CABEZAL</t>
    </r>
    <r>
      <rPr>
        <b/>
        <sz val="14"/>
        <color theme="1"/>
        <rFont val="Arial"/>
        <family val="2"/>
      </rPr>
      <t xml:space="preserve"> PIAZZA</t>
    </r>
    <r>
      <rPr>
        <sz val="14"/>
        <color theme="1"/>
        <rFont val="Arial"/>
        <family val="2"/>
      </rPr>
      <t xml:space="preserve"> TRANSFERENCIA LLUVIA-BIDET CORTO ANTIGUO</t>
    </r>
  </si>
  <si>
    <r>
      <t xml:space="preserve">*CABEZAL </t>
    </r>
    <r>
      <rPr>
        <b/>
        <sz val="14"/>
        <color theme="1"/>
        <rFont val="Arial"/>
        <family val="2"/>
      </rPr>
      <t>PIAZZA</t>
    </r>
    <r>
      <rPr>
        <sz val="14"/>
        <color theme="1"/>
        <rFont val="Arial"/>
        <family val="2"/>
      </rPr>
      <t xml:space="preserve"> TRANSFERENCIA LLUVIA-BIDET LARGO ANTIGUO</t>
    </r>
  </si>
  <si>
    <r>
      <t xml:space="preserve">*CABEZAL </t>
    </r>
    <r>
      <rPr>
        <b/>
        <sz val="14"/>
        <color theme="1"/>
        <rFont val="Arial"/>
        <family val="2"/>
      </rPr>
      <t>PIAZZA</t>
    </r>
    <r>
      <rPr>
        <sz val="14"/>
        <color theme="1"/>
        <rFont val="Arial"/>
        <family val="2"/>
      </rPr>
      <t xml:space="preserve"> LARGO REEMPLAZA CERÁMICO</t>
    </r>
  </si>
  <si>
    <r>
      <t xml:space="preserve">*CABEZAL </t>
    </r>
    <r>
      <rPr>
        <b/>
        <sz val="14"/>
        <color theme="1"/>
        <rFont val="Arial"/>
        <family val="2"/>
      </rPr>
      <t xml:space="preserve">PIAZZA </t>
    </r>
    <r>
      <rPr>
        <sz val="14"/>
        <color theme="1"/>
        <rFont val="Arial"/>
        <family val="2"/>
      </rPr>
      <t>LARGO C/PRENSA CAMPANA</t>
    </r>
  </si>
  <si>
    <r>
      <t xml:space="preserve">*CABEZAL TRANSFERENCIA LLUVIA </t>
    </r>
    <r>
      <rPr>
        <b/>
        <sz val="14"/>
        <color theme="1"/>
        <rFont val="Arial"/>
        <family val="2"/>
      </rPr>
      <t>PIAZZA</t>
    </r>
  </si>
  <si>
    <r>
      <t xml:space="preserve">*CABEZAL </t>
    </r>
    <r>
      <rPr>
        <b/>
        <sz val="14"/>
        <color theme="1"/>
        <rFont val="Arial"/>
        <family val="2"/>
      </rPr>
      <t xml:space="preserve">CENTAURO </t>
    </r>
    <r>
      <rPr>
        <sz val="14"/>
        <color theme="1"/>
        <rFont val="Arial"/>
        <family val="2"/>
      </rPr>
      <t>TRANSFERENCIA BIDET CUADRADO</t>
    </r>
  </si>
  <si>
    <r>
      <t xml:space="preserve">*CABEZAL </t>
    </r>
    <r>
      <rPr>
        <b/>
        <sz val="14"/>
        <color theme="1"/>
        <rFont val="Arial"/>
        <family val="2"/>
      </rPr>
      <t xml:space="preserve">CENTAURO </t>
    </r>
    <r>
      <rPr>
        <sz val="14"/>
        <color theme="1"/>
        <rFont val="Arial"/>
        <family val="2"/>
      </rPr>
      <t>LAVATORIO BIDET GRUESO</t>
    </r>
  </si>
  <si>
    <r>
      <t xml:space="preserve">*CABEZAL </t>
    </r>
    <r>
      <rPr>
        <b/>
        <sz val="14"/>
        <color theme="1"/>
        <rFont val="Arial"/>
        <family val="2"/>
      </rPr>
      <t xml:space="preserve">CENTAURO </t>
    </r>
    <r>
      <rPr>
        <sz val="14"/>
        <color theme="1"/>
        <rFont val="Arial"/>
        <family val="2"/>
      </rPr>
      <t>LLUVIA GRUESO</t>
    </r>
  </si>
  <si>
    <r>
      <t xml:space="preserve">*CABEZAL </t>
    </r>
    <r>
      <rPr>
        <b/>
        <sz val="14"/>
        <color theme="1"/>
        <rFont val="Arial"/>
        <family val="2"/>
      </rPr>
      <t xml:space="preserve">CENTAURO </t>
    </r>
    <r>
      <rPr>
        <sz val="14"/>
        <color theme="1"/>
        <rFont val="Arial"/>
        <family val="2"/>
      </rPr>
      <t>MESADA GRUESO</t>
    </r>
  </si>
  <si>
    <r>
      <t xml:space="preserve">*CABEZAL </t>
    </r>
    <r>
      <rPr>
        <b/>
        <sz val="14"/>
        <color theme="1"/>
        <rFont val="Arial"/>
        <family val="2"/>
      </rPr>
      <t xml:space="preserve">CENTAURO </t>
    </r>
    <r>
      <rPr>
        <sz val="14"/>
        <color theme="1"/>
        <rFont val="Arial"/>
        <family val="2"/>
      </rPr>
      <t>TRANSFERENCIA BIDET GRUESO</t>
    </r>
  </si>
  <si>
    <r>
      <t xml:space="preserve">*CABEZAL </t>
    </r>
    <r>
      <rPr>
        <b/>
        <sz val="14"/>
        <color theme="1"/>
        <rFont val="Arial"/>
        <family val="2"/>
      </rPr>
      <t>CENTAURO</t>
    </r>
    <r>
      <rPr>
        <sz val="14"/>
        <color theme="1"/>
        <rFont val="Arial"/>
        <family val="2"/>
      </rPr>
      <t xml:space="preserve"> LAVATORIO, BIDET, MESADA FINO</t>
    </r>
  </si>
  <si>
    <r>
      <t xml:space="preserve">*CABEZAL </t>
    </r>
    <r>
      <rPr>
        <b/>
        <sz val="14"/>
        <color theme="1"/>
        <rFont val="Arial"/>
        <family val="2"/>
      </rPr>
      <t>CENTAURO</t>
    </r>
    <r>
      <rPr>
        <sz val="14"/>
        <color theme="1"/>
        <rFont val="Arial"/>
        <family val="2"/>
      </rPr>
      <t xml:space="preserve"> LLUVIA ESTRIA FINA</t>
    </r>
  </si>
  <si>
    <r>
      <t xml:space="preserve">*CABEZAL </t>
    </r>
    <r>
      <rPr>
        <b/>
        <sz val="14"/>
        <color theme="1"/>
        <rFont val="Arial"/>
        <family val="2"/>
      </rPr>
      <t>CENTAURO</t>
    </r>
    <r>
      <rPr>
        <sz val="14"/>
        <color theme="1"/>
        <rFont val="Arial"/>
        <family val="2"/>
      </rPr>
      <t xml:space="preserve"> TRANSFERENCIA LLUVIA FINO</t>
    </r>
  </si>
  <si>
    <r>
      <t xml:space="preserve">*CABEZAL </t>
    </r>
    <r>
      <rPr>
        <b/>
        <sz val="14"/>
        <color theme="1"/>
        <rFont val="Arial"/>
        <family val="2"/>
      </rPr>
      <t xml:space="preserve">CENTAURO </t>
    </r>
    <r>
      <rPr>
        <sz val="14"/>
        <color theme="1"/>
        <rFont val="Arial"/>
        <family val="2"/>
      </rPr>
      <t>TRANSFERENCIA BIDET</t>
    </r>
  </si>
  <si>
    <r>
      <t xml:space="preserve">*CABEZAL BIDET </t>
    </r>
    <r>
      <rPr>
        <b/>
        <sz val="14"/>
        <color theme="1"/>
        <rFont val="Arial"/>
        <family val="2"/>
      </rPr>
      <t xml:space="preserve">PIAZZA 1300-1500 </t>
    </r>
    <r>
      <rPr>
        <sz val="14"/>
        <color theme="1"/>
        <rFont val="Arial"/>
        <family val="2"/>
      </rPr>
      <t>C/PERILLA</t>
    </r>
  </si>
  <si>
    <r>
      <t xml:space="preserve">*CABEZAL </t>
    </r>
    <r>
      <rPr>
        <b/>
        <sz val="14"/>
        <color theme="1"/>
        <rFont val="Arial"/>
        <family val="2"/>
      </rPr>
      <t xml:space="preserve">ROCA-STALGRIFF-HIDROMET </t>
    </r>
    <r>
      <rPr>
        <sz val="14"/>
        <color theme="1"/>
        <rFont val="Arial"/>
        <family val="2"/>
      </rPr>
      <t>LATERAL, LAVAT., BIDET Y DUCHA</t>
    </r>
  </si>
  <si>
    <r>
      <t xml:space="preserve">*CABEZAL </t>
    </r>
    <r>
      <rPr>
        <b/>
        <sz val="14"/>
        <color theme="1"/>
        <rFont val="Arial"/>
        <family val="2"/>
      </rPr>
      <t>ROCA,BAYCO,HIDROS,STALGRIFF</t>
    </r>
    <r>
      <rPr>
        <sz val="14"/>
        <color theme="1"/>
        <rFont val="Arial"/>
        <family val="2"/>
      </rPr>
      <t xml:space="preserve"> LAVATORIO, BIDET Y DUCHA</t>
    </r>
    <r>
      <rPr>
        <b/>
        <sz val="14"/>
        <color theme="1"/>
        <rFont val="Arial"/>
        <family val="2"/>
      </rPr>
      <t xml:space="preserve"> </t>
    </r>
  </si>
  <si>
    <r>
      <t xml:space="preserve">*CABEZAL </t>
    </r>
    <r>
      <rPr>
        <b/>
        <sz val="14"/>
        <color theme="1"/>
        <rFont val="Arial"/>
        <family val="2"/>
      </rPr>
      <t xml:space="preserve">ROCA </t>
    </r>
    <r>
      <rPr>
        <sz val="14"/>
        <color theme="1"/>
        <rFont val="Arial"/>
        <family val="2"/>
      </rPr>
      <t>TRANSFERENCIA BIDET-LLUVIA</t>
    </r>
  </si>
  <si>
    <r>
      <t xml:space="preserve">*CABEZAL </t>
    </r>
    <r>
      <rPr>
        <b/>
        <sz val="14"/>
        <color theme="1"/>
        <rFont val="Arial"/>
        <family val="2"/>
      </rPr>
      <t>STALGRIFF</t>
    </r>
    <r>
      <rPr>
        <sz val="14"/>
        <color theme="1"/>
        <rFont val="Arial"/>
        <family val="2"/>
      </rPr>
      <t xml:space="preserve"> TRANSFERENCIA DUCHA</t>
    </r>
    <r>
      <rPr>
        <b/>
        <sz val="14"/>
        <color theme="1"/>
        <rFont val="Arial"/>
        <family val="2"/>
      </rPr>
      <t xml:space="preserve"> (cod.DISA 2156)</t>
    </r>
  </si>
  <si>
    <r>
      <t xml:space="preserve">*CABEZAL </t>
    </r>
    <r>
      <rPr>
        <b/>
        <sz val="14"/>
        <color theme="1"/>
        <rFont val="Arial"/>
        <family val="2"/>
      </rPr>
      <t>MASTERLY</t>
    </r>
    <r>
      <rPr>
        <sz val="14"/>
        <color theme="1"/>
        <rFont val="Arial"/>
        <family val="2"/>
      </rPr>
      <t xml:space="preserve"> TRANSFERENCIA </t>
    </r>
    <r>
      <rPr>
        <b/>
        <sz val="14"/>
        <color theme="1"/>
        <rFont val="Arial"/>
        <family val="2"/>
      </rPr>
      <t>(cod.DISA 2157)</t>
    </r>
  </si>
  <si>
    <r>
      <t>*CABEZAL</t>
    </r>
    <r>
      <rPr>
        <b/>
        <sz val="14"/>
        <color theme="1"/>
        <rFont val="Arial"/>
        <family val="2"/>
      </rPr>
      <t xml:space="preserve"> FAZ CHILENO </t>
    </r>
    <r>
      <rPr>
        <sz val="14"/>
        <color theme="1"/>
        <rFont val="Arial"/>
        <family val="2"/>
      </rPr>
      <t>LATERAL LLUVIA E.GRUESA</t>
    </r>
  </si>
  <si>
    <r>
      <t>*CABEZAL</t>
    </r>
    <r>
      <rPr>
        <b/>
        <sz val="14"/>
        <color theme="1"/>
        <rFont val="Arial"/>
        <family val="2"/>
      </rPr>
      <t xml:space="preserve"> FAZ CHILENO </t>
    </r>
    <r>
      <rPr>
        <sz val="14"/>
        <color theme="1"/>
        <rFont val="Arial"/>
        <family val="2"/>
      </rPr>
      <t>LATERAL LLUVIA E.FINA</t>
    </r>
  </si>
  <si>
    <r>
      <t>*CABEZAL</t>
    </r>
    <r>
      <rPr>
        <b/>
        <sz val="14"/>
        <color theme="1"/>
        <rFont val="Arial"/>
        <family val="2"/>
      </rPr>
      <t xml:space="preserve"> FAZ CHILENO TRANSFERENCIA</t>
    </r>
    <r>
      <rPr>
        <sz val="14"/>
        <color theme="1"/>
        <rFont val="Arial"/>
        <family val="2"/>
      </rPr>
      <t xml:space="preserve"> LLUVIA</t>
    </r>
  </si>
  <si>
    <r>
      <t>*CABEZAL</t>
    </r>
    <r>
      <rPr>
        <b/>
        <sz val="14"/>
        <color theme="1"/>
        <rFont val="Arial"/>
        <family val="2"/>
      </rPr>
      <t xml:space="preserve"> FAZ CHILENO </t>
    </r>
    <r>
      <rPr>
        <sz val="14"/>
        <color theme="1"/>
        <rFont val="Arial"/>
        <family val="2"/>
      </rPr>
      <t>MESADA CROMO</t>
    </r>
  </si>
  <si>
    <r>
      <t xml:space="preserve">*CABEZAL </t>
    </r>
    <r>
      <rPr>
        <b/>
        <sz val="14"/>
        <color theme="1"/>
        <rFont val="Arial"/>
        <family val="2"/>
      </rPr>
      <t xml:space="preserve">QUEIJA/PEIRANO </t>
    </r>
    <r>
      <rPr>
        <sz val="14"/>
        <color theme="1"/>
        <rFont val="Arial"/>
        <family val="2"/>
      </rPr>
      <t>TRANSFERENCIA LLUVIA/BIDET, REEMPL.PLÁST.</t>
    </r>
  </si>
  <si>
    <r>
      <t xml:space="preserve">*CABEZAL TRANSFERENCIA </t>
    </r>
    <r>
      <rPr>
        <b/>
        <sz val="14"/>
        <color theme="1"/>
        <rFont val="Arial"/>
        <family val="2"/>
      </rPr>
      <t>LINEA B1 ARIZONA</t>
    </r>
    <r>
      <rPr>
        <sz val="14"/>
        <color theme="1"/>
        <rFont val="Arial"/>
        <family val="2"/>
      </rPr>
      <t xml:space="preserve"> DUCHA.</t>
    </r>
  </si>
  <si>
    <r>
      <t>*CABEZAL TRANSFERENCIA</t>
    </r>
    <r>
      <rPr>
        <b/>
        <sz val="14"/>
        <color theme="1"/>
        <rFont val="Arial"/>
        <family val="2"/>
      </rPr>
      <t xml:space="preserve"> LINEA B1 ARIZONA</t>
    </r>
    <r>
      <rPr>
        <sz val="14"/>
        <color theme="1"/>
        <rFont val="Arial"/>
        <family val="2"/>
      </rPr>
      <t xml:space="preserve"> BIDET.</t>
    </r>
  </si>
  <si>
    <r>
      <t xml:space="preserve">*CABEZAL </t>
    </r>
    <r>
      <rPr>
        <b/>
        <sz val="14"/>
        <color theme="1"/>
        <rFont val="Arial"/>
        <family val="2"/>
      </rPr>
      <t xml:space="preserve">LATINA </t>
    </r>
    <r>
      <rPr>
        <sz val="14"/>
        <color theme="1"/>
        <rFont val="Arial"/>
        <family val="2"/>
      </rPr>
      <t>LATERAL MESADA</t>
    </r>
  </si>
  <si>
    <r>
      <t xml:space="preserve">*CABEZAL </t>
    </r>
    <r>
      <rPr>
        <b/>
        <sz val="14"/>
        <color theme="1"/>
        <rFont val="Arial"/>
        <family val="2"/>
      </rPr>
      <t xml:space="preserve">LATINA </t>
    </r>
    <r>
      <rPr>
        <sz val="14"/>
        <color theme="1"/>
        <rFont val="Arial"/>
        <family val="2"/>
      </rPr>
      <t>LAVATORIO Y BIDET</t>
    </r>
  </si>
  <si>
    <r>
      <t xml:space="preserve">*CABEZAL </t>
    </r>
    <r>
      <rPr>
        <b/>
        <sz val="14"/>
        <color theme="1"/>
        <rFont val="Arial"/>
        <family val="2"/>
      </rPr>
      <t xml:space="preserve">LATINA </t>
    </r>
    <r>
      <rPr>
        <sz val="14"/>
        <color theme="1"/>
        <rFont val="Arial"/>
        <family val="2"/>
      </rPr>
      <t>LLUVIA LINEA PESADA</t>
    </r>
  </si>
  <si>
    <r>
      <t xml:space="preserve">*CABEZAL </t>
    </r>
    <r>
      <rPr>
        <b/>
        <sz val="14"/>
        <color theme="1"/>
        <rFont val="Arial"/>
        <family val="2"/>
      </rPr>
      <t xml:space="preserve">LATINA </t>
    </r>
    <r>
      <rPr>
        <sz val="14"/>
        <color theme="1"/>
        <rFont val="Arial"/>
        <family val="2"/>
      </rPr>
      <t>TRANSFERENCIA BIDET  LINEA NUEVA</t>
    </r>
  </si>
  <si>
    <r>
      <t xml:space="preserve">*CABEZAL ROSCA </t>
    </r>
    <r>
      <rPr>
        <b/>
        <sz val="14"/>
        <color theme="1"/>
        <rFont val="Arial"/>
        <family val="2"/>
      </rPr>
      <t>1ª MARCA</t>
    </r>
    <r>
      <rPr>
        <sz val="14"/>
        <color theme="1"/>
        <rFont val="Arial"/>
        <family val="2"/>
      </rPr>
      <t xml:space="preserve"> CORTO ARTESANAL</t>
    </r>
  </si>
  <si>
    <r>
      <t xml:space="preserve">*CABEZAL ROSCA </t>
    </r>
    <r>
      <rPr>
        <b/>
        <sz val="14"/>
        <color theme="1"/>
        <rFont val="Arial"/>
        <family val="2"/>
      </rPr>
      <t>1ª MARCA</t>
    </r>
    <r>
      <rPr>
        <sz val="14"/>
        <color theme="1"/>
        <rFont val="Arial"/>
        <family val="2"/>
      </rPr>
      <t xml:space="preserve">  LLUVIA LARGO ARTESANAL</t>
    </r>
  </si>
  <si>
    <r>
      <t xml:space="preserve">*CABEZAL </t>
    </r>
    <r>
      <rPr>
        <b/>
        <sz val="14"/>
        <color theme="1"/>
        <rFont val="Arial"/>
        <family val="2"/>
      </rPr>
      <t>LA OVAL</t>
    </r>
    <r>
      <rPr>
        <sz val="14"/>
        <color theme="1"/>
        <rFont val="Arial"/>
        <family val="2"/>
      </rPr>
      <t xml:space="preserve"> TRANSFERENCIA DE BIDET</t>
    </r>
  </si>
  <si>
    <r>
      <t xml:space="preserve">*CABEZAL </t>
    </r>
    <r>
      <rPr>
        <b/>
        <sz val="14"/>
        <color theme="1"/>
        <rFont val="Arial"/>
        <family val="2"/>
      </rPr>
      <t>LA OVAL</t>
    </r>
    <r>
      <rPr>
        <sz val="14"/>
        <color theme="1"/>
        <rFont val="Arial"/>
        <family val="2"/>
      </rPr>
      <t xml:space="preserve"> TRANSFERENCIA DE LLUVIA</t>
    </r>
  </si>
  <si>
    <r>
      <t xml:space="preserve">*CABEZAL LATERAL BAÑERA </t>
    </r>
    <r>
      <rPr>
        <b/>
        <sz val="14"/>
        <color theme="1"/>
        <rFont val="Arial"/>
        <family val="2"/>
      </rPr>
      <t>HIDRONORTE</t>
    </r>
  </si>
  <si>
    <r>
      <t xml:space="preserve">*CABEZAL MESADA-LAVATORIO </t>
    </r>
    <r>
      <rPr>
        <b/>
        <sz val="14"/>
        <color theme="1"/>
        <rFont val="Arial"/>
        <family val="2"/>
      </rPr>
      <t>HIDRONORTE</t>
    </r>
  </si>
  <si>
    <r>
      <t xml:space="preserve">*CABEZAL </t>
    </r>
    <r>
      <rPr>
        <b/>
        <sz val="14"/>
        <color theme="1"/>
        <rFont val="Arial"/>
        <family val="2"/>
      </rPr>
      <t>ROCA</t>
    </r>
    <r>
      <rPr>
        <sz val="14"/>
        <color theme="1"/>
        <rFont val="Arial"/>
        <family val="2"/>
      </rPr>
      <t xml:space="preserve"> MESADA,LAVATORIO,LATERAL LLUVIA ESTRÍA FINA</t>
    </r>
  </si>
  <si>
    <r>
      <t xml:space="preserve">*CABEZAL </t>
    </r>
    <r>
      <rPr>
        <b/>
        <sz val="14"/>
        <color theme="1"/>
        <rFont val="Arial"/>
        <family val="2"/>
      </rPr>
      <t>HIDROMET</t>
    </r>
    <r>
      <rPr>
        <sz val="14"/>
        <color theme="1"/>
        <rFont val="Arial"/>
        <family val="2"/>
      </rPr>
      <t xml:space="preserve"> TRANSF. DUCHA,BIDET E </t>
    </r>
    <r>
      <rPr>
        <b/>
        <sz val="14"/>
        <color theme="1"/>
        <rFont val="Arial"/>
        <family val="2"/>
      </rPr>
      <t>HIDRONORTE (cod.DISA 2155)</t>
    </r>
  </si>
  <si>
    <r>
      <t xml:space="preserve">*CABEZAL </t>
    </r>
    <r>
      <rPr>
        <b/>
        <sz val="14"/>
        <color theme="1"/>
        <rFont val="Arial"/>
        <family val="2"/>
      </rPr>
      <t xml:space="preserve">ARTESANAL </t>
    </r>
    <r>
      <rPr>
        <sz val="14"/>
        <color theme="1"/>
        <rFont val="Arial"/>
        <family val="2"/>
      </rPr>
      <t xml:space="preserve">LAVATORIO,BIDET ROSCA GRUESA </t>
    </r>
    <r>
      <rPr>
        <b/>
        <sz val="14"/>
        <color theme="1"/>
        <rFont val="Arial"/>
        <family val="2"/>
      </rPr>
      <t>(cod.DISA 2129)</t>
    </r>
  </si>
  <si>
    <r>
      <t xml:space="preserve">*CABEZAL </t>
    </r>
    <r>
      <rPr>
        <b/>
        <sz val="14"/>
        <color theme="1"/>
        <rFont val="Arial"/>
        <family val="2"/>
      </rPr>
      <t>ARTESANAL</t>
    </r>
    <r>
      <rPr>
        <sz val="14"/>
        <color theme="1"/>
        <rFont val="Arial"/>
        <family val="2"/>
      </rPr>
      <t xml:space="preserve"> LLUVIA ROSCA GRUESA</t>
    </r>
  </si>
  <si>
    <r>
      <t xml:space="preserve">*CABEZAL </t>
    </r>
    <r>
      <rPr>
        <b/>
        <sz val="14"/>
        <color theme="1"/>
        <rFont val="Arial"/>
        <family val="2"/>
      </rPr>
      <t>ARTESANAL</t>
    </r>
    <r>
      <rPr>
        <sz val="14"/>
        <color theme="1"/>
        <rFont val="Arial"/>
        <family val="2"/>
      </rPr>
      <t xml:space="preserve"> TRANSFERENCIA BIDET ROSCA GRUESA</t>
    </r>
  </si>
  <si>
    <r>
      <t xml:space="preserve">*CABEZAL CORTO MESADA TIPO </t>
    </r>
    <r>
      <rPr>
        <b/>
        <sz val="14"/>
        <color theme="1"/>
        <rFont val="Arial"/>
        <family val="2"/>
      </rPr>
      <t xml:space="preserve">1º MARCA </t>
    </r>
    <r>
      <rPr>
        <b/>
        <i/>
        <sz val="14"/>
        <color theme="1"/>
        <rFont val="Arial"/>
        <family val="2"/>
      </rPr>
      <t xml:space="preserve">CREIN </t>
    </r>
    <r>
      <rPr>
        <b/>
        <sz val="14"/>
        <color theme="1"/>
        <rFont val="Arial"/>
        <family val="2"/>
      </rPr>
      <t>(cod.DISA 2139)</t>
    </r>
  </si>
  <si>
    <r>
      <t xml:space="preserve">*CABEZAL  </t>
    </r>
    <r>
      <rPr>
        <b/>
        <sz val="14"/>
        <color theme="1"/>
        <rFont val="Arial"/>
        <family val="2"/>
      </rPr>
      <t xml:space="preserve">ECONÓMICO 1ª MARCA </t>
    </r>
    <r>
      <rPr>
        <sz val="14"/>
        <color theme="1"/>
        <rFont val="Arial"/>
        <family val="2"/>
      </rPr>
      <t>MODIFICADO</t>
    </r>
    <r>
      <rPr>
        <b/>
        <sz val="14"/>
        <color theme="1"/>
        <rFont val="Arial"/>
        <family val="2"/>
      </rPr>
      <t xml:space="preserve"> </t>
    </r>
    <r>
      <rPr>
        <sz val="14"/>
        <color theme="1"/>
        <rFont val="Arial"/>
        <family val="2"/>
      </rPr>
      <t>VÁSTAGO CORTO</t>
    </r>
  </si>
  <si>
    <r>
      <t>*CABEZAL TRANSFERENCIA DUCHA</t>
    </r>
    <r>
      <rPr>
        <b/>
        <sz val="14"/>
        <color theme="1"/>
        <rFont val="Arial"/>
        <family val="2"/>
      </rPr>
      <t xml:space="preserve"> MALENA/ARIZONA/20 PLUS/61 PLUS.</t>
    </r>
  </si>
  <si>
    <r>
      <t xml:space="preserve">*CABEZAL </t>
    </r>
    <r>
      <rPr>
        <b/>
        <sz val="14"/>
        <color theme="1"/>
        <rFont val="Arial"/>
        <family val="2"/>
      </rPr>
      <t xml:space="preserve">ECONÓMICO 1ª MARCA </t>
    </r>
    <r>
      <rPr>
        <sz val="14"/>
        <color theme="1"/>
        <rFont val="Arial"/>
        <family val="2"/>
      </rPr>
      <t xml:space="preserve">TRANSFERENCIA BIDET </t>
    </r>
    <r>
      <rPr>
        <b/>
        <sz val="14"/>
        <color theme="1"/>
        <rFont val="Arial"/>
        <family val="2"/>
      </rPr>
      <t>(cod.DISA 2138)</t>
    </r>
  </si>
  <si>
    <r>
      <t xml:space="preserve">*CABEZAL </t>
    </r>
    <r>
      <rPr>
        <b/>
        <sz val="14"/>
        <color theme="1"/>
        <rFont val="Arial"/>
        <family val="2"/>
      </rPr>
      <t xml:space="preserve">ECONÓMICO 1ª MARCA </t>
    </r>
    <r>
      <rPr>
        <sz val="14"/>
        <color theme="1"/>
        <rFont val="Arial"/>
        <family val="2"/>
      </rPr>
      <t>TRANSFERENCIA LLUVIA</t>
    </r>
    <r>
      <rPr>
        <b/>
        <sz val="14"/>
        <color theme="1"/>
        <rFont val="Arial"/>
        <family val="2"/>
      </rPr>
      <t xml:space="preserve"> (cod.DISA 2137</t>
    </r>
    <r>
      <rPr>
        <sz val="14"/>
        <color theme="1"/>
        <rFont val="Arial"/>
        <family val="2"/>
      </rPr>
      <t>)</t>
    </r>
  </si>
  <si>
    <r>
      <t xml:space="preserve">*CABEZAL </t>
    </r>
    <r>
      <rPr>
        <b/>
        <sz val="14"/>
        <color theme="1"/>
        <rFont val="Arial"/>
        <family val="2"/>
      </rPr>
      <t xml:space="preserve">LATINA </t>
    </r>
    <r>
      <rPr>
        <sz val="14"/>
        <color theme="1"/>
        <rFont val="Arial"/>
        <family val="2"/>
      </rPr>
      <t>LAVATORIO Y BIDET, ESTRÍA FINA</t>
    </r>
  </si>
  <si>
    <r>
      <t xml:space="preserve">*CABEZAL </t>
    </r>
    <r>
      <rPr>
        <b/>
        <sz val="14"/>
        <color theme="1"/>
        <rFont val="Arial"/>
        <family val="2"/>
      </rPr>
      <t xml:space="preserve">LATINA </t>
    </r>
    <r>
      <rPr>
        <sz val="14"/>
        <color theme="1"/>
        <rFont val="Arial"/>
        <family val="2"/>
      </rPr>
      <t>DUCHA EMBUTIR</t>
    </r>
    <r>
      <rPr>
        <b/>
        <sz val="14"/>
        <color theme="1"/>
        <rFont val="Arial"/>
        <family val="2"/>
      </rPr>
      <t xml:space="preserve"> </t>
    </r>
    <r>
      <rPr>
        <sz val="14"/>
        <color theme="1"/>
        <rFont val="Arial"/>
        <family val="2"/>
      </rPr>
      <t xml:space="preserve"> ESTRÍA FINA</t>
    </r>
  </si>
  <si>
    <r>
      <t xml:space="preserve">*CABEZAL </t>
    </r>
    <r>
      <rPr>
        <b/>
        <sz val="14"/>
        <color theme="1"/>
        <rFont val="Arial"/>
        <family val="2"/>
      </rPr>
      <t xml:space="preserve">LATINA </t>
    </r>
    <r>
      <rPr>
        <sz val="14"/>
        <color theme="1"/>
        <rFont val="Arial"/>
        <family val="2"/>
      </rPr>
      <t>TRANSFERENCIA DUCHA EMBUTIR</t>
    </r>
  </si>
  <si>
    <r>
      <t xml:space="preserve">*CABEZAL </t>
    </r>
    <r>
      <rPr>
        <b/>
        <sz val="14"/>
        <color theme="1"/>
        <rFont val="Arial"/>
        <family val="2"/>
      </rPr>
      <t>PEIRANO</t>
    </r>
    <r>
      <rPr>
        <sz val="14"/>
        <color theme="1"/>
        <rFont val="Arial"/>
        <family val="2"/>
      </rPr>
      <t xml:space="preserve"> ESTRIA GRUESA</t>
    </r>
  </si>
  <si>
    <r>
      <t xml:space="preserve">*CABEZAL </t>
    </r>
    <r>
      <rPr>
        <b/>
        <sz val="14"/>
        <color theme="1"/>
        <rFont val="Arial"/>
        <family val="2"/>
      </rPr>
      <t>LA TOSCANA</t>
    </r>
    <r>
      <rPr>
        <sz val="14"/>
        <color theme="1"/>
        <rFont val="Arial"/>
        <family val="2"/>
      </rPr>
      <t xml:space="preserve"> MESADA</t>
    </r>
  </si>
  <si>
    <r>
      <t xml:space="preserve">*CABEZAL </t>
    </r>
    <r>
      <rPr>
        <b/>
        <sz val="14"/>
        <color theme="1"/>
        <rFont val="Arial"/>
        <family val="2"/>
      </rPr>
      <t xml:space="preserve">ROCA </t>
    </r>
    <r>
      <rPr>
        <sz val="14"/>
        <color theme="1"/>
        <rFont val="Arial"/>
        <family val="2"/>
      </rPr>
      <t xml:space="preserve">IMPORTADO </t>
    </r>
    <r>
      <rPr>
        <b/>
        <sz val="14"/>
        <color theme="1"/>
        <rFont val="Arial"/>
        <family val="2"/>
      </rPr>
      <t>(cod.Disa 2185)</t>
    </r>
  </si>
  <si>
    <r>
      <t xml:space="preserve">*CABEZAL </t>
    </r>
    <r>
      <rPr>
        <b/>
        <sz val="14"/>
        <color theme="1"/>
        <rFont val="Arial"/>
        <family val="2"/>
      </rPr>
      <t xml:space="preserve">PEIRANO </t>
    </r>
    <r>
      <rPr>
        <sz val="14"/>
        <color theme="1"/>
        <rFont val="Arial"/>
        <family val="2"/>
      </rPr>
      <t xml:space="preserve">NO ASCENDENTE ACTUAL </t>
    </r>
    <r>
      <rPr>
        <b/>
        <sz val="14"/>
        <color theme="1"/>
        <rFont val="Arial"/>
        <family val="2"/>
      </rPr>
      <t>(cod.DISA 2158)</t>
    </r>
  </si>
  <si>
    <r>
      <t xml:space="preserve">*CABEZAL </t>
    </r>
    <r>
      <rPr>
        <b/>
        <sz val="14"/>
        <color theme="1"/>
        <rFont val="Arial"/>
        <family val="2"/>
      </rPr>
      <t xml:space="preserve">PEIRANO </t>
    </r>
    <r>
      <rPr>
        <sz val="14"/>
        <color theme="1"/>
        <rFont val="Arial"/>
        <family val="2"/>
      </rPr>
      <t>LATERAL HEXAG CORTO MESADA LIN.NVA REEMPL.CERÁM.</t>
    </r>
  </si>
  <si>
    <r>
      <t xml:space="preserve">*CABEZAL </t>
    </r>
    <r>
      <rPr>
        <b/>
        <sz val="14"/>
        <color theme="1"/>
        <rFont val="Arial"/>
        <family val="2"/>
      </rPr>
      <t xml:space="preserve">PEIRANO </t>
    </r>
    <r>
      <rPr>
        <sz val="14"/>
        <color theme="1"/>
        <rFont val="Arial"/>
        <family val="2"/>
      </rPr>
      <t>TRANSFERENCIA LINEA NUEVA</t>
    </r>
  </si>
  <si>
    <r>
      <t xml:space="preserve">*CABEZAL </t>
    </r>
    <r>
      <rPr>
        <b/>
        <sz val="14"/>
        <color theme="1"/>
        <rFont val="Arial"/>
        <family val="2"/>
      </rPr>
      <t xml:space="preserve">HIDRO'S </t>
    </r>
    <r>
      <rPr>
        <sz val="14"/>
        <color theme="1"/>
        <rFont val="Arial"/>
        <family val="2"/>
      </rPr>
      <t xml:space="preserve">CERÁMICO LARGO FRÍO C/CAPUCHÓN </t>
    </r>
    <r>
      <rPr>
        <b/>
        <sz val="14"/>
        <color theme="1"/>
        <rFont val="Arial"/>
        <family val="2"/>
      </rPr>
      <t>(cod.DISA 2151)</t>
    </r>
  </si>
  <si>
    <r>
      <t xml:space="preserve">*CABEZAL </t>
    </r>
    <r>
      <rPr>
        <b/>
        <sz val="14"/>
        <color theme="1"/>
        <rFont val="Arial"/>
        <family val="2"/>
      </rPr>
      <t>HIDRO'S</t>
    </r>
    <r>
      <rPr>
        <sz val="14"/>
        <color theme="1"/>
        <rFont val="Arial"/>
        <family val="2"/>
      </rPr>
      <t xml:space="preserve"> CERÁMICO LARGO CALIENTE C/CAPUCHÓN </t>
    </r>
    <r>
      <rPr>
        <b/>
        <sz val="14"/>
        <color theme="1"/>
        <rFont val="Arial"/>
        <family val="2"/>
      </rPr>
      <t>(cod.DISA 2151)</t>
    </r>
  </si>
  <si>
    <r>
      <t xml:space="preserve">*CABEZAL </t>
    </r>
    <r>
      <rPr>
        <b/>
        <sz val="14"/>
        <color theme="1"/>
        <rFont val="Arial"/>
        <family val="2"/>
      </rPr>
      <t>HIDROMET</t>
    </r>
    <r>
      <rPr>
        <sz val="14"/>
        <color theme="1"/>
        <rFont val="Arial"/>
        <family val="2"/>
      </rPr>
      <t xml:space="preserve"> CERÁMICO FRÍO</t>
    </r>
  </si>
  <si>
    <r>
      <t xml:space="preserve">*CABEZAL </t>
    </r>
    <r>
      <rPr>
        <b/>
        <sz val="14"/>
        <color theme="1"/>
        <rFont val="Arial"/>
        <family val="2"/>
      </rPr>
      <t>HIDROMET</t>
    </r>
    <r>
      <rPr>
        <sz val="14"/>
        <color theme="1"/>
        <rFont val="Arial"/>
        <family val="2"/>
      </rPr>
      <t xml:space="preserve"> CERÁMICO CALIENTE</t>
    </r>
  </si>
  <si>
    <r>
      <t xml:space="preserve">*CABEZAL LARGO CERÁMICO CALIENTE 1ª MARCA </t>
    </r>
    <r>
      <rPr>
        <b/>
        <sz val="14"/>
        <color theme="1"/>
        <rFont val="Arial"/>
        <family val="2"/>
      </rPr>
      <t>(cod.DISA 2146)</t>
    </r>
  </si>
  <si>
    <r>
      <t xml:space="preserve">*CABEZAL LARGO CERÁMICO FRÍO 1ª MARCA </t>
    </r>
    <r>
      <rPr>
        <b/>
        <sz val="14"/>
        <color theme="1"/>
        <rFont val="Arial"/>
        <family val="2"/>
      </rPr>
      <t>(cod.DISA 2146)</t>
    </r>
  </si>
  <si>
    <r>
      <t xml:space="preserve"> Conexión fuelle PVC </t>
    </r>
    <r>
      <rPr>
        <b/>
        <sz val="14"/>
        <color theme="1"/>
        <rFont val="Arial"/>
        <family val="2"/>
      </rPr>
      <t>DECA</t>
    </r>
    <r>
      <rPr>
        <sz val="14"/>
        <color theme="1"/>
        <rFont val="Arial"/>
        <family val="2"/>
      </rPr>
      <t xml:space="preserve"> 1.1/2</t>
    </r>
  </si>
  <si>
    <r>
      <t xml:space="preserve"> Conexión fuelle PVC </t>
    </r>
    <r>
      <rPr>
        <b/>
        <sz val="14"/>
        <color theme="1"/>
        <rFont val="Arial"/>
        <family val="2"/>
      </rPr>
      <t>DECA</t>
    </r>
    <r>
      <rPr>
        <sz val="14"/>
        <color theme="1"/>
        <rFont val="Arial"/>
        <family val="2"/>
      </rPr>
      <t xml:space="preserve"> 2</t>
    </r>
  </si>
  <si>
    <r>
      <t>*BRAZO CON FORMA Y MARIPOSA PLAST.P/FLOTANTE</t>
    </r>
    <r>
      <rPr>
        <b/>
        <sz val="14"/>
        <color theme="1"/>
        <rFont val="Arial"/>
        <family val="2"/>
      </rPr>
      <t xml:space="preserve"> IDEAL</t>
    </r>
  </si>
  <si>
    <r>
      <t>*CLAVIJA P/FLOTANTE A CODO</t>
    </r>
    <r>
      <rPr>
        <b/>
        <sz val="14"/>
        <color theme="1"/>
        <rFont val="Arial"/>
        <family val="2"/>
      </rPr>
      <t xml:space="preserve"> IDEAL</t>
    </r>
  </si>
  <si>
    <r>
      <t>*FLOTANTE PLAST.CODO C/BRAZO Y CLAV</t>
    </r>
    <r>
      <rPr>
        <b/>
        <sz val="14"/>
        <color theme="1"/>
        <rFont val="Arial"/>
        <family val="2"/>
      </rPr>
      <t>.IDEAL</t>
    </r>
  </si>
  <si>
    <r>
      <t xml:space="preserve">*FLOTANTE PLASTICO P/DEPOSITO  CADENA </t>
    </r>
    <r>
      <rPr>
        <b/>
        <sz val="14"/>
        <color theme="1"/>
        <rFont val="Arial"/>
        <family val="2"/>
      </rPr>
      <t>IDEAL</t>
    </r>
  </si>
  <si>
    <r>
      <t xml:space="preserve">*PERILLA PLASTICA P/TIRADOR </t>
    </r>
    <r>
      <rPr>
        <b/>
        <sz val="14"/>
        <color theme="1"/>
        <rFont val="Arial"/>
        <family val="2"/>
      </rPr>
      <t>IDEAL</t>
    </r>
  </si>
  <si>
    <r>
      <t xml:space="preserve">*PISTON P/FLOTANTE CODO </t>
    </r>
    <r>
      <rPr>
        <b/>
        <sz val="14"/>
        <color theme="1"/>
        <rFont val="Arial"/>
        <family val="2"/>
      </rPr>
      <t>IDEAL</t>
    </r>
  </si>
  <si>
    <r>
      <t xml:space="preserve">*TAPA CON PULSADOR PARA MOCHILAS </t>
    </r>
    <r>
      <rPr>
        <b/>
        <sz val="14"/>
        <color theme="1"/>
        <rFont val="Arial"/>
        <family val="2"/>
      </rPr>
      <t>DASH Y TRADIC.  IDEAL</t>
    </r>
  </si>
  <si>
    <r>
      <t xml:space="preserve">*TIRADOR P/OBTURADOR MOCHILA </t>
    </r>
    <r>
      <rPr>
        <b/>
        <sz val="14"/>
        <color theme="1"/>
        <rFont val="Arial"/>
        <family val="2"/>
      </rPr>
      <t>IDEAL</t>
    </r>
  </si>
  <si>
    <r>
      <t xml:space="preserve">*VALVULA ENTRADA AGUA MOCHILA </t>
    </r>
    <r>
      <rPr>
        <b/>
        <sz val="14"/>
        <color theme="1"/>
        <rFont val="Arial"/>
        <family val="2"/>
      </rPr>
      <t>DASH IDEAL</t>
    </r>
  </si>
  <si>
    <r>
      <t xml:space="preserve">*VALVULA ENTRADA AGUA MOCHILA </t>
    </r>
    <r>
      <rPr>
        <b/>
        <sz val="14"/>
        <color theme="1"/>
        <rFont val="Arial"/>
        <family val="2"/>
      </rPr>
      <t>TRADICIONAL  IDEAL</t>
    </r>
  </si>
  <si>
    <r>
      <t xml:space="preserve">*CAMARA SILENCIOSA </t>
    </r>
    <r>
      <rPr>
        <b/>
        <sz val="14"/>
        <color theme="1"/>
        <rFont val="Arial"/>
        <family val="2"/>
      </rPr>
      <t>FLUMAX</t>
    </r>
  </si>
  <si>
    <r>
      <t xml:space="preserve">*FLOTANTE INTERCAMBIABLE H.A CODO </t>
    </r>
    <r>
      <rPr>
        <b/>
        <sz val="14"/>
        <color theme="1"/>
        <rFont val="Arial"/>
        <family val="2"/>
      </rPr>
      <t>FLUMAX</t>
    </r>
  </si>
  <si>
    <r>
      <t>*FLOTANTE INTERCAMBIABLE M.A CODO</t>
    </r>
    <r>
      <rPr>
        <b/>
        <sz val="14"/>
        <color theme="1"/>
        <rFont val="Arial"/>
        <family val="2"/>
      </rPr>
      <t xml:space="preserve"> FLUMAX</t>
    </r>
  </si>
  <si>
    <r>
      <t xml:space="preserve">*FLOTANTE INTERCAMBIABLE M.CENTRAL </t>
    </r>
    <r>
      <rPr>
        <b/>
        <sz val="14"/>
        <color theme="1"/>
        <rFont val="Arial"/>
        <family val="2"/>
      </rPr>
      <t>FLUMAX</t>
    </r>
  </si>
  <si>
    <r>
      <t xml:space="preserve">*FLOTANTE BRONCE INTERCAMBIABLE </t>
    </r>
    <r>
      <rPr>
        <b/>
        <sz val="14"/>
        <color theme="1"/>
        <rFont val="Arial"/>
        <family val="2"/>
      </rPr>
      <t>FRANKLIN</t>
    </r>
  </si>
  <si>
    <r>
      <t xml:space="preserve">*PISTON DE BRONCE </t>
    </r>
    <r>
      <rPr>
        <b/>
        <sz val="14"/>
        <color theme="1"/>
        <rFont val="Arial"/>
        <family val="2"/>
      </rPr>
      <t>FRANKLIN</t>
    </r>
  </si>
  <si>
    <r>
      <t>*ARANDELA DE AJUSTE DESCARGA CODO</t>
    </r>
    <r>
      <rPr>
        <b/>
        <sz val="14"/>
        <color theme="1"/>
        <rFont val="Arial"/>
        <family val="2"/>
      </rPr>
      <t xml:space="preserve"> CAPEA</t>
    </r>
  </si>
  <si>
    <r>
      <t xml:space="preserve">*CODO C/TUERCA Y ARANDELA P/DESCARGA </t>
    </r>
    <r>
      <rPr>
        <b/>
        <sz val="14"/>
        <color theme="1"/>
        <rFont val="Arial"/>
        <family val="2"/>
      </rPr>
      <t>CAPEA</t>
    </r>
  </si>
  <si>
    <r>
      <t>*DESCARGA DE APOYO P/MOCHILA</t>
    </r>
    <r>
      <rPr>
        <b/>
        <sz val="14"/>
        <color theme="1"/>
        <rFont val="Arial"/>
        <family val="2"/>
      </rPr>
      <t xml:space="preserve"> CAPEA</t>
    </r>
  </si>
  <si>
    <r>
      <t xml:space="preserve">*DESCARGA A CODO P/MOCHILA </t>
    </r>
    <r>
      <rPr>
        <b/>
        <sz val="14"/>
        <color theme="1"/>
        <rFont val="Arial"/>
        <family val="2"/>
      </rPr>
      <t>CAPEA</t>
    </r>
  </si>
  <si>
    <r>
      <t xml:space="preserve">*DESCARGA DE APOYO </t>
    </r>
    <r>
      <rPr>
        <b/>
        <sz val="14"/>
        <color theme="1"/>
        <rFont val="Arial"/>
        <family val="2"/>
      </rPr>
      <t xml:space="preserve">CAPEA-DELTA </t>
    </r>
    <r>
      <rPr>
        <sz val="14"/>
        <color theme="1"/>
        <rFont val="Arial"/>
        <family val="2"/>
      </rPr>
      <t>CON FLAPPER</t>
    </r>
  </si>
  <si>
    <r>
      <t xml:space="preserve">*PERILLA PLASTICA P/TIRADOR </t>
    </r>
    <r>
      <rPr>
        <b/>
        <sz val="14"/>
        <color theme="1"/>
        <rFont val="Arial"/>
        <family val="2"/>
      </rPr>
      <t>CAPEA-DELTA</t>
    </r>
  </si>
  <si>
    <r>
      <t xml:space="preserve">*PERILLA C/TIRADOR P/MOCHILA </t>
    </r>
    <r>
      <rPr>
        <b/>
        <sz val="14"/>
        <color theme="1"/>
        <rFont val="Arial"/>
        <family val="2"/>
      </rPr>
      <t>CAPEA-VENECIA</t>
    </r>
  </si>
  <si>
    <r>
      <t xml:space="preserve">*PISTON P/VALVULA </t>
    </r>
    <r>
      <rPr>
        <b/>
        <sz val="14"/>
        <color theme="1"/>
        <rFont val="Arial"/>
        <family val="2"/>
      </rPr>
      <t>CAPEA-DELTA</t>
    </r>
  </si>
  <si>
    <r>
      <t>*TOPE DE GOMA P/PISTON VALVULA</t>
    </r>
    <r>
      <rPr>
        <b/>
        <sz val="14"/>
        <color theme="1"/>
        <rFont val="Arial"/>
        <family val="2"/>
      </rPr>
      <t xml:space="preserve"> CAPEA-DELTA</t>
    </r>
  </si>
  <si>
    <r>
      <t xml:space="preserve">*TUERCA C/ARANDELA P/CODO </t>
    </r>
    <r>
      <rPr>
        <b/>
        <sz val="14"/>
        <color theme="1"/>
        <rFont val="Arial"/>
        <family val="2"/>
      </rPr>
      <t>CAPEA</t>
    </r>
  </si>
  <si>
    <r>
      <t xml:space="preserve">*TUERCA AJUSTE P/DESCARGA APOYO </t>
    </r>
    <r>
      <rPr>
        <b/>
        <sz val="14"/>
        <color theme="1"/>
        <rFont val="Arial"/>
        <family val="2"/>
      </rPr>
      <t>CAPEA</t>
    </r>
  </si>
  <si>
    <r>
      <t xml:space="preserve">*VALVULA ENTRADA AGUA </t>
    </r>
    <r>
      <rPr>
        <b/>
        <sz val="14"/>
        <color theme="1"/>
        <rFont val="Arial"/>
        <family val="2"/>
      </rPr>
      <t>CAPEA-DELTA</t>
    </r>
  </si>
  <si>
    <r>
      <t xml:space="preserve">*ASIENTO P/OBTURADOR MOCHILA </t>
    </r>
    <r>
      <rPr>
        <b/>
        <sz val="14"/>
        <color theme="1"/>
        <rFont val="Arial"/>
        <family val="2"/>
      </rPr>
      <t>FERRUM</t>
    </r>
  </si>
  <si>
    <r>
      <t>*ADAPTADOR BRONCE 5/16" X 1/2" VALVULA</t>
    </r>
    <r>
      <rPr>
        <b/>
        <sz val="14"/>
        <color theme="1"/>
        <rFont val="Arial"/>
        <family val="2"/>
      </rPr>
      <t xml:space="preserve"> FERRUM</t>
    </r>
  </si>
  <si>
    <r>
      <t xml:space="preserve">*ARANDELA T 80 PLANA P/APOYO MOCHILA </t>
    </r>
    <r>
      <rPr>
        <b/>
        <sz val="14"/>
        <color theme="1"/>
        <rFont val="Arial"/>
        <family val="2"/>
      </rPr>
      <t>SIMIL ORIGINAL</t>
    </r>
  </si>
  <si>
    <r>
      <t xml:space="preserve">*ARANDELA T 66 AJUSTE CODO </t>
    </r>
    <r>
      <rPr>
        <b/>
        <sz val="14"/>
        <color theme="1"/>
        <rFont val="Arial"/>
        <family val="2"/>
      </rPr>
      <t>FERRUM</t>
    </r>
  </si>
  <si>
    <r>
      <t>*ARANDELA AJUSTE TORNILLO</t>
    </r>
    <r>
      <rPr>
        <b/>
        <sz val="14"/>
        <color theme="1"/>
        <rFont val="Arial"/>
        <family val="2"/>
      </rPr>
      <t xml:space="preserve"> FENIX</t>
    </r>
  </si>
  <si>
    <r>
      <t xml:space="preserve">*PALANCA </t>
    </r>
    <r>
      <rPr>
        <b/>
        <sz val="14"/>
        <color theme="1"/>
        <rFont val="Arial"/>
        <family val="2"/>
      </rPr>
      <t xml:space="preserve">ANDINA </t>
    </r>
    <r>
      <rPr>
        <sz val="14"/>
        <color theme="1"/>
        <rFont val="Arial"/>
        <family val="2"/>
      </rPr>
      <t>PLASTICA BLANCA</t>
    </r>
  </si>
  <si>
    <r>
      <t xml:space="preserve">*PALANCA </t>
    </r>
    <r>
      <rPr>
        <b/>
        <sz val="14"/>
        <color theme="1"/>
        <rFont val="Arial"/>
        <family val="2"/>
      </rPr>
      <t>ANDINA</t>
    </r>
    <r>
      <rPr>
        <sz val="14"/>
        <color theme="1"/>
        <rFont val="Arial"/>
        <family val="2"/>
      </rPr>
      <t xml:space="preserve"> PLASTICA CROMO</t>
    </r>
  </si>
  <si>
    <r>
      <t xml:space="preserve">*PALANCA </t>
    </r>
    <r>
      <rPr>
        <b/>
        <sz val="14"/>
        <color theme="1"/>
        <rFont val="Arial"/>
        <family val="2"/>
      </rPr>
      <t xml:space="preserve">ANDINA </t>
    </r>
    <r>
      <rPr>
        <sz val="14"/>
        <color theme="1"/>
        <rFont val="Arial"/>
        <family val="2"/>
      </rPr>
      <t>PLASTICA BLANCA NUEVA</t>
    </r>
  </si>
  <si>
    <r>
      <t>*PALANCA</t>
    </r>
    <r>
      <rPr>
        <b/>
        <sz val="14"/>
        <color theme="1"/>
        <rFont val="Arial"/>
        <family val="2"/>
      </rPr>
      <t xml:space="preserve"> ANDINA</t>
    </r>
    <r>
      <rPr>
        <sz val="14"/>
        <color theme="1"/>
        <rFont val="Arial"/>
        <family val="2"/>
      </rPr>
      <t xml:space="preserve"> METALICA</t>
    </r>
  </si>
  <si>
    <r>
      <t xml:space="preserve">*TUERCA DE AJUSTE P/DESCARGAS </t>
    </r>
    <r>
      <rPr>
        <b/>
        <sz val="14"/>
        <color theme="1"/>
        <rFont val="Arial"/>
        <family val="2"/>
      </rPr>
      <t>FERRUM</t>
    </r>
  </si>
  <si>
    <r>
      <t xml:space="preserve">*RESORTE PARA BOTON </t>
    </r>
    <r>
      <rPr>
        <b/>
        <sz val="14"/>
        <color theme="1"/>
        <rFont val="Arial"/>
        <family val="2"/>
      </rPr>
      <t>FRANKLIN</t>
    </r>
  </si>
  <si>
    <r>
      <t xml:space="preserve">*RESORTE PARA BOTON </t>
    </r>
    <r>
      <rPr>
        <b/>
        <sz val="14"/>
        <color theme="1"/>
        <rFont val="Arial"/>
        <family val="2"/>
      </rPr>
      <t>IDEAL</t>
    </r>
    <r>
      <rPr>
        <sz val="14"/>
        <color theme="1"/>
        <rFont val="Arial"/>
        <family val="2"/>
      </rPr>
      <t xml:space="preserve"> CORTO</t>
    </r>
  </si>
  <si>
    <r>
      <t xml:space="preserve">*RESORTE PARA BOTON </t>
    </r>
    <r>
      <rPr>
        <b/>
        <sz val="14"/>
        <color theme="1"/>
        <rFont val="Arial"/>
        <family val="2"/>
      </rPr>
      <t>IDEAL</t>
    </r>
    <r>
      <rPr>
        <sz val="14"/>
        <color theme="1"/>
        <rFont val="Arial"/>
        <family val="2"/>
      </rPr>
      <t xml:space="preserve"> LARGO</t>
    </r>
  </si>
  <si>
    <r>
      <t xml:space="preserve">*RESORTE PARA BOTON </t>
    </r>
    <r>
      <rPr>
        <b/>
        <sz val="14"/>
        <color theme="1"/>
        <rFont val="Arial"/>
        <family val="2"/>
      </rPr>
      <t>IDEAL</t>
    </r>
    <r>
      <rPr>
        <sz val="14"/>
        <color theme="1"/>
        <rFont val="Arial"/>
        <family val="2"/>
      </rPr>
      <t xml:space="preserve"> CONICO LEGITIMO</t>
    </r>
  </si>
  <si>
    <r>
      <t xml:space="preserve">*RESORTE PARA BOTON </t>
    </r>
    <r>
      <rPr>
        <b/>
        <sz val="14"/>
        <color theme="1"/>
        <rFont val="Arial"/>
        <family val="2"/>
      </rPr>
      <t xml:space="preserve">IDEAL </t>
    </r>
    <r>
      <rPr>
        <sz val="14"/>
        <color theme="1"/>
        <rFont val="Arial"/>
        <family val="2"/>
      </rPr>
      <t>ACERO INOXIDABLE LEGITIMO</t>
    </r>
  </si>
  <si>
    <r>
      <t xml:space="preserve">*RESORTE PARA BOTON </t>
    </r>
    <r>
      <rPr>
        <b/>
        <sz val="14"/>
        <color theme="1"/>
        <rFont val="Arial"/>
        <family val="2"/>
      </rPr>
      <t>FERRUM</t>
    </r>
    <r>
      <rPr>
        <sz val="14"/>
        <color theme="1"/>
        <rFont val="Arial"/>
        <family val="2"/>
      </rPr>
      <t xml:space="preserve"> ACERO INOXIDABLE</t>
    </r>
  </si>
  <si>
    <r>
      <t>*SOPORTE TAPA INODORO</t>
    </r>
    <r>
      <rPr>
        <b/>
        <sz val="14"/>
        <color theme="1"/>
        <rFont val="Arial"/>
        <family val="2"/>
      </rPr>
      <t xml:space="preserve"> ARIEL BUTACA 414</t>
    </r>
  </si>
  <si>
    <r>
      <t xml:space="preserve">*SOPORTE TAPA INODORO </t>
    </r>
    <r>
      <rPr>
        <b/>
        <sz val="14"/>
        <color theme="1"/>
        <rFont val="Arial"/>
        <family val="2"/>
      </rPr>
      <t>ARIEL CORTO FLORENCIA 421</t>
    </r>
  </si>
  <si>
    <r>
      <t xml:space="preserve">*SOPORTE TAPA INODORO </t>
    </r>
    <r>
      <rPr>
        <b/>
        <sz val="14"/>
        <color theme="1"/>
        <rFont val="Arial"/>
        <family val="2"/>
      </rPr>
      <t>ARIEL LARGO PILAR 406</t>
    </r>
  </si>
  <si>
    <r>
      <t xml:space="preserve">*SOPORTE TAPA INODORO </t>
    </r>
    <r>
      <rPr>
        <b/>
        <sz val="14"/>
        <color theme="1"/>
        <rFont val="Arial"/>
        <family val="2"/>
      </rPr>
      <t>DACCORD ECONOMICO 131-132</t>
    </r>
  </si>
  <si>
    <r>
      <t>*SOPORTE TAPA INODORO</t>
    </r>
    <r>
      <rPr>
        <b/>
        <sz val="14"/>
        <color theme="1"/>
        <rFont val="Arial"/>
        <family val="2"/>
      </rPr>
      <t xml:space="preserve"> DACCORD FLORENCIA 128</t>
    </r>
  </si>
  <si>
    <r>
      <t xml:space="preserve">*SOPORTE TAPA INODORO </t>
    </r>
    <r>
      <rPr>
        <b/>
        <sz val="14"/>
        <color theme="1"/>
        <rFont val="Arial"/>
        <family val="2"/>
      </rPr>
      <t>DACCORD PILAR 127</t>
    </r>
  </si>
  <si>
    <r>
      <t>*SOPORTE TAPA INODORO</t>
    </r>
    <r>
      <rPr>
        <b/>
        <sz val="14"/>
        <color theme="1"/>
        <rFont val="Arial"/>
        <family val="2"/>
      </rPr>
      <t xml:space="preserve"> FERRUM ADRIATICO-PILAR</t>
    </r>
  </si>
  <si>
    <r>
      <t xml:space="preserve">*SOPORTE TAPA INODORO </t>
    </r>
    <r>
      <rPr>
        <b/>
        <sz val="14"/>
        <color theme="1"/>
        <rFont val="Arial"/>
        <family val="2"/>
      </rPr>
      <t>CAMILLO</t>
    </r>
  </si>
  <si>
    <r>
      <t xml:space="preserve">*SOPORTE TAPA INODORO </t>
    </r>
    <r>
      <rPr>
        <b/>
        <sz val="14"/>
        <color theme="1"/>
        <rFont val="Arial"/>
        <family val="2"/>
      </rPr>
      <t>MONKOTO</t>
    </r>
  </si>
  <si>
    <r>
      <t xml:space="preserve">*SOPORTE TAPA INODORO </t>
    </r>
    <r>
      <rPr>
        <b/>
        <sz val="14"/>
        <color theme="1"/>
        <rFont val="Arial"/>
        <family val="2"/>
      </rPr>
      <t>NEO-PLAX 610</t>
    </r>
  </si>
  <si>
    <r>
      <t xml:space="preserve">*SOPORTE TAPA INODORO </t>
    </r>
    <r>
      <rPr>
        <b/>
        <sz val="14"/>
        <color theme="1"/>
        <rFont val="Arial"/>
        <family val="2"/>
      </rPr>
      <t>NEO-PLAX 700</t>
    </r>
  </si>
  <si>
    <r>
      <t xml:space="preserve">*SOPORTE TAPA INODORO </t>
    </r>
    <r>
      <rPr>
        <b/>
        <sz val="14"/>
        <color theme="1"/>
        <rFont val="Arial"/>
        <family val="2"/>
      </rPr>
      <t>NEO-PLAX 740</t>
    </r>
  </si>
  <si>
    <r>
      <t xml:space="preserve">*SOPORTE TAPA INODORO </t>
    </r>
    <r>
      <rPr>
        <b/>
        <sz val="14"/>
        <color theme="1"/>
        <rFont val="Arial"/>
        <family val="2"/>
      </rPr>
      <t>PLASTIVERSAL</t>
    </r>
  </si>
  <si>
    <r>
      <t xml:space="preserve">*SOPORTE TAPA INODORO </t>
    </r>
    <r>
      <rPr>
        <b/>
        <sz val="14"/>
        <color theme="1"/>
        <rFont val="Arial"/>
        <family val="2"/>
      </rPr>
      <t>TIGRE</t>
    </r>
  </si>
  <si>
    <r>
      <t xml:space="preserve">*SOPORTE TAPA INODORO </t>
    </r>
    <r>
      <rPr>
        <b/>
        <sz val="14"/>
        <color theme="1"/>
        <rFont val="Arial"/>
        <family val="2"/>
      </rPr>
      <t>URATEL GRUESO FLORENCIA</t>
    </r>
  </si>
  <si>
    <r>
      <t xml:space="preserve">*SOPORTE TAPA INODORO </t>
    </r>
    <r>
      <rPr>
        <b/>
        <sz val="14"/>
        <color theme="1"/>
        <rFont val="Arial"/>
        <family val="2"/>
      </rPr>
      <t>URATEL FINO PILAR</t>
    </r>
  </si>
  <si>
    <r>
      <t xml:space="preserve">*SOPORTE TAPA MADERA INODORO </t>
    </r>
    <r>
      <rPr>
        <b/>
        <sz val="14"/>
        <color theme="1"/>
        <rFont val="Arial"/>
        <family val="2"/>
      </rPr>
      <t>UNIVERSAL</t>
    </r>
  </si>
  <si>
    <r>
      <t xml:space="preserve">*SOPORTE TAPA MADERA INODORO </t>
    </r>
    <r>
      <rPr>
        <b/>
        <sz val="14"/>
        <color theme="1"/>
        <rFont val="Arial"/>
        <family val="2"/>
      </rPr>
      <t>FERRUM</t>
    </r>
  </si>
  <si>
    <r>
      <t xml:space="preserve">*TAPA INTERNA FIBROCEMENTO </t>
    </r>
    <r>
      <rPr>
        <b/>
        <sz val="14"/>
        <color theme="1"/>
        <rFont val="Arial"/>
        <family val="2"/>
      </rPr>
      <t>FRANKLIN</t>
    </r>
  </si>
  <si>
    <r>
      <t>*TAPA INTERNA FIBROCEMENTO</t>
    </r>
    <r>
      <rPr>
        <b/>
        <sz val="14"/>
        <color theme="1"/>
        <rFont val="Arial"/>
        <family val="2"/>
      </rPr>
      <t xml:space="preserve"> FLUMAX</t>
    </r>
    <r>
      <rPr>
        <sz val="14"/>
        <color theme="1"/>
        <rFont val="Arial"/>
        <family val="2"/>
      </rPr>
      <t xml:space="preserve"> ANCHA</t>
    </r>
  </si>
  <si>
    <r>
      <t xml:space="preserve">*TAPA INTERNA FIBROCEMENTO </t>
    </r>
    <r>
      <rPr>
        <b/>
        <sz val="14"/>
        <color theme="1"/>
        <rFont val="Arial"/>
        <family val="2"/>
      </rPr>
      <t>FLUMAX</t>
    </r>
    <r>
      <rPr>
        <sz val="14"/>
        <color theme="1"/>
        <rFont val="Arial"/>
        <family val="2"/>
      </rPr>
      <t xml:space="preserve"> ANGOSTA</t>
    </r>
  </si>
  <si>
    <r>
      <t xml:space="preserve">*TAPA INTER.PLAST.SOLA P/DEPOSITO </t>
    </r>
    <r>
      <rPr>
        <b/>
        <sz val="14"/>
        <color theme="1"/>
        <rFont val="Arial"/>
        <family val="2"/>
      </rPr>
      <t>FRANKLIN</t>
    </r>
  </si>
  <si>
    <r>
      <t>*TAPA INTERNA P/DEPOSITO</t>
    </r>
    <r>
      <rPr>
        <b/>
        <sz val="14"/>
        <color theme="1"/>
        <rFont val="Arial"/>
        <family val="2"/>
      </rPr>
      <t xml:space="preserve"> FRANKLIN</t>
    </r>
    <r>
      <rPr>
        <sz val="14"/>
        <color theme="1"/>
        <rFont val="Arial"/>
        <family val="2"/>
      </rPr>
      <t xml:space="preserve"> COMPLETO</t>
    </r>
  </si>
  <si>
    <r>
      <t xml:space="preserve">*TAPA INTERNA P/DEPOSITO </t>
    </r>
    <r>
      <rPr>
        <b/>
        <sz val="14"/>
        <color theme="1"/>
        <rFont val="Arial"/>
        <family val="2"/>
      </rPr>
      <t xml:space="preserve">FRANKLIN </t>
    </r>
    <r>
      <rPr>
        <sz val="14"/>
        <color theme="1"/>
        <rFont val="Arial"/>
        <family val="2"/>
      </rPr>
      <t>NUEVO</t>
    </r>
  </si>
  <si>
    <r>
      <t>*TAPA INTERNA P/DEPOSITO</t>
    </r>
    <r>
      <rPr>
        <b/>
        <sz val="14"/>
        <color theme="1"/>
        <rFont val="Arial"/>
        <family val="2"/>
      </rPr>
      <t xml:space="preserve"> IDEAL</t>
    </r>
    <r>
      <rPr>
        <sz val="14"/>
        <color theme="1"/>
        <rFont val="Arial"/>
        <family val="2"/>
      </rPr>
      <t xml:space="preserve"> ECONOMICO</t>
    </r>
  </si>
  <si>
    <r>
      <t xml:space="preserve">*TAPA INTER.BOTON CORTO DEPOSITO </t>
    </r>
    <r>
      <rPr>
        <b/>
        <sz val="14"/>
        <color theme="1"/>
        <rFont val="Arial"/>
        <family val="2"/>
      </rPr>
      <t>IDEAL</t>
    </r>
    <r>
      <rPr>
        <sz val="14"/>
        <color theme="1"/>
        <rFont val="Arial"/>
        <family val="2"/>
      </rPr>
      <t xml:space="preserve"> LEGITIMO</t>
    </r>
  </si>
  <si>
    <r>
      <t xml:space="preserve">*TAPA INTER.BOTON LARGO DEPOSITO </t>
    </r>
    <r>
      <rPr>
        <b/>
        <sz val="14"/>
        <color theme="1"/>
        <rFont val="Arial"/>
        <family val="2"/>
      </rPr>
      <t>IDEAL</t>
    </r>
    <r>
      <rPr>
        <sz val="14"/>
        <color theme="1"/>
        <rFont val="Arial"/>
        <family val="2"/>
      </rPr>
      <t xml:space="preserve"> LEGITIMO</t>
    </r>
  </si>
  <si>
    <r>
      <t xml:space="preserve">*TAPA INT.BOTON BRONCE P/DEPOSITO </t>
    </r>
    <r>
      <rPr>
        <b/>
        <sz val="14"/>
        <color theme="1"/>
        <rFont val="Arial"/>
        <family val="2"/>
      </rPr>
      <t>IDEAL</t>
    </r>
    <r>
      <rPr>
        <sz val="14"/>
        <color theme="1"/>
        <rFont val="Arial"/>
        <family val="2"/>
      </rPr>
      <t xml:space="preserve"> LEGITIMO</t>
    </r>
  </si>
  <si>
    <r>
      <t xml:space="preserve">*TAPA INTERNA P/DEPOSITO </t>
    </r>
    <r>
      <rPr>
        <b/>
        <sz val="14"/>
        <color theme="1"/>
        <rFont val="Arial"/>
        <family val="2"/>
      </rPr>
      <t>LA PALANQUITA</t>
    </r>
  </si>
  <si>
    <r>
      <t xml:space="preserve">*TAPA INTERNA P/DEPOSITO </t>
    </r>
    <r>
      <rPr>
        <b/>
        <sz val="14"/>
        <color theme="1"/>
        <rFont val="Arial"/>
        <family val="2"/>
      </rPr>
      <t>YUNQUE</t>
    </r>
  </si>
  <si>
    <r>
      <t xml:space="preserve">*TAPA INTERNA C/CLAVIJA </t>
    </r>
    <r>
      <rPr>
        <b/>
        <sz val="14"/>
        <color theme="1"/>
        <rFont val="Arial"/>
        <family val="2"/>
      </rPr>
      <t>ARGENTA/BROOKLIN</t>
    </r>
  </si>
  <si>
    <t>IPS Desague CAÑO 110 X 4,00 MTS PLUVIAL</t>
  </si>
  <si>
    <t>1540/31</t>
  </si>
  <si>
    <t>1540/32</t>
  </si>
  <si>
    <t>Biodigestor Standard 500 lts Powerlite</t>
  </si>
  <si>
    <t>Biodigestor Standard 1000 lts Powerlite</t>
  </si>
  <si>
    <t>Caño 40 x 4 mts 1,8 Blanco</t>
  </si>
  <si>
    <t>Caño 50 x 4 mts 1,8 Blanco</t>
  </si>
  <si>
    <t>Caño 60 x 4 mts 1,8 Blanco</t>
  </si>
  <si>
    <t>Caño 100 x 4 mts 1,8 Blanco</t>
  </si>
  <si>
    <t>1280/11</t>
  </si>
  <si>
    <t>Duchador completo cromado economico</t>
  </si>
  <si>
    <t>1510/06</t>
  </si>
  <si>
    <t>Flexible 4 bar para regulador domiciliario</t>
  </si>
  <si>
    <t>Caja de vereda chica domiciliaria</t>
  </si>
  <si>
    <t>Caja de vereda grande domiciliaria</t>
  </si>
  <si>
    <t>1310/33</t>
  </si>
  <si>
    <t>1270/20</t>
  </si>
  <si>
    <t>CONEXION P/PLOMO SIN SOLDAR</t>
  </si>
  <si>
    <t>Conexión plomo 1/2 RH 1/2</t>
  </si>
  <si>
    <t>Inodoro largo Domani</t>
  </si>
  <si>
    <t>Bidet 1 agujero Domani</t>
  </si>
  <si>
    <t>1370/70</t>
  </si>
  <si>
    <t>1370/71</t>
  </si>
  <si>
    <t>1370/72</t>
  </si>
  <si>
    <t>1370/73</t>
  </si>
  <si>
    <t>1370/74</t>
  </si>
  <si>
    <t>1370/75</t>
  </si>
  <si>
    <t>1370/76</t>
  </si>
  <si>
    <t>CANILLAS LATYN PLAST BIO</t>
  </si>
  <si>
    <t>Canilla lavatorio ABS vol. Cruz cromada (LB-5317)</t>
  </si>
  <si>
    <t>Canilla lavatorio ABS cierre ceramico cromada (LB-5318)</t>
  </si>
  <si>
    <t>Canilla pared ABS pico U cromada (LB-5602)</t>
  </si>
  <si>
    <t>Canilla pared ABS pico S cromada (LB-5601)</t>
  </si>
  <si>
    <t>Canilla pared ABS pico J cromada (LB-5603)</t>
  </si>
  <si>
    <t>Canilla mesada ABS cromada (LB-5600)</t>
  </si>
  <si>
    <t>Bidet 3 agujeros Domani</t>
  </si>
  <si>
    <t>PRODUCTOS MIDORI</t>
  </si>
  <si>
    <t>Litergirio en pote x 100 g Midori</t>
  </si>
  <si>
    <t>Litergirio en pote x 250 g Midori</t>
  </si>
  <si>
    <t>Litergirio en pote x 500 g Midori</t>
  </si>
  <si>
    <t>Glicerina x 100 g Midori</t>
  </si>
  <si>
    <t>Glicerina x 250 g Midori</t>
  </si>
  <si>
    <t>Glicerina x 500 g Midori</t>
  </si>
  <si>
    <t>Adhesico pvc 60 cc Midori</t>
  </si>
  <si>
    <t>Adhesico pvc 100 cc Midori</t>
  </si>
  <si>
    <t>Adhesico pvc 250 cc Midori</t>
  </si>
  <si>
    <t>Adhesico pvc 500 cc Midori</t>
  </si>
  <si>
    <t>Adhesico pvc 1000 cc Midori</t>
  </si>
  <si>
    <t>JUEGOS DE GRIFERIA HIDROS</t>
  </si>
  <si>
    <t>1350/90</t>
  </si>
  <si>
    <t>1350/91</t>
  </si>
  <si>
    <t>1350/92</t>
  </si>
  <si>
    <t>1350/93</t>
  </si>
  <si>
    <t>1350/94</t>
  </si>
  <si>
    <t>1350/95</t>
  </si>
  <si>
    <t>1350/96</t>
  </si>
  <si>
    <t>Monocomando cocina Link Hidros</t>
  </si>
  <si>
    <t>Monocomando cocina pico bar Link Hidros</t>
  </si>
  <si>
    <t>Monocomando pared Link Hidros</t>
  </si>
  <si>
    <t>Monocomando lavatorio Link Hidros</t>
  </si>
  <si>
    <t>Monocomando bidet s/transf. Link Hidros</t>
  </si>
  <si>
    <t>Monocomando ducha exterior c/transf. Link Hidros</t>
  </si>
  <si>
    <t>Monocomando ducha embutir c/transf. Link Hidros</t>
  </si>
  <si>
    <t>Entrada migitoio 1/2 x 30 cm(AF-2400)</t>
  </si>
  <si>
    <t>Descarga migitorio 1 1/4 x 30 cm(AF-2500)</t>
  </si>
  <si>
    <t>Conexión descarga inodoro flexible 1 1/4 x 20 cm(AF-2200)</t>
  </si>
  <si>
    <t>Conexión descarga inodoro rigida 1 1/4 x 17 cm(AF-2300)</t>
  </si>
  <si>
    <t>Descarga de lavatorio flexible 1 1/4 x 50 cm(AF-2100)</t>
  </si>
  <si>
    <t>1540/61</t>
  </si>
  <si>
    <t>1540/62</t>
  </si>
  <si>
    <t>1490/09</t>
  </si>
  <si>
    <t>Reja de hierro fundido con marco 10 x 46</t>
  </si>
  <si>
    <t xml:space="preserve">PRENSAS Y CONITOS DE PVC   </t>
  </si>
  <si>
    <t>BACHAS Y PILETAS DE MARMOLINA</t>
  </si>
  <si>
    <t>VANITORYS Y ESPEJOS</t>
  </si>
  <si>
    <t>1660/50</t>
  </si>
  <si>
    <t>1660/51</t>
  </si>
  <si>
    <t>1660/52</t>
  </si>
  <si>
    <t>1660/53</t>
  </si>
  <si>
    <t>1660/54</t>
  </si>
  <si>
    <t>1660/55</t>
  </si>
  <si>
    <t>1660/56</t>
  </si>
  <si>
    <t>1660/57</t>
  </si>
  <si>
    <t>1660/58</t>
  </si>
  <si>
    <t>1660/59</t>
  </si>
  <si>
    <t>Vanitory de pino 40 cm bacha 1 agujero</t>
  </si>
  <si>
    <t>Vanitory de pino 40 cm bacha 3 agujero</t>
  </si>
  <si>
    <t>Vanitory de pino 50 cm bacha 1 agujero</t>
  </si>
  <si>
    <t>Vanitory de pino 50 cm bacha 3 agujero</t>
  </si>
  <si>
    <t>Vanitory de pino colgante 40 cm bacha 3 agujero</t>
  </si>
  <si>
    <t>Vanitory de pino colgante 40 cm bacha 1 agujero</t>
  </si>
  <si>
    <t>Vanitory negro 50 cm bacha 1 agujero</t>
  </si>
  <si>
    <t>Vanitory negro 50 cm bacha 3 agujero</t>
  </si>
  <si>
    <t>Espejo 36,4 cm x 56,5 cm marco de pino</t>
  </si>
  <si>
    <t>Espejo 36,4 cm x 76 cm marco de pino</t>
  </si>
  <si>
    <t>Decapante liquido x 100 cc Midori</t>
  </si>
  <si>
    <t>Flexible corrugado corto MH 40 p/bidet</t>
  </si>
  <si>
    <t>1630/03</t>
  </si>
  <si>
    <t>Unidad magnetica fast-on 110/20</t>
  </si>
  <si>
    <t>1660/60</t>
  </si>
  <si>
    <t>1660/61</t>
  </si>
  <si>
    <t>Vanitory de pino 60 cm bacha 1 agujero</t>
  </si>
  <si>
    <t>Vanitory de pino 60 cm bacha 3 agujero</t>
  </si>
  <si>
    <t>NIPLES DE GALVANIZADO</t>
  </si>
  <si>
    <t>1400/24</t>
  </si>
  <si>
    <t>1400/25</t>
  </si>
  <si>
    <t>1400/26</t>
  </si>
  <si>
    <t>1400/27</t>
  </si>
  <si>
    <t>1400/28</t>
  </si>
  <si>
    <t>1400/29</t>
  </si>
  <si>
    <t>1400/30</t>
  </si>
  <si>
    <t>1400/31</t>
  </si>
  <si>
    <t>1400/32</t>
  </si>
  <si>
    <t>1400/33</t>
  </si>
  <si>
    <t>1400/34</t>
  </si>
  <si>
    <t>1400/35</t>
  </si>
  <si>
    <t>1400/36</t>
  </si>
  <si>
    <t>1400/37</t>
  </si>
  <si>
    <t>1400/38</t>
  </si>
  <si>
    <t>1400/39</t>
  </si>
  <si>
    <t>1400/40</t>
  </si>
  <si>
    <t>1400/41</t>
  </si>
  <si>
    <t>1400/42</t>
  </si>
  <si>
    <t>1400/43</t>
  </si>
  <si>
    <t>1400/44</t>
  </si>
  <si>
    <t>1400/45</t>
  </si>
  <si>
    <t>1400/46</t>
  </si>
  <si>
    <t>1400/47</t>
  </si>
  <si>
    <t>1400/48</t>
  </si>
  <si>
    <t>1400/49</t>
  </si>
  <si>
    <t>Niples galvanizado 1/2 x 5</t>
  </si>
  <si>
    <t>Niples galvanizado 1/2 x 8</t>
  </si>
  <si>
    <t>Niples galvanizado 1/2 x 10</t>
  </si>
  <si>
    <t>Niples galvanizado 1/2 x 12</t>
  </si>
  <si>
    <t>Niples galvanizado 1/2 x 15</t>
  </si>
  <si>
    <t>Niples galvanizado 1/2 x 18</t>
  </si>
  <si>
    <t>Niples galvanizado 1/2 x 20</t>
  </si>
  <si>
    <t>Niples galvanizado 1/2 x 25</t>
  </si>
  <si>
    <t>Niples galvanizado 1/2 x 30</t>
  </si>
  <si>
    <t>Niples galvanizado 3/4 x 5</t>
  </si>
  <si>
    <t>Niples galvanizado 3/4 x 8</t>
  </si>
  <si>
    <t>Niples galvanizado 3/4 x 10</t>
  </si>
  <si>
    <t>Niples galvanizado 3/4 x 12</t>
  </si>
  <si>
    <t>Niples galvanizado 3/4 x 15</t>
  </si>
  <si>
    <t>Niples galvanizado 3/4 x 18</t>
  </si>
  <si>
    <t>Niples galvanizado 3/4 x 20</t>
  </si>
  <si>
    <t>Niples galvanizado 3/4 x 25</t>
  </si>
  <si>
    <t>Niples galvanizado 3/4 x 30</t>
  </si>
  <si>
    <t>Niples galvanizado 1 x 5</t>
  </si>
  <si>
    <t>Niples galvanizado 1 x 8</t>
  </si>
  <si>
    <t>Niples galvanizado 1 x 10</t>
  </si>
  <si>
    <t>Niples galvanizado 1 x 12</t>
  </si>
  <si>
    <t>Niples galvanizado 1 x 15</t>
  </si>
  <si>
    <t>Niples galvanizado 1 x 18</t>
  </si>
  <si>
    <t>Niples galvanizado 1 x 20</t>
  </si>
  <si>
    <t>Niples galvanizado 1 x 25</t>
  </si>
  <si>
    <t>1400/50</t>
  </si>
  <si>
    <t>Niples galvanizado 1 x 30</t>
  </si>
  <si>
    <t>Caño cobre 3/8 x kilo</t>
  </si>
  <si>
    <t>Caño cobre 5/16 x kilo</t>
  </si>
  <si>
    <t>1220/01K</t>
  </si>
  <si>
    <t>1220/02K</t>
  </si>
  <si>
    <t>DISCOS CORTE</t>
  </si>
  <si>
    <t>1460/61</t>
  </si>
  <si>
    <t>Adhesivo PVC Prof. Losung 125 cc c/pincel</t>
  </si>
  <si>
    <t>101EC</t>
  </si>
  <si>
    <t>Bacha simple acero (37 x 27 x 15)</t>
  </si>
  <si>
    <t>102EC</t>
  </si>
  <si>
    <t>Bacha simple acero (34 x 37 x 15)</t>
  </si>
  <si>
    <t>143EC</t>
  </si>
  <si>
    <t>Bacha simple acero (44 x 34 x 15)</t>
  </si>
  <si>
    <t>Ventosa grande</t>
  </si>
  <si>
    <t>Lluvia articulada POMBA RG con antisarro</t>
  </si>
  <si>
    <t>1170/03RF</t>
  </si>
  <si>
    <t>Lluvia articulada POMBA RF con antisarro</t>
  </si>
  <si>
    <t>PRODUCTOS ERREDE</t>
  </si>
  <si>
    <t>1460/100</t>
  </si>
  <si>
    <t>Flexible Errede 1/2 x 20 cm</t>
  </si>
  <si>
    <t>Flexible Errede 1/2 x 30 cm</t>
  </si>
  <si>
    <t>Flexible Errede 1/2 x 40 cm</t>
  </si>
  <si>
    <t>Flexible Errede 1/2 x 50 cm</t>
  </si>
  <si>
    <t>Flexible Errede 3/4 x 40 cm</t>
  </si>
  <si>
    <t>Flexible Errede 3/4 x 50 cm</t>
  </si>
  <si>
    <t>1460/101</t>
  </si>
  <si>
    <t>1460/102</t>
  </si>
  <si>
    <t>1460/103</t>
  </si>
  <si>
    <t>1460/104</t>
  </si>
  <si>
    <t>1460/105</t>
  </si>
  <si>
    <t>Camara macho 1/2 plastica Errede</t>
  </si>
  <si>
    <t>Camara Hembra 1/2 plastica Errede</t>
  </si>
  <si>
    <t>Camara izquierda Hembra 1/2 plastica Errede</t>
  </si>
  <si>
    <t>Camara izquierda macho 1/2 plastica Errede</t>
  </si>
  <si>
    <t>Camara Hembra bronce 1/2  Errede</t>
  </si>
  <si>
    <t>Camara izquierda Hembra bronce 1/2  Errede</t>
  </si>
  <si>
    <t>Sopapa bañera a codo Errede</t>
  </si>
  <si>
    <t>Receptaculo recto acero Errede</t>
  </si>
  <si>
    <t>1460/106</t>
  </si>
  <si>
    <t>1460/107</t>
  </si>
  <si>
    <t>1460/108</t>
  </si>
  <si>
    <t>1460/109</t>
  </si>
  <si>
    <t>1460/110</t>
  </si>
  <si>
    <t>1460/111</t>
  </si>
  <si>
    <t>1460/112</t>
  </si>
  <si>
    <t>1460/113</t>
  </si>
  <si>
    <t>1460/114</t>
  </si>
  <si>
    <t>Diafragma repuesto Errede</t>
  </si>
  <si>
    <t>1540/80</t>
  </si>
  <si>
    <t>1540/81</t>
  </si>
  <si>
    <t>1540/82</t>
  </si>
  <si>
    <t>1540/83</t>
  </si>
  <si>
    <t>1540/84</t>
  </si>
  <si>
    <t>Tanque 470 lts bicapa</t>
  </si>
  <si>
    <t>Tanque 500 lts Fino bicapa</t>
  </si>
  <si>
    <t>Tanque 750 lts bicapa</t>
  </si>
  <si>
    <t>Tanque 1000 lts bicapa</t>
  </si>
  <si>
    <t>1090/02</t>
  </si>
  <si>
    <t>1090/03</t>
  </si>
  <si>
    <t>Alargue monocomando corto diametro 31</t>
  </si>
  <si>
    <t>Alargue monocomando largo diametro 31</t>
  </si>
  <si>
    <t>CANILLAS PLASTICAS LATYN</t>
  </si>
  <si>
    <t>1210/30</t>
  </si>
  <si>
    <t>Canilla plastica 1/2 Latyn</t>
  </si>
  <si>
    <t>Boquilla 20 mm Latyn</t>
  </si>
  <si>
    <t>1540/77</t>
  </si>
  <si>
    <t>Tanque Rotoplas beige SLIM 500 lts multicapa</t>
  </si>
  <si>
    <t>PRODUCTOS DEALER</t>
  </si>
  <si>
    <t>FLAPPER RIGIDO  DEALER macho (930212)</t>
  </si>
  <si>
    <t>CODO PARA DESCARGA ROCA  2 (440229)</t>
  </si>
  <si>
    <t>CODO PARA DESCARGA ROCA  1 1/2 (440219)</t>
  </si>
  <si>
    <t>DESCARGA APOYO  ROCA NACIONAL (430222)</t>
  </si>
  <si>
    <t>*DIAFRAGMA-OBTURADOR PARA DESCARGA ROCA ORIGINAL</t>
  </si>
  <si>
    <t>*VALVULA ENTRADA  3/8" ROCA ORIGINAL (415010)</t>
  </si>
  <si>
    <t>*VALVULA ENTRADA  1/2" ROCA ORIGINAL (415022)</t>
  </si>
  <si>
    <t>*ARANDELA O JUNTA DE APOYO MOCHILA MOTTA</t>
  </si>
  <si>
    <t>*DIAFRAGMA OBTURADOR P/DESCARGA MOTTA</t>
  </si>
  <si>
    <t>ARANDELA CONICA PVC 1/2</t>
  </si>
  <si>
    <t>ARANDELA CONICA PVC 3/4</t>
  </si>
  <si>
    <t>1380/04</t>
  </si>
  <si>
    <t>Manguera riego 1/2 x 25 mts SUPER reforzada</t>
  </si>
  <si>
    <t>Manguera riego 3/4 x 25 mts SUPER reforzada</t>
  </si>
  <si>
    <t>Oring 007 serie 1,78mm(calefon numero 7)</t>
  </si>
  <si>
    <t>Oring 008 serie 1,78mm(microgarrafa)</t>
  </si>
  <si>
    <t>Oring 009 serie 1,78mm( calefon numero 9)</t>
  </si>
  <si>
    <t>Oring 010 serie 1,78mm( vastago piaza modelo nuevo)</t>
  </si>
  <si>
    <t>Oring 016 serie 1,78mm(pico movil liviano primera marca)</t>
  </si>
  <si>
    <t>Oring 108 serie 2,62mm( duchador piazza)</t>
  </si>
  <si>
    <t>Oring 109 serie 2,62mm( vastago fv)</t>
  </si>
  <si>
    <t>Oring 110 serie 2,62mm( vastago peirano y piazza mod antiguo)</t>
  </si>
  <si>
    <t>Oring 112 serie 2,62mm(pico movil importado fv)</t>
  </si>
  <si>
    <t>Oring 114 serie 2,62mm(pico movil fv modelo nuevo)</t>
  </si>
  <si>
    <t>Oring 115 serie 2,62mm(cabezal fv)</t>
  </si>
  <si>
    <t>Oring 118 serie 2,62mm(pico movil piazza)</t>
  </si>
  <si>
    <t>Oring 206 serie 3,53mm(para bidematic)</t>
  </si>
  <si>
    <t>Oring 210 serie 3,53mm(pico movil pesado fv)</t>
  </si>
  <si>
    <t>Oring 218 serie 3,53mm(monocomando 40 importado)</t>
  </si>
  <si>
    <t>Oring 124 serie 2,62mm(monocomando paso superior)</t>
  </si>
  <si>
    <t>Oring 221 serie 3,53mm( monocomando 40)</t>
  </si>
  <si>
    <t>1210/21</t>
  </si>
  <si>
    <t>Canilla plastica simple para lavarropa</t>
  </si>
  <si>
    <t>1140/102</t>
  </si>
  <si>
    <t>Bomba presurizadoora 260 wat Pluvius</t>
  </si>
  <si>
    <t>1140/103</t>
  </si>
  <si>
    <t>Bomba centrifuga 3/4 hp Pluvius (CPM-146)</t>
  </si>
  <si>
    <t>1140/104</t>
  </si>
  <si>
    <t>1140/105</t>
  </si>
  <si>
    <t>Bomba centrifuga 1 hp Pluvius (CPM-158)</t>
  </si>
  <si>
    <t>Bomba centrifuga 1 1/2 hp Pluvius (CPM-180)</t>
  </si>
  <si>
    <t>1140/106</t>
  </si>
  <si>
    <t>Bomba centrifuga 2 hp Pluvius (CPM-200)</t>
  </si>
  <si>
    <t>1140/107</t>
  </si>
  <si>
    <t>1140/108</t>
  </si>
  <si>
    <t>Bomba autoaspirante 1/2 hp Pluvius (jet-60)</t>
  </si>
  <si>
    <t>Bomba autoaspirante 1 hp Pluvius (jet-100)</t>
  </si>
  <si>
    <t>1140/109</t>
  </si>
  <si>
    <t>1140/110</t>
  </si>
  <si>
    <t>Bomba sumergible 1 hp Pluvius pozo profundo</t>
  </si>
  <si>
    <t>Bomba sumergible 1 1/2 hp Pluvius pozo profundo</t>
  </si>
  <si>
    <t>1140/111</t>
  </si>
  <si>
    <t>1140/112</t>
  </si>
  <si>
    <t>Tapa para taque con aro Powerlite</t>
  </si>
  <si>
    <t>Boquilla 25 mm Latyn</t>
  </si>
  <si>
    <t>Boquilla 32 mm Latyn</t>
  </si>
  <si>
    <t>Precio neto</t>
  </si>
  <si>
    <t>Precio + IVA</t>
  </si>
  <si>
    <t>REGULADORES GAS NATURAL</t>
  </si>
  <si>
    <t>REGULADORES GAS ENVASADO</t>
  </si>
  <si>
    <t>1510/12</t>
  </si>
  <si>
    <t>Regulador para tubo c/1 flexible</t>
  </si>
  <si>
    <t>1210/31</t>
  </si>
  <si>
    <t>Canilla plastica 3/4 Latyn</t>
  </si>
  <si>
    <t>Flexible corrugado extensible (40/50) 35 cm</t>
  </si>
  <si>
    <t>1700/142</t>
  </si>
  <si>
    <t>Llave paso esferica 50 mm manija metal Redeco</t>
  </si>
  <si>
    <t>1420/29</t>
  </si>
  <si>
    <t>Piston para flotante Egeo</t>
  </si>
  <si>
    <t>1580/58</t>
  </si>
  <si>
    <t>Termotanque electrico 20 lts Señorial</t>
  </si>
  <si>
    <t>1360/61</t>
  </si>
  <si>
    <t>1360/62</t>
  </si>
  <si>
    <t>Llave paso 20 mm c/c Compacta</t>
  </si>
  <si>
    <t>Llave paso 25 mm c/c Compacta</t>
  </si>
  <si>
    <t>1120/16</t>
  </si>
  <si>
    <t>Asiento plastico ECO Green Daccord</t>
  </si>
  <si>
    <t>Asiento oval plastico Daccord</t>
  </si>
  <si>
    <t>CORTACHORROS PLASTICOS PARA GRIFERIA</t>
  </si>
  <si>
    <t>CORTACHORROS METALICOS PARA GRIFERIA</t>
  </si>
  <si>
    <t>1260/47</t>
  </si>
  <si>
    <t>Cortachorro metalico H 22 mm</t>
  </si>
  <si>
    <t>Cortachorro metalico M 24 mm</t>
  </si>
  <si>
    <t xml:space="preserve">MANIJAS DE BRONCE  PARA LLAVES DE GAS       </t>
  </si>
  <si>
    <t>MANIJAS PARA MONOCOMANDO</t>
  </si>
  <si>
    <t>1390/11</t>
  </si>
  <si>
    <t>1390/12</t>
  </si>
  <si>
    <t>Manija plastica monocomando cocina</t>
  </si>
  <si>
    <t>Manija metalica monocomando cocina</t>
  </si>
  <si>
    <t>Grifo plastico para purgue termotanque 180°</t>
  </si>
  <si>
    <t>1330/22</t>
  </si>
  <si>
    <t>1260/48</t>
  </si>
  <si>
    <t>1300/70</t>
  </si>
  <si>
    <t>1300/71</t>
  </si>
  <si>
    <t>Flexible gas aprobado extensible 1/2 de 45 a 90 cm</t>
  </si>
  <si>
    <t>Flexible gas aprobado extensible1 /2 de 20 a 42 cm</t>
  </si>
  <si>
    <t>Flexible gas aprobado extensible 3/4 de 20 a 42 cm</t>
  </si>
  <si>
    <t>Flexible gas aprobado extensible 3/4 de 40 a 95 cm</t>
  </si>
  <si>
    <t>BOQUILLAS PARA TERMOFUSION</t>
  </si>
  <si>
    <t>Boquilla 40 mm Latyn</t>
  </si>
  <si>
    <t>Boquilla 50 mm Latyn</t>
  </si>
  <si>
    <t>Boquilla 63 mm Latyn</t>
  </si>
  <si>
    <t>Boquilla 1 pulgada Latyn</t>
  </si>
  <si>
    <t>Boquilla 1/2 pulgada Latyn</t>
  </si>
  <si>
    <t>Boquilla 3/4 pulgada Latyn</t>
  </si>
  <si>
    <t>1050/172</t>
  </si>
  <si>
    <t>1050/173</t>
  </si>
  <si>
    <t>1050/174</t>
  </si>
  <si>
    <t>1050/175</t>
  </si>
  <si>
    <t>1050/176</t>
  </si>
  <si>
    <t>1050/177</t>
  </si>
  <si>
    <t>LLAVES DE PASO ESFERICAS FUSION METALICAS</t>
  </si>
  <si>
    <t>Llave esferica fusion  metalica 25-3/4</t>
  </si>
  <si>
    <t>Llave esferica fusion  metalica 20-1/2</t>
  </si>
  <si>
    <t>Llave esferica fusion  metalica 32-1</t>
  </si>
  <si>
    <t>1360/63</t>
  </si>
  <si>
    <t>1360/64</t>
  </si>
  <si>
    <t>1360/65</t>
  </si>
  <si>
    <t>1430/30</t>
  </si>
  <si>
    <t>Pico/inyector para pantalla directa</t>
  </si>
  <si>
    <t>Pico/inyector Arthur rosca gruesa</t>
  </si>
  <si>
    <t>1430/31</t>
  </si>
  <si>
    <t>1430/32</t>
  </si>
  <si>
    <t>Pico/inyector Consul</t>
  </si>
  <si>
    <t>1430/33</t>
  </si>
  <si>
    <t>1430/34</t>
  </si>
  <si>
    <t>1430/35</t>
  </si>
  <si>
    <t>1430/36</t>
  </si>
  <si>
    <t>1430/37</t>
  </si>
  <si>
    <t>1430/38</t>
  </si>
  <si>
    <t>1430/39</t>
  </si>
  <si>
    <t>1430/40</t>
  </si>
  <si>
    <t>1430/41</t>
  </si>
  <si>
    <t>1430/42</t>
  </si>
  <si>
    <t>1430/43</t>
  </si>
  <si>
    <t>1430/44</t>
  </si>
  <si>
    <t>1430/45</t>
  </si>
  <si>
    <t>1430/46</t>
  </si>
  <si>
    <t>Pico/inyector Dream Aurora</t>
  </si>
  <si>
    <t>Pico/inyector Escorial corto</t>
  </si>
  <si>
    <t>Pico/inyector Escorial medio</t>
  </si>
  <si>
    <t>Pico/inyector Longvie doble rosca</t>
  </si>
  <si>
    <t>Pico/inyector Longvie Brazil corto</t>
  </si>
  <si>
    <t>Pico/inyector Orbis Coqueta corto</t>
  </si>
  <si>
    <t>Pico/inyector Orbis Gala moderno</t>
  </si>
  <si>
    <t>Pico/inyector Orbis Convecta</t>
  </si>
  <si>
    <t>Pico/inyector Orbis Donna</t>
  </si>
  <si>
    <t>Pico/inyector Oro Azul</t>
  </si>
  <si>
    <t>Pico/inyector Philips Whirpool</t>
  </si>
  <si>
    <t>Pico/inyector SPX Simplex chato</t>
  </si>
  <si>
    <t>Pico/inyector Sirena</t>
  </si>
  <si>
    <t>Pico/inyector Volcan moderno</t>
  </si>
  <si>
    <t>1050/158</t>
  </si>
  <si>
    <t>1050/159</t>
  </si>
  <si>
    <t>1050/163</t>
  </si>
  <si>
    <t>1050/164</t>
  </si>
  <si>
    <t>1050/165</t>
  </si>
  <si>
    <t>1050/166</t>
  </si>
  <si>
    <t>1050/167</t>
  </si>
  <si>
    <t>Sopapa importada tipo Mi Pileta</t>
  </si>
  <si>
    <t xml:space="preserve"> </t>
  </si>
  <si>
    <t>1290/24</t>
  </si>
  <si>
    <t>ExTRACTORES</t>
  </si>
  <si>
    <t>Extractor para baño 4/100 mm</t>
  </si>
  <si>
    <t>Set de 5 piezas bronce cromado GLOA/TAURO</t>
  </si>
  <si>
    <t>Soporte plastico fijo cromado duchador</t>
  </si>
  <si>
    <t>2041/4</t>
  </si>
  <si>
    <t>2041/5</t>
  </si>
  <si>
    <t>2041/6</t>
  </si>
  <si>
    <t>2041/7</t>
  </si>
  <si>
    <t>2041/9</t>
  </si>
  <si>
    <t>2042/3</t>
  </si>
  <si>
    <t>2049/99</t>
  </si>
  <si>
    <t>*CABEZAL 2049 LINEA LIVIANA Y ECONOMICA</t>
  </si>
  <si>
    <t>1540/78</t>
  </si>
  <si>
    <t>Biodigestor 950 lts Rotoplas</t>
  </si>
  <si>
    <t xml:space="preserve">         ACCESORIOS DE TERMOFUSION (FUSIONAR/LATYN)     </t>
  </si>
  <si>
    <t>TERMOTANQUES ROTOPLAS</t>
  </si>
  <si>
    <t>1580/59</t>
  </si>
  <si>
    <t>1580/60</t>
  </si>
  <si>
    <t>1580/61</t>
  </si>
  <si>
    <t>1580/62</t>
  </si>
  <si>
    <t>1580/63</t>
  </si>
  <si>
    <t>1580/64</t>
  </si>
  <si>
    <t>1580/65</t>
  </si>
  <si>
    <t>1580/66</t>
  </si>
  <si>
    <t>Termotanque Rotoplas 30 lts Multigas</t>
  </si>
  <si>
    <t>Termotanque Rotoplas 50 lts Multigas</t>
  </si>
  <si>
    <t>Termotanque Rotoplas 85 lts Multigas</t>
  </si>
  <si>
    <t>Termotanque Rotoplas 120 lts Multigas</t>
  </si>
  <si>
    <t>Termotanque Rotoplas 120 lts Electrico</t>
  </si>
  <si>
    <t>Termotanque Rotoplas 40 lts Electrico</t>
  </si>
  <si>
    <t>Termotanque Rotoplas 65 lts Electrico</t>
  </si>
  <si>
    <t>Termotanque Rotoplas 90 lts Electrico</t>
  </si>
  <si>
    <t>1300/47</t>
  </si>
  <si>
    <t>Flexible plastico 1/2 x 60</t>
  </si>
  <si>
    <t>IPS Caño fusion 20</t>
  </si>
  <si>
    <t>1140/114</t>
  </si>
  <si>
    <t>1140/113</t>
  </si>
  <si>
    <t>Bomba sumergible agua limpia 400 wat</t>
  </si>
  <si>
    <t>Bomba sumergible agua limpia 550 wat</t>
  </si>
  <si>
    <t>Bomba sumergible agua sucia 750 wat</t>
  </si>
  <si>
    <t>Bomba sumergible agua sucia 900 wat acero inox</t>
  </si>
  <si>
    <t>1140/115</t>
  </si>
  <si>
    <t>1140/116</t>
  </si>
  <si>
    <t>Brazo regulable para entrada de agua CORTO</t>
  </si>
  <si>
    <t>1510/13</t>
  </si>
  <si>
    <t>Flexible para regulador gas envasado</t>
  </si>
  <si>
    <t>LOZA PIAZZA DOMANI</t>
  </si>
  <si>
    <t>LOZA PIAZZA AMALFI</t>
  </si>
  <si>
    <t>Inodoro largo+mochila+asiento Amalfi</t>
  </si>
  <si>
    <t>1370/67</t>
  </si>
  <si>
    <t>1370/68</t>
  </si>
  <si>
    <t>Inodoro largo Alberti</t>
  </si>
  <si>
    <t>Mochila apoyo Alberti</t>
  </si>
  <si>
    <t>Set de 6 piezas bronce cromado TAURO</t>
  </si>
  <si>
    <t>Caño 110 x 4 mts NEGRO Reforzado</t>
  </si>
  <si>
    <t>Sifon rompe espuma Awaduct</t>
  </si>
  <si>
    <t>1460/115</t>
  </si>
  <si>
    <t>Camara Hembra 3/8 vertical Errede</t>
  </si>
  <si>
    <t>Lluvia grande plana plastica 15 cm</t>
  </si>
  <si>
    <t>ACOPLES RAPIDO LATYN</t>
  </si>
  <si>
    <t>Acople rapido LATYN prof. 1/2</t>
  </si>
  <si>
    <t>Acople rapido LATYN prof. 3/4</t>
  </si>
  <si>
    <t>LLAVES PASO FUSION ESFERA METALICA</t>
  </si>
  <si>
    <t>1360/66</t>
  </si>
  <si>
    <t>1360/67</t>
  </si>
  <si>
    <t>1360/68</t>
  </si>
  <si>
    <t>Llave fusion 20 esfera metal</t>
  </si>
  <si>
    <t>Llave fusion 25 esfera metal</t>
  </si>
  <si>
    <t>Llave fusion 32 esfera metal</t>
  </si>
  <si>
    <t>JUEGOS DE GRIFERIA DOMANI PIAZZA</t>
  </si>
  <si>
    <t>Mezclador para mesada Domani</t>
  </si>
  <si>
    <t>Mezclador para lavatorio Domani</t>
  </si>
  <si>
    <t>Mezclador para bidet Domani</t>
  </si>
  <si>
    <t>1350/64</t>
  </si>
  <si>
    <t>Mezclador cocina exterior Domani</t>
  </si>
  <si>
    <t>Inodoro corto Domani (SIN STOCK)</t>
  </si>
  <si>
    <t>Deposito apoyar Domani (SIN STOCK)</t>
  </si>
  <si>
    <t>Deposito colgar Domani (SIN STOCK)</t>
  </si>
  <si>
    <t>Inodoro corto + deposito simil loza (SIN STOCK)</t>
  </si>
  <si>
    <t>Mezclador ducha exterior con transferencia Domani</t>
  </si>
  <si>
    <t>1360/69</t>
  </si>
  <si>
    <t>Llave fusion 40 esfera metal</t>
  </si>
  <si>
    <t>1360/73</t>
  </si>
  <si>
    <t>Llave fusion 50 esfera metal</t>
  </si>
  <si>
    <t>1050/168</t>
  </si>
  <si>
    <t>1710/01</t>
  </si>
  <si>
    <t>1710/02</t>
  </si>
  <si>
    <t>1710/03</t>
  </si>
  <si>
    <t>1710/04</t>
  </si>
  <si>
    <t>1710/05</t>
  </si>
  <si>
    <t>1710/06</t>
  </si>
  <si>
    <t>1710/07</t>
  </si>
  <si>
    <t>1710/08</t>
  </si>
  <si>
    <t>1710/09</t>
  </si>
  <si>
    <t>1710/10</t>
  </si>
  <si>
    <t>1710/11</t>
  </si>
  <si>
    <t>1710/12</t>
  </si>
  <si>
    <t>1710/13</t>
  </si>
  <si>
    <t>1710/14</t>
  </si>
  <si>
    <t>CANALETAS Y ACCESORIOS PVC PLUVITUBO</t>
  </si>
  <si>
    <t>Canaleta x 3 mts Pluvitubo</t>
  </si>
  <si>
    <t>Tubo descarga canaleta 115 x 3 mts Pluvitubo</t>
  </si>
  <si>
    <t>Tubo descarga canaleta 115 x 1 mts Pluvitubo</t>
  </si>
  <si>
    <t>Embudo p/canaleta Pluvitubo</t>
  </si>
  <si>
    <t>Union p/canaleta Pluvitubo</t>
  </si>
  <si>
    <t>Esquinero p/canaleta Pluvitubo</t>
  </si>
  <si>
    <t>Soporte p/canaleta Pluvitubo</t>
  </si>
  <si>
    <t>Codo 115 a 87º Pluvitubo</t>
  </si>
  <si>
    <t>Codo 115 a 67º Pluvitubo</t>
  </si>
  <si>
    <t>Tapa p/canaleta derecha Pluvitubo</t>
  </si>
  <si>
    <t>Tapa p/canaleta Izquierda Pluvitubo</t>
  </si>
  <si>
    <t>Tapa embudo derecha p/canaleta Pluvitubo</t>
  </si>
  <si>
    <t>Tapa embudo izquierda p/canaleta Pluvitubo</t>
  </si>
  <si>
    <t>Grampa p/tubo de descarga canaleta Pluvitubo</t>
  </si>
  <si>
    <t xml:space="preserve">Vanitory blanco  50 cm 2 puertas y cajones  c/bacha </t>
  </si>
  <si>
    <t>Vanitory blanco  60 cm 2 puerta y cajones c/bacha</t>
  </si>
  <si>
    <t>1140/117</t>
  </si>
  <si>
    <t>Bomba presurizadora p/tanque cisterna 600 wat Pluvius</t>
  </si>
  <si>
    <t>PRODUCTOS/HERRAMIENTAS IPS/LATYN</t>
  </si>
  <si>
    <t>Tijera corta caño IPS/LATYN</t>
  </si>
  <si>
    <t>Minivalvula paso esferico MH 1/8</t>
  </si>
  <si>
    <t>Minivalvula paso esferico MM 1/8</t>
  </si>
  <si>
    <t>Cisterna 550 lts Powerlite</t>
  </si>
  <si>
    <t>Cisterna 1000 lts Powerlite</t>
  </si>
  <si>
    <t>Camara de lodos Powerlite</t>
  </si>
  <si>
    <t>Camara septica 550 lts Powerlite</t>
  </si>
  <si>
    <t>Camara septica 1000 lts Powerlite</t>
  </si>
  <si>
    <t>Tanque 280 lts bicapa</t>
  </si>
  <si>
    <t>1370/69</t>
  </si>
  <si>
    <t>1360/74</t>
  </si>
  <si>
    <t>Llave paso 32 mm c/c Compacta</t>
  </si>
  <si>
    <t xml:space="preserve">BOMBAS ELEVADORAS </t>
  </si>
  <si>
    <t>Bomba periferica 1/2 hp IMPORTADA</t>
  </si>
  <si>
    <t>1030/114</t>
  </si>
  <si>
    <t>Cupla MH 3/4 x 1/2  polipropileno</t>
  </si>
  <si>
    <t>Cupla MH 1 x 3/4 polipropileno</t>
  </si>
  <si>
    <t>1030/115</t>
  </si>
  <si>
    <t>Oring doble labio 40 desague</t>
  </si>
  <si>
    <t>Oring doble labio 50 desague</t>
  </si>
  <si>
    <t>Oring doble labio 63 desague</t>
  </si>
  <si>
    <t>Oring doble labio 110 desague</t>
  </si>
  <si>
    <t>Base para tanque Patagonica</t>
  </si>
  <si>
    <t>1050/320</t>
  </si>
  <si>
    <t>Caño soldable 40 x 4 mts K6</t>
  </si>
  <si>
    <t>Caño soldable 50 x 4 mts K6</t>
  </si>
  <si>
    <t>1050/321</t>
  </si>
  <si>
    <t>JUEGOS DE GRIFERIA IPS LINEA HYDROGEN</t>
  </si>
  <si>
    <t>Griferia cocina mesada HYDROGEN</t>
  </si>
  <si>
    <t>Griferia lavatorio HYDROGEN</t>
  </si>
  <si>
    <t>Griferia bidet HYDROGEN</t>
  </si>
  <si>
    <t>Griferia ducha c/transferencia HYDROGEN</t>
  </si>
  <si>
    <t>JUEGOS DE GRIFERIA IPS LINEA TITANIUM</t>
  </si>
  <si>
    <t>Griferia lavatorio TITANIUM</t>
  </si>
  <si>
    <t>Griferia bidet TITANIUM</t>
  </si>
  <si>
    <t>Griferia ducha c/transferencia TITANIUM</t>
  </si>
  <si>
    <t>JUEGOS DE GRIFERIA IPS LINEA SILVER</t>
  </si>
  <si>
    <t>Griferia lavatorio SILVER</t>
  </si>
  <si>
    <t>Griferia bidet SILVER</t>
  </si>
  <si>
    <t>Griferia ducha c/transferencia SILVER</t>
  </si>
  <si>
    <t>JUEGOS DE GRIFERIA IPS LINEA PLATINUM</t>
  </si>
  <si>
    <t>Griferia lavatorio PLATINUM</t>
  </si>
  <si>
    <t>Griferia bidet PLATINUM</t>
  </si>
  <si>
    <t>Griferia ducha c/transferencia PLATINUM</t>
  </si>
  <si>
    <t>Cisterna 750 lts Rotoplas</t>
  </si>
  <si>
    <t>Camara septica 5 personas Fortecam</t>
  </si>
  <si>
    <t>1670/11</t>
  </si>
  <si>
    <t>Volante plastico cruz BLANCO</t>
  </si>
  <si>
    <t>Aro base siliconado transparente</t>
  </si>
  <si>
    <t>1360/75</t>
  </si>
  <si>
    <t>Llave fusion 63 esfera metal</t>
  </si>
  <si>
    <t>1050/213</t>
  </si>
  <si>
    <t>1050/214</t>
  </si>
  <si>
    <t>1050/215</t>
  </si>
  <si>
    <t>1050/216</t>
  </si>
  <si>
    <t>Buje plano 25 x 20 fusion</t>
  </si>
  <si>
    <t>Buje plano 32 x 25 fusion</t>
  </si>
  <si>
    <t>Buje plano 40 x 32 fusion</t>
  </si>
  <si>
    <t>Buje plano 50 x 32 fusion</t>
  </si>
  <si>
    <t>Codo 40 mm</t>
  </si>
  <si>
    <t>Codo 50 mm</t>
  </si>
  <si>
    <t>Codo 63 mm</t>
  </si>
  <si>
    <t>Codo 45° 40 mm</t>
  </si>
  <si>
    <t>Codo 45° 50 mm</t>
  </si>
  <si>
    <t>Codo reduccion 32 x 20</t>
  </si>
  <si>
    <t>1050/178</t>
  </si>
  <si>
    <t>1050/179</t>
  </si>
  <si>
    <t>1050/180</t>
  </si>
  <si>
    <t>Cupla 40 mm</t>
  </si>
  <si>
    <t>Cupla 50 mm</t>
  </si>
  <si>
    <t>Cupla 63 mm</t>
  </si>
  <si>
    <t>1050/181</t>
  </si>
  <si>
    <t>1050/182</t>
  </si>
  <si>
    <t>1050/183</t>
  </si>
  <si>
    <t xml:space="preserve">Cupla c/inserto metal hembra 1 x 32 mm </t>
  </si>
  <si>
    <t xml:space="preserve">Cupla c/inserto metal hembra 1 1/4 x 40 mm </t>
  </si>
  <si>
    <t xml:space="preserve">Cupla c/inserto metal hembra 1 1/2 x 50 mm </t>
  </si>
  <si>
    <t xml:space="preserve">Cupla c/inserto metal hembra 2 x 63 mm </t>
  </si>
  <si>
    <t>1050/184</t>
  </si>
  <si>
    <t>1050/185</t>
  </si>
  <si>
    <t>1050/186</t>
  </si>
  <si>
    <t xml:space="preserve">Cupla c/inserto metal macho 1 1/4 x 40 mm </t>
  </si>
  <si>
    <t xml:space="preserve">Cupla c/inserto metal macho 1 1/2 x 50 mm </t>
  </si>
  <si>
    <t xml:space="preserve">Cupla c/inserto metal macho 2 x 63 mm </t>
  </si>
  <si>
    <t>1050/187</t>
  </si>
  <si>
    <t>1050/188</t>
  </si>
  <si>
    <t>1050/189</t>
  </si>
  <si>
    <t>1050/190</t>
  </si>
  <si>
    <t>1050/191</t>
  </si>
  <si>
    <t>1050/192</t>
  </si>
  <si>
    <t>1050/193</t>
  </si>
  <si>
    <t>Cupla reducccion 40 mm x 20 mm</t>
  </si>
  <si>
    <t>Cupla reducccion 40 mm x 32 mm</t>
  </si>
  <si>
    <t>Cupla reducccion 40 mm x 25 mm</t>
  </si>
  <si>
    <t>Cupla reducccion 50 mm x 32 mm</t>
  </si>
  <si>
    <t>Cupla reducccion 50 mm x 40 mm</t>
  </si>
  <si>
    <t>Cupla reducccion 63 mm x 40 mm</t>
  </si>
  <si>
    <t>Cupla reducccion 63 mm x 50 mm</t>
  </si>
  <si>
    <t>1050/217</t>
  </si>
  <si>
    <t>1050/218</t>
  </si>
  <si>
    <t>1050/219</t>
  </si>
  <si>
    <t>Fija tubos fusion 20 mm</t>
  </si>
  <si>
    <t>Fija tubos fusion 25 mm</t>
  </si>
  <si>
    <t>Fija tubos fusion 32 mm</t>
  </si>
  <si>
    <t>1050/194</t>
  </si>
  <si>
    <t>1050/195</t>
  </si>
  <si>
    <t>1050/196</t>
  </si>
  <si>
    <t>Tapa 40 mm</t>
  </si>
  <si>
    <t>Tapa 50 mm</t>
  </si>
  <si>
    <t>Tapa 63 mm</t>
  </si>
  <si>
    <t>1050/197</t>
  </si>
  <si>
    <t>1050/198</t>
  </si>
  <si>
    <t>1050/199</t>
  </si>
  <si>
    <t>Tee 40 mm</t>
  </si>
  <si>
    <t>Tee 50 mm</t>
  </si>
  <si>
    <t>Tee 63 mm</t>
  </si>
  <si>
    <t>1050/210</t>
  </si>
  <si>
    <t>1050/211</t>
  </si>
  <si>
    <t>1050/212</t>
  </si>
  <si>
    <t>Union doble fusion fusion 40 mm</t>
  </si>
  <si>
    <t>Union doble fusion fusion 50 mm</t>
  </si>
  <si>
    <t>Union doble fusion fusion 63 mm</t>
  </si>
  <si>
    <t>1050/204</t>
  </si>
  <si>
    <t>1050/205</t>
  </si>
  <si>
    <t>1050/206</t>
  </si>
  <si>
    <t>1050/207</t>
  </si>
  <si>
    <t>1050/208</t>
  </si>
  <si>
    <t>1050/209</t>
  </si>
  <si>
    <t>Tee reduccion 40 mm x 25 mm</t>
  </si>
  <si>
    <t>Tee reduccion 40 mm x 32 mm</t>
  </si>
  <si>
    <t>Tee reduccion 50 mm x 32 mm</t>
  </si>
  <si>
    <t>Tee reduccion 50 mm x 40 mm</t>
  </si>
  <si>
    <t>Tee reduccion 63 mm x 40 mm</t>
  </si>
  <si>
    <t>Tee reduccion 63 mm x 50 mm</t>
  </si>
  <si>
    <t xml:space="preserve">Monocomando de mesada con base </t>
  </si>
  <si>
    <t>FLEJE PERFORADO</t>
  </si>
  <si>
    <t>Fleje perforado 5 mts</t>
  </si>
  <si>
    <t xml:space="preserve">Goma para piston Franklin </t>
  </si>
  <si>
    <t>1610/18</t>
  </si>
  <si>
    <t>1610/19</t>
  </si>
  <si>
    <t>Tornillo para inodoro 22 x 80 (bolsa 100 unidades)</t>
  </si>
  <si>
    <t>Tornillo para inodoro 22 x 70 (bolsa 100 unidades)</t>
  </si>
  <si>
    <t>1510/07</t>
  </si>
  <si>
    <t>Regulador domiciliario 10 mts3 sin flexible</t>
  </si>
  <si>
    <t>Controlador automatico presion CAPII</t>
  </si>
  <si>
    <t>VANIROTYS DURAFORT</t>
  </si>
  <si>
    <t>1660/62</t>
  </si>
  <si>
    <t>1660/63</t>
  </si>
  <si>
    <t>Vanitory durafort 50 cm 2 puertas bacha 3 agu.</t>
  </si>
  <si>
    <t>Vanitory durafort 50 cm 2 puertas bacha 1 agu.</t>
  </si>
  <si>
    <t>1050/220</t>
  </si>
  <si>
    <t>1050/221</t>
  </si>
  <si>
    <t>1050/222</t>
  </si>
  <si>
    <t>1050/223</t>
  </si>
  <si>
    <t>1050/224</t>
  </si>
  <si>
    <t xml:space="preserve">Flexible mallado monocomando macho </t>
  </si>
  <si>
    <t>Bidet Alberti 3 agujero</t>
  </si>
  <si>
    <t>Bidet largo Alberti 3 agujeros</t>
  </si>
  <si>
    <t>1050/225</t>
  </si>
  <si>
    <t>1240/06</t>
  </si>
  <si>
    <t>1240/07</t>
  </si>
  <si>
    <t>CINTA EMBALAR</t>
  </si>
  <si>
    <t>Cinta embalar  48 x 100 transparente x 6 unidades</t>
  </si>
  <si>
    <t>Cinta embalar  48 x 100 transparente x 36 unidades</t>
  </si>
  <si>
    <t>Cartucho standard filtro ROTOPLAS</t>
  </si>
  <si>
    <t>Filtro completo standard tanque ROTOPLAS</t>
  </si>
  <si>
    <t>Flotante ROTOPLAS p/tanque 1/2</t>
  </si>
  <si>
    <t>Flotante ROTOPLAS p/tanque 3/4</t>
  </si>
  <si>
    <t xml:space="preserve">FLOTANTE ROTOPLAS PARA TANQUE </t>
  </si>
  <si>
    <t>TANQUES DE AGUA FORTEPLAS/ROTOPLAS</t>
  </si>
  <si>
    <t>1540/79</t>
  </si>
  <si>
    <t>Tanque Forteplas 600 lts gris/tricapa</t>
  </si>
  <si>
    <t>Tanque Forteplas 400 lts gris/tricapa</t>
  </si>
  <si>
    <t>Tanque Forteplas 850 lts gris/tricapa</t>
  </si>
  <si>
    <t>Tanque Forteplas 1100 lts gris/tricapa</t>
  </si>
  <si>
    <t>PRODUCTOS IMPORTADOS ECO</t>
  </si>
  <si>
    <t>1460/130</t>
  </si>
  <si>
    <t>1460/131</t>
  </si>
  <si>
    <t>1460/132</t>
  </si>
  <si>
    <t>1460/133</t>
  </si>
  <si>
    <t>Malla agua importado 1/2 x 30 eco</t>
  </si>
  <si>
    <t>Malla agua importado 1/2 x 40 eco</t>
  </si>
  <si>
    <t>Malla agua importado 1/2 x 50 eco</t>
  </si>
  <si>
    <t>Monocomando cocina zinc eco (8115)</t>
  </si>
  <si>
    <t>1290/25</t>
  </si>
  <si>
    <t>Extractor para baño 6/150 mm</t>
  </si>
  <si>
    <t>1140/118</t>
  </si>
  <si>
    <t>Bomba presurizadoora 500 wat Pluvius</t>
  </si>
  <si>
    <t xml:space="preserve">INSERTOS PLASTICOS PARA VOLANTES    </t>
  </si>
  <si>
    <t>Receptaculo codo bañera 8 x 8 NUEVO</t>
  </si>
  <si>
    <t>Asiento inodoro madera herraje plastico FLORENCIA</t>
  </si>
  <si>
    <t>1120/03M</t>
  </si>
  <si>
    <t>1120/03B</t>
  </si>
  <si>
    <t>1120/03F</t>
  </si>
  <si>
    <t>Asiento inodoro madera herraje plastico BARI</t>
  </si>
  <si>
    <t>Asiento inodoro madera herraje plastico MONACO</t>
  </si>
  <si>
    <t>1100/40</t>
  </si>
  <si>
    <t>Arandela PVC p/sopapa conica 40</t>
  </si>
  <si>
    <t>1100/41</t>
  </si>
  <si>
    <t>Arandela PVC p/sopapa conica 50</t>
  </si>
  <si>
    <t>Bomba sumergible 2 hp Pluvius pozo profundo</t>
  </si>
  <si>
    <t>Bomba sumergible pozo prof. SLIM 1/2 hp Pluvius</t>
  </si>
  <si>
    <t>Controlador automatico presion smart CAS</t>
  </si>
  <si>
    <t>Controlador automatico digital CAD</t>
  </si>
  <si>
    <t>Bomba sumergible pozo prof. SLIM 3/4 hp Pluvius</t>
  </si>
  <si>
    <t>Bidet 3 agujeros Amalfi</t>
  </si>
  <si>
    <t>Bidet 1 agujero Amalfi</t>
  </si>
  <si>
    <t>Cartucho filtro JUMBO Rotoplas</t>
  </si>
  <si>
    <t>Filtro completo JUMBO Rotoplas</t>
  </si>
  <si>
    <t>1460/116</t>
  </si>
  <si>
    <t>1460/117</t>
  </si>
  <si>
    <t>1460/118</t>
  </si>
  <si>
    <t>Adaptador sopapa a rosca Errede</t>
  </si>
  <si>
    <t>Sifon simple universal Errede</t>
  </si>
  <si>
    <t>Sifon doble universal Errede</t>
  </si>
  <si>
    <t>1800/02</t>
  </si>
  <si>
    <t>Disco de corte 115 x 1,6 mm Importado</t>
  </si>
  <si>
    <t>Disco de corte 180 x 1,6 mm Importado</t>
  </si>
  <si>
    <t>1360/36B</t>
  </si>
  <si>
    <t>Minivalvula paso esferico HH 1/2</t>
  </si>
  <si>
    <t>1300/72</t>
  </si>
  <si>
    <t>Flexible exten. p/termot. 1/2 x 3/8 de 40 a 105 cm</t>
  </si>
  <si>
    <t>1350/14A</t>
  </si>
  <si>
    <t>Perchero doble plastico</t>
  </si>
  <si>
    <t>Bomba hidromasaje miniasia c/swich y cable</t>
  </si>
  <si>
    <t>Bomba Presurizadora Experta</t>
  </si>
  <si>
    <t>Termofusora 1500 watt con boquillas 20 a 63</t>
  </si>
  <si>
    <t>1460/134</t>
  </si>
  <si>
    <t>Monocomando lavatorio zinc eco</t>
  </si>
  <si>
    <t>1460/135</t>
  </si>
  <si>
    <t>Monocomando ducha Zinc eco</t>
  </si>
  <si>
    <t>1460/136</t>
  </si>
  <si>
    <t>Monocomando bidet s/trasf. Zinc eco</t>
  </si>
  <si>
    <t>1300/74</t>
  </si>
  <si>
    <t>Flexible exten. Medidor 3/4 x 1 1/4</t>
  </si>
  <si>
    <t>1300/75</t>
  </si>
  <si>
    <t>Flexible exten. Medidor 3/4 x 1 1/8</t>
  </si>
  <si>
    <t xml:space="preserve">Grampa omega 2 </t>
  </si>
  <si>
    <t xml:space="preserve">Grampa omega 1 1/2 </t>
  </si>
  <si>
    <t>CAÑO CAMARA 100 PVC</t>
  </si>
  <si>
    <t>CODO 40 PVC</t>
  </si>
  <si>
    <t>CODO 50 PVC</t>
  </si>
  <si>
    <t>CODO 60 PVC</t>
  </si>
  <si>
    <t>CODO 100 PVC</t>
  </si>
  <si>
    <t>CODO CON BASE 100 PVC</t>
  </si>
  <si>
    <t>CODO CON ACOMETIDA 100 P`VC</t>
  </si>
  <si>
    <t>CODO MH 40 PVC</t>
  </si>
  <si>
    <t>CUPLA 40 PVC</t>
  </si>
  <si>
    <t>CUPLA 50 PVC</t>
  </si>
  <si>
    <t>CUPLA 60 PVC</t>
  </si>
  <si>
    <t>CUPLA 100 PVC</t>
  </si>
  <si>
    <t>CURVA 90 DE 40 PVC</t>
  </si>
  <si>
    <t>CURVA 90 DE 50 PVC</t>
  </si>
  <si>
    <t>CURVA 90 DE 60 PVC</t>
  </si>
  <si>
    <t>CURVA 90 DE 100 PVC</t>
  </si>
  <si>
    <t>CURVA 45 DE 40 PVC</t>
  </si>
  <si>
    <t>CURVA 45 DE 50 PVC</t>
  </si>
  <si>
    <t>CURVA 45 DE 60 PVC</t>
  </si>
  <si>
    <t>CURVA 45 DE 100 PVC</t>
  </si>
  <si>
    <t>PILETA PATIO 10 X 10 PVC</t>
  </si>
  <si>
    <t>PILETA PATIO 15 X 15 PVC</t>
  </si>
  <si>
    <t>BOCA ACCESO COCINA PVC</t>
  </si>
  <si>
    <t>RECEPTACULODE DUCHA PVC</t>
  </si>
  <si>
    <t>REDUCCION 50 X 40 PVC</t>
  </si>
  <si>
    <t>REDUCCION 60 X 40 PVC</t>
  </si>
  <si>
    <t>REDUCCION 60 X 50 PVC</t>
  </si>
  <si>
    <t>REDUCCION 100 X 60 PVC</t>
  </si>
  <si>
    <t>TAPA 40 PVC</t>
  </si>
  <si>
    <t>TAPA 50 PVC</t>
  </si>
  <si>
    <t>TAPA 60 PVC</t>
  </si>
  <si>
    <t>TAPA100 PVC</t>
  </si>
  <si>
    <t>RAMAL 90 DE 40 PVC</t>
  </si>
  <si>
    <t>RAMAL 90 DE 50 PVC</t>
  </si>
  <si>
    <t>RAMAL 90 DE 60 PVC</t>
  </si>
  <si>
    <t>RAMAL 90 DE 100 PVC</t>
  </si>
  <si>
    <t>RAMAL 90 DE 100 X 60 PVC</t>
  </si>
  <si>
    <t>RAMAL 45 DE 40 PVC</t>
  </si>
  <si>
    <t>RAMAL 45 DE 50 PVC</t>
  </si>
  <si>
    <t>RAMAL 45 DE 60 PVC</t>
  </si>
  <si>
    <t>RAMAL 45 DE 100 PVC</t>
  </si>
  <si>
    <t>RAMAL 45 DE 100 X 60 PVC</t>
  </si>
  <si>
    <t>EMBUDO VERTICAL 60 PVC</t>
  </si>
  <si>
    <t>EMBUDO VERTICAL 100 PVC</t>
  </si>
  <si>
    <t>EMBUDO FRONTAL 60 PVC</t>
  </si>
  <si>
    <t>EMBUDO FRONTAL 100 PVC</t>
  </si>
  <si>
    <t>CAÑO CAMARA 110 PVC</t>
  </si>
  <si>
    <t>CODO 63 PVC</t>
  </si>
  <si>
    <t>CODO 110 PVC</t>
  </si>
  <si>
    <t>CODO CON BASE 110 PVC</t>
  </si>
  <si>
    <t>CODO CON ACOMETIDA 110 PVC</t>
  </si>
  <si>
    <t>CUPLA 63 PVC</t>
  </si>
  <si>
    <t>CUPLA 110 PVC</t>
  </si>
  <si>
    <t>CURVA 90 DE 63 PVC</t>
  </si>
  <si>
    <t>CURVA 90 DE 110 PVC</t>
  </si>
  <si>
    <t>CURVA 45 DE 63 PVC</t>
  </si>
  <si>
    <t>CURVA 45 DE 110 larga PVC</t>
  </si>
  <si>
    <t>REDUCCION 63 X 40 PVC</t>
  </si>
  <si>
    <t>REDUCCION 63 X 50 PVC</t>
  </si>
  <si>
    <t>REDUCCION 110 X 63 PVC</t>
  </si>
  <si>
    <t>REDUCCION 110 X 100 PVC</t>
  </si>
  <si>
    <t>REDUCCION 110 X 98 PVC</t>
  </si>
  <si>
    <t>REDUCCION 125 X 110 PVC</t>
  </si>
  <si>
    <t>REDUCCION 140 X 110 PVC</t>
  </si>
  <si>
    <t>REDUCCION 160 X 110 PVC</t>
  </si>
  <si>
    <t>TAPA 63 PVC</t>
  </si>
  <si>
    <t>TAPA 110 PVC</t>
  </si>
  <si>
    <t>SOMBRERO 60/63 PVC</t>
  </si>
  <si>
    <t>SOMBRERO 100/110 PVC</t>
  </si>
  <si>
    <t>RAMAL 90 DE 63 PVC</t>
  </si>
  <si>
    <t>RAMAL 90 DE 110 PVC</t>
  </si>
  <si>
    <t>RAMAL 90 DE 110 X 63 PVC</t>
  </si>
  <si>
    <t>RAMAL 45 DE 63 PVC</t>
  </si>
  <si>
    <t>RAMAL 45 DE 110 PVC</t>
  </si>
  <si>
    <t>RAMAL 45 DE 110 X 63 PVC</t>
  </si>
  <si>
    <t>EMBUDO VERTICAL 63 PVC</t>
  </si>
  <si>
    <t>EMBUDO VERTICAL 110 PVC</t>
  </si>
  <si>
    <t>EMBUDO FRONTAL 63 PVC</t>
  </si>
  <si>
    <t>EMBUDO FRONTAL 110 PVC</t>
  </si>
  <si>
    <t>Rejilla sola pileta patio 10 x 10 PVC</t>
  </si>
  <si>
    <t>Rejilla sola pileta patio 15 x 15 PVC</t>
  </si>
  <si>
    <t>Rejilla sola pileta patio 20 x 20 PVC</t>
  </si>
  <si>
    <t>Tapa ciega boca acaceso cocina 10 x 10 PVC</t>
  </si>
  <si>
    <t>Porta reja pileta patio 10 x 10 PVC</t>
  </si>
  <si>
    <t>Porta reja pileta patio 15 x 15 PVC</t>
  </si>
  <si>
    <t>Porta reja pileta patio 20 x 20 PVC</t>
  </si>
  <si>
    <t>Sifon pileta patio pvc PVC</t>
  </si>
  <si>
    <t>LISTA 24 MARZO 2025</t>
  </si>
  <si>
    <t>22/02/205</t>
  </si>
  <si>
    <t>Griferia cocina pared 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</si>
</sst>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_ [$€-2]\ * #,##0.00_ ;_ [$€-2]\ * \-#,##0.00_ ;_ [$€-2]\ * &quot;-&quot;??_ "/>
  </numFmts>
  <fonts count="2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4"/>
      <name val="Arial"/>
      <family val="2"/>
    </font>
    <font>
      <u/>
      <sz val="10"/>
      <color theme="10"/>
      <name val="Arial"/>
      <family val="2"/>
    </font>
    <font>
      <sz val="20"/>
      <color theme="1"/>
      <name val="Arial"/>
      <family val="2"/>
    </font>
    <font>
      <sz val="14"/>
      <color theme="1"/>
      <name val="Arial"/>
      <family val="2"/>
    </font>
    <font>
      <u/>
      <sz val="10"/>
      <color theme="1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7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4" borderId="0" applyNumberFormat="0" applyBorder="0" applyAlignment="0" applyProtection="0"/>
    <xf numFmtId="0" fontId="7" fillId="16" borderId="1" applyNumberFormat="0" applyAlignment="0" applyProtection="0"/>
    <xf numFmtId="0" fontId="8" fillId="17" borderId="2" applyNumberFormat="0" applyAlignment="0" applyProtection="0"/>
    <xf numFmtId="0" fontId="9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11" fillId="7" borderId="1" applyNumberFormat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2" fillId="0" borderId="0"/>
    <xf numFmtId="0" fontId="2" fillId="0" borderId="0"/>
    <xf numFmtId="0" fontId="2" fillId="23" borderId="5" applyNumberFormat="0" applyFont="0" applyAlignment="0" applyProtection="0"/>
    <xf numFmtId="0" fontId="14" fillId="16" borderId="6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7" applyNumberFormat="0" applyFill="0" applyAlignment="0" applyProtection="0"/>
    <xf numFmtId="0" fontId="10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9" applyNumberFormat="0" applyFill="0" applyAlignment="0" applyProtection="0"/>
  </cellStyleXfs>
  <cellXfs count="49">
    <xf numFmtId="0" fontId="0" fillId="0" borderId="0" xfId="0"/>
    <xf numFmtId="0" fontId="21" fillId="0" borderId="0" xfId="0" applyFont="1" applyFill="1"/>
    <xf numFmtId="0" fontId="21" fillId="24" borderId="0" xfId="0" applyFont="1" applyFill="1"/>
    <xf numFmtId="0" fontId="21" fillId="25" borderId="0" xfId="0" applyFont="1" applyFill="1"/>
    <xf numFmtId="0" fontId="21" fillId="26" borderId="0" xfId="0" applyFont="1" applyFill="1"/>
    <xf numFmtId="0" fontId="21" fillId="27" borderId="0" xfId="0" applyFont="1" applyFill="1"/>
    <xf numFmtId="164" fontId="21" fillId="24" borderId="0" xfId="0" applyNumberFormat="1" applyFont="1" applyFill="1"/>
    <xf numFmtId="164" fontId="21" fillId="25" borderId="0" xfId="0" applyNumberFormat="1" applyFont="1" applyFill="1"/>
    <xf numFmtId="164" fontId="21" fillId="26" borderId="0" xfId="0" applyNumberFormat="1" applyFont="1" applyFill="1"/>
    <xf numFmtId="164" fontId="21" fillId="27" borderId="0" xfId="0" applyNumberFormat="1" applyFont="1" applyFill="1"/>
    <xf numFmtId="0" fontId="21" fillId="0" borderId="0" xfId="0" applyFont="1" applyFill="1" applyBorder="1"/>
    <xf numFmtId="164" fontId="21" fillId="28" borderId="0" xfId="0" applyNumberFormat="1" applyFont="1" applyFill="1"/>
    <xf numFmtId="164" fontId="21" fillId="28" borderId="0" xfId="0" applyNumberFormat="1" applyFont="1" applyFill="1" applyAlignment="1">
      <alignment wrapText="1"/>
    </xf>
    <xf numFmtId="9" fontId="21" fillId="24" borderId="0" xfId="0" applyNumberFormat="1" applyFont="1" applyFill="1" applyAlignment="1">
      <alignment horizontal="center"/>
    </xf>
    <xf numFmtId="9" fontId="21" fillId="25" borderId="0" xfId="0" applyNumberFormat="1" applyFont="1" applyFill="1" applyAlignment="1">
      <alignment horizontal="center"/>
    </xf>
    <xf numFmtId="9" fontId="21" fillId="26" borderId="0" xfId="0" applyNumberFormat="1" applyFont="1" applyFill="1" applyAlignment="1">
      <alignment horizontal="center"/>
    </xf>
    <xf numFmtId="9" fontId="21" fillId="27" borderId="0" xfId="0" applyNumberFormat="1" applyFont="1" applyFill="1" applyAlignment="1">
      <alignment horizontal="center"/>
    </xf>
    <xf numFmtId="0" fontId="25" fillId="0" borderId="0" xfId="33" applyFont="1" applyFill="1" applyBorder="1"/>
    <xf numFmtId="0" fontId="24" fillId="0" borderId="0" xfId="0" applyFont="1" applyFill="1" applyBorder="1"/>
    <xf numFmtId="0" fontId="26" fillId="0" borderId="0" xfId="0" applyFont="1" applyFill="1" applyBorder="1" applyAlignment="1">
      <alignment horizontal="center"/>
    </xf>
    <xf numFmtId="14" fontId="24" fillId="0" borderId="0" xfId="0" applyNumberFormat="1" applyFont="1" applyFill="1" applyBorder="1" applyAlignment="1">
      <alignment horizontal="right"/>
    </xf>
    <xf numFmtId="0" fontId="26" fillId="0" borderId="0" xfId="0" applyFont="1" applyFill="1" applyBorder="1" applyAlignment="1"/>
    <xf numFmtId="0" fontId="26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left"/>
    </xf>
    <xf numFmtId="0" fontId="24" fillId="0" borderId="0" xfId="0" applyFont="1" applyFill="1" applyBorder="1" applyAlignment="1"/>
    <xf numFmtId="164" fontId="21" fillId="28" borderId="0" xfId="0" applyNumberFormat="1" applyFont="1" applyFill="1" applyAlignment="1">
      <alignment horizontal="center"/>
    </xf>
    <xf numFmtId="164" fontId="21" fillId="29" borderId="0" xfId="0" applyNumberFormat="1" applyFont="1" applyFill="1"/>
    <xf numFmtId="0" fontId="24" fillId="30" borderId="0" xfId="0" applyFont="1" applyFill="1" applyBorder="1"/>
    <xf numFmtId="14" fontId="24" fillId="30" borderId="0" xfId="0" applyNumberFormat="1" applyFont="1" applyFill="1" applyBorder="1" applyAlignment="1">
      <alignment horizontal="right"/>
    </xf>
    <xf numFmtId="0" fontId="28" fillId="0" borderId="0" xfId="0" applyFont="1" applyFill="1" applyBorder="1" applyAlignment="1">
      <alignment horizontal="center"/>
    </xf>
    <xf numFmtId="14" fontId="21" fillId="0" borderId="0" xfId="0" applyNumberFormat="1" applyFont="1" applyFill="1" applyBorder="1" applyAlignment="1">
      <alignment horizontal="right"/>
    </xf>
    <xf numFmtId="0" fontId="24" fillId="0" borderId="0" xfId="0" applyFont="1" applyFill="1" applyBorder="1" applyAlignment="1">
      <alignment wrapText="1"/>
    </xf>
    <xf numFmtId="0" fontId="21" fillId="0" borderId="0" xfId="0" applyFont="1" applyFill="1" applyBorder="1" applyAlignment="1">
      <alignment horizontal="left"/>
    </xf>
    <xf numFmtId="0" fontId="26" fillId="30" borderId="0" xfId="0" applyFont="1" applyFill="1" applyBorder="1" applyAlignment="1">
      <alignment horizontal="center"/>
    </xf>
    <xf numFmtId="0" fontId="24" fillId="30" borderId="0" xfId="0" applyFont="1" applyFill="1" applyBorder="1" applyAlignment="1">
      <alignment horizontal="left"/>
    </xf>
    <xf numFmtId="0" fontId="24" fillId="31" borderId="0" xfId="0" applyFont="1" applyFill="1" applyBorder="1"/>
    <xf numFmtId="0" fontId="26" fillId="31" borderId="0" xfId="0" applyFont="1" applyFill="1" applyBorder="1" applyAlignment="1">
      <alignment horizontal="center"/>
    </xf>
    <xf numFmtId="14" fontId="24" fillId="31" borderId="0" xfId="0" applyNumberFormat="1" applyFont="1" applyFill="1" applyBorder="1" applyAlignment="1">
      <alignment horizontal="right"/>
    </xf>
    <xf numFmtId="0" fontId="24" fillId="31" borderId="0" xfId="0" applyFont="1" applyFill="1" applyBorder="1" applyAlignment="1">
      <alignment horizontal="left"/>
    </xf>
    <xf numFmtId="14" fontId="26" fillId="0" borderId="0" xfId="0" applyNumberFormat="1" applyFont="1" applyFill="1" applyBorder="1" applyAlignment="1">
      <alignment horizontal="right"/>
    </xf>
    <xf numFmtId="0" fontId="26" fillId="0" borderId="0" xfId="0" applyFont="1" applyFill="1" applyBorder="1"/>
    <xf numFmtId="0" fontId="26" fillId="30" borderId="0" xfId="0" applyFont="1" applyFill="1" applyBorder="1" applyAlignment="1"/>
    <xf numFmtId="0" fontId="24" fillId="30" borderId="0" xfId="36" applyFont="1" applyFill="1" applyBorder="1" applyAlignment="1">
      <alignment horizontal="center"/>
    </xf>
    <xf numFmtId="0" fontId="24" fillId="30" borderId="0" xfId="36" applyFont="1" applyFill="1" applyBorder="1"/>
    <xf numFmtId="0" fontId="26" fillId="30" borderId="0" xfId="36" applyFont="1" applyFill="1" applyBorder="1" applyAlignment="1">
      <alignment horizontal="center"/>
    </xf>
    <xf numFmtId="0" fontId="26" fillId="30" borderId="0" xfId="36" applyFont="1" applyFill="1" applyBorder="1"/>
    <xf numFmtId="0" fontId="24" fillId="30" borderId="0" xfId="36" applyFont="1" applyFill="1" applyBorder="1" applyAlignment="1">
      <alignment horizontal="left"/>
    </xf>
    <xf numFmtId="0" fontId="26" fillId="30" borderId="0" xfId="36" applyFont="1" applyFill="1" applyBorder="1" applyAlignment="1">
      <alignment horizontal="left"/>
    </xf>
  </cellXfs>
  <cellStyles count="47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Euro" xfId="31" xr:uid="{00000000-0005-0000-0000-00001E000000}"/>
    <cellStyle name="Euro 2" xfId="32" xr:uid="{00000000-0005-0000-0000-00001F000000}"/>
    <cellStyle name="Hyperlink" xfId="33" builtinId="8"/>
    <cellStyle name="Incorrecto 2" xfId="34" xr:uid="{00000000-0005-0000-0000-000021000000}"/>
    <cellStyle name="Neutral 2" xfId="35" xr:uid="{00000000-0005-0000-0000-000022000000}"/>
    <cellStyle name="Normal" xfId="0" builtinId="0"/>
    <cellStyle name="Normal 2" xfId="36" xr:uid="{00000000-0005-0000-0000-000024000000}"/>
    <cellStyle name="Normal 3" xfId="37" xr:uid="{00000000-0005-0000-0000-000025000000}"/>
    <cellStyle name="Notas 2" xfId="38" xr:uid="{00000000-0005-0000-0000-000026000000}"/>
    <cellStyle name="Salida 2" xfId="39" xr:uid="{00000000-0005-0000-0000-000027000000}"/>
    <cellStyle name="Texto de advertencia 2" xfId="40" xr:uid="{00000000-0005-0000-0000-000028000000}"/>
    <cellStyle name="Texto explicativo 2" xfId="41" xr:uid="{00000000-0005-0000-0000-000029000000}"/>
    <cellStyle name="Título 1 2" xfId="42" xr:uid="{00000000-0005-0000-0000-00002A000000}"/>
    <cellStyle name="Título 2 2" xfId="43" xr:uid="{00000000-0005-0000-0000-00002B000000}"/>
    <cellStyle name="Título 3 2" xfId="44" xr:uid="{00000000-0005-0000-0000-00002C000000}"/>
    <cellStyle name="Título 4" xfId="45" xr:uid="{00000000-0005-0000-0000-00002D000000}"/>
    <cellStyle name="Total 2" xfId="46" xr:uid="{00000000-0005-0000-0000-00002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76200</xdr:rowOff>
    </xdr:from>
    <xdr:to>
      <xdr:col>2</xdr:col>
      <xdr:colOff>0</xdr:colOff>
      <xdr:row>5</xdr:row>
      <xdr:rowOff>19050</xdr:rowOff>
    </xdr:to>
    <xdr:sp macro="" textlink="">
      <xdr:nvSpPr>
        <xdr:cNvPr id="1073" name="WordArt 49">
          <a:extLst>
            <a:ext uri="{FF2B5EF4-FFF2-40B4-BE49-F238E27FC236}">
              <a16:creationId xmlns:a16="http://schemas.microsoft.com/office/drawing/2014/main" id="{0592AA92-2822-B210-3EBE-D1FBA1E0507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0" y="400050"/>
          <a:ext cx="5705475" cy="4286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AR" sz="24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DISTRIBUIDORA SANITARIA FENIX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004"/>
  <sheetViews>
    <sheetView tabSelected="1" topLeftCell="A3564" zoomScaleNormal="100" workbookViewId="0">
      <selection activeCell="E3572" sqref="E3572"/>
    </sheetView>
  </sheetViews>
  <sheetFormatPr defaultColWidth="11.453125" defaultRowHeight="17.5" x14ac:dyDescent="0.35"/>
  <cols>
    <col min="1" max="1" width="16.26953125" style="18" customWidth="1"/>
    <col min="2" max="2" width="73.7265625" style="18" customWidth="1"/>
    <col min="3" max="3" width="17.453125" style="20" customWidth="1"/>
    <col min="4" max="4" width="17.7265625" style="11" bestFit="1" customWidth="1"/>
    <col min="5" max="5" width="17.7265625" style="27" customWidth="1"/>
    <col min="6" max="6" width="20" style="2" bestFit="1" customWidth="1"/>
    <col min="7" max="7" width="20" style="3" bestFit="1" customWidth="1"/>
    <col min="8" max="8" width="20" style="4" bestFit="1" customWidth="1"/>
    <col min="9" max="9" width="20" style="5" bestFit="1" customWidth="1"/>
    <col min="10" max="16384" width="11.453125" style="1"/>
  </cols>
  <sheetData>
    <row r="2" spans="1:9" ht="25" x14ac:dyDescent="0.5">
      <c r="B2" s="23" t="s">
        <v>6870</v>
      </c>
    </row>
    <row r="7" spans="1:9" x14ac:dyDescent="0.35">
      <c r="A7" s="17"/>
    </row>
    <row r="8" spans="1:9" x14ac:dyDescent="0.35">
      <c r="A8" s="17"/>
    </row>
    <row r="9" spans="1:9" ht="18" x14ac:dyDescent="0.35">
      <c r="A9" s="22" t="s">
        <v>2690</v>
      </c>
      <c r="B9" s="22" t="s">
        <v>2689</v>
      </c>
    </row>
    <row r="10" spans="1:9" ht="15.75" customHeight="1" x14ac:dyDescent="0.4">
      <c r="A10" s="21"/>
      <c r="B10" s="19" t="s">
        <v>121</v>
      </c>
      <c r="C10" s="40"/>
      <c r="D10" s="26" t="s">
        <v>6319</v>
      </c>
      <c r="E10" s="27" t="s">
        <v>6320</v>
      </c>
      <c r="F10" s="13">
        <v>0.3</v>
      </c>
      <c r="G10" s="14">
        <v>0.4</v>
      </c>
      <c r="H10" s="15">
        <v>0.5</v>
      </c>
      <c r="I10" s="16">
        <v>0.6</v>
      </c>
    </row>
    <row r="11" spans="1:9" x14ac:dyDescent="0.35">
      <c r="A11" s="18" t="s">
        <v>2461</v>
      </c>
      <c r="B11" s="18" t="s">
        <v>79</v>
      </c>
      <c r="C11" s="20">
        <v>45726</v>
      </c>
      <c r="D11" s="11">
        <v>815.00438250000025</v>
      </c>
      <c r="E11" s="27">
        <f>D11*1.21*0.92</f>
        <v>907.26287859900026</v>
      </c>
      <c r="F11" s="6">
        <f>E11*1.3</f>
        <v>1179.4417421787005</v>
      </c>
      <c r="G11" s="7">
        <f>E11*1.4</f>
        <v>1270.1680300386004</v>
      </c>
      <c r="H11" s="8">
        <f>E11*1.5</f>
        <v>1360.8943178985005</v>
      </c>
      <c r="I11" s="9">
        <f>E11*1.6</f>
        <v>1451.6206057584004</v>
      </c>
    </row>
    <row r="12" spans="1:9" x14ac:dyDescent="0.35">
      <c r="A12" s="18" t="s">
        <v>2462</v>
      </c>
      <c r="B12" s="18" t="s">
        <v>80</v>
      </c>
      <c r="C12" s="20">
        <v>45726</v>
      </c>
      <c r="D12" s="11">
        <v>1250.6666287500004</v>
      </c>
      <c r="E12" s="27">
        <f t="shared" ref="E12:E75" si="0">D12*1.21*0.92</f>
        <v>1392.2420911245003</v>
      </c>
      <c r="F12" s="6">
        <f t="shared" ref="F12:F75" si="1">E12*1.3</f>
        <v>1809.9147184618505</v>
      </c>
      <c r="G12" s="7">
        <f t="shared" ref="G12:G75" si="2">E12*1.4</f>
        <v>1949.1389275743004</v>
      </c>
      <c r="H12" s="8">
        <f t="shared" ref="H12:H75" si="3">E12*1.5</f>
        <v>2088.3631366867503</v>
      </c>
      <c r="I12" s="9">
        <f t="shared" ref="I12:I75" si="4">E12*1.6</f>
        <v>2227.5873457992006</v>
      </c>
    </row>
    <row r="13" spans="1:9" x14ac:dyDescent="0.35">
      <c r="A13" s="18" t="s">
        <v>2463</v>
      </c>
      <c r="B13" s="18" t="s">
        <v>81</v>
      </c>
      <c r="C13" s="20">
        <v>45726</v>
      </c>
      <c r="D13" s="11">
        <v>1798.15048875</v>
      </c>
      <c r="E13" s="27">
        <f t="shared" si="0"/>
        <v>2001.7011240765</v>
      </c>
      <c r="F13" s="6">
        <f t="shared" si="1"/>
        <v>2602.2114612994501</v>
      </c>
      <c r="G13" s="7">
        <f t="shared" si="2"/>
        <v>2802.3815737071</v>
      </c>
      <c r="H13" s="8">
        <f t="shared" si="3"/>
        <v>3002.5516861147498</v>
      </c>
      <c r="I13" s="9">
        <f t="shared" si="4"/>
        <v>3202.7217985224001</v>
      </c>
    </row>
    <row r="14" spans="1:9" x14ac:dyDescent="0.35">
      <c r="A14" s="18" t="s">
        <v>2464</v>
      </c>
      <c r="B14" s="18" t="s">
        <v>82</v>
      </c>
      <c r="C14" s="20">
        <v>45726</v>
      </c>
      <c r="D14" s="11">
        <v>4308.8693206685139</v>
      </c>
      <c r="E14" s="27">
        <f t="shared" si="0"/>
        <v>4796.6333277681897</v>
      </c>
      <c r="F14" s="6">
        <f t="shared" si="1"/>
        <v>6235.6233260986464</v>
      </c>
      <c r="G14" s="7">
        <f t="shared" si="2"/>
        <v>6715.286658875465</v>
      </c>
      <c r="H14" s="8">
        <f t="shared" si="3"/>
        <v>7194.9499916522846</v>
      </c>
      <c r="I14" s="9">
        <f t="shared" si="4"/>
        <v>7674.6133244291041</v>
      </c>
    </row>
    <row r="15" spans="1:9" x14ac:dyDescent="0.35">
      <c r="A15" s="18" t="s">
        <v>2465</v>
      </c>
      <c r="B15" s="18" t="s">
        <v>83</v>
      </c>
      <c r="C15" s="20">
        <v>45726</v>
      </c>
      <c r="D15" s="11">
        <v>6474.8745216060679</v>
      </c>
      <c r="E15" s="27">
        <f t="shared" si="0"/>
        <v>7207.8303174518751</v>
      </c>
      <c r="F15" s="6">
        <f t="shared" si="1"/>
        <v>9370.1794126874374</v>
      </c>
      <c r="G15" s="7">
        <f t="shared" si="2"/>
        <v>10090.962444432624</v>
      </c>
      <c r="H15" s="8">
        <f t="shared" si="3"/>
        <v>10811.745476177814</v>
      </c>
      <c r="I15" s="9">
        <f t="shared" si="4"/>
        <v>11532.528507923002</v>
      </c>
    </row>
    <row r="16" spans="1:9" ht="18" x14ac:dyDescent="0.4">
      <c r="A16" s="18" t="s">
        <v>2466</v>
      </c>
      <c r="B16" s="41" t="s">
        <v>84</v>
      </c>
      <c r="C16" s="20">
        <v>45726</v>
      </c>
      <c r="D16" s="11">
        <v>9011.1370218491902</v>
      </c>
      <c r="E16" s="27">
        <f t="shared" si="0"/>
        <v>10031.19773272252</v>
      </c>
      <c r="F16" s="6">
        <f t="shared" si="1"/>
        <v>13040.557052539276</v>
      </c>
      <c r="G16" s="7">
        <f t="shared" si="2"/>
        <v>14043.676825811526</v>
      </c>
      <c r="H16" s="8">
        <f t="shared" si="3"/>
        <v>15046.79659908378</v>
      </c>
      <c r="I16" s="9">
        <f t="shared" si="4"/>
        <v>16049.916372356032</v>
      </c>
    </row>
    <row r="17" spans="1:9" x14ac:dyDescent="0.35">
      <c r="C17" s="20">
        <v>45726</v>
      </c>
      <c r="D17" s="11">
        <v>0</v>
      </c>
      <c r="E17" s="27">
        <f t="shared" si="0"/>
        <v>0</v>
      </c>
      <c r="F17" s="6">
        <f t="shared" si="1"/>
        <v>0</v>
      </c>
      <c r="G17" s="7">
        <f t="shared" si="2"/>
        <v>0</v>
      </c>
      <c r="H17" s="8">
        <f t="shared" si="3"/>
        <v>0</v>
      </c>
      <c r="I17" s="9">
        <f t="shared" si="4"/>
        <v>0</v>
      </c>
    </row>
    <row r="18" spans="1:9" x14ac:dyDescent="0.35">
      <c r="A18" s="18" t="s">
        <v>2467</v>
      </c>
      <c r="B18" s="18" t="s">
        <v>85</v>
      </c>
      <c r="C18" s="20">
        <v>45726</v>
      </c>
      <c r="D18" s="11">
        <v>1314.5179162500001</v>
      </c>
      <c r="E18" s="27">
        <f t="shared" si="0"/>
        <v>1463.3213443695001</v>
      </c>
      <c r="F18" s="6">
        <f t="shared" si="1"/>
        <v>1902.3177476803503</v>
      </c>
      <c r="G18" s="7">
        <f t="shared" si="2"/>
        <v>2048.6498821173</v>
      </c>
      <c r="H18" s="8">
        <f t="shared" si="3"/>
        <v>2194.9820165542501</v>
      </c>
      <c r="I18" s="9">
        <f t="shared" si="4"/>
        <v>2341.3141509912002</v>
      </c>
    </row>
    <row r="19" spans="1:9" x14ac:dyDescent="0.35">
      <c r="A19" s="18" t="s">
        <v>2468</v>
      </c>
      <c r="B19" s="18" t="s">
        <v>86</v>
      </c>
      <c r="C19" s="20">
        <v>45726</v>
      </c>
      <c r="D19" s="11">
        <v>1735.9364137500004</v>
      </c>
      <c r="E19" s="27">
        <f t="shared" si="0"/>
        <v>1932.4444157865005</v>
      </c>
      <c r="F19" s="6">
        <f t="shared" si="1"/>
        <v>2512.1777405224507</v>
      </c>
      <c r="G19" s="7">
        <f t="shared" si="2"/>
        <v>2705.4221821011006</v>
      </c>
      <c r="H19" s="8">
        <f t="shared" si="3"/>
        <v>2898.666623679751</v>
      </c>
      <c r="I19" s="9">
        <f t="shared" si="4"/>
        <v>3091.9110652584009</v>
      </c>
    </row>
    <row r="20" spans="1:9" x14ac:dyDescent="0.35">
      <c r="C20" s="20">
        <v>45726</v>
      </c>
      <c r="D20" s="11">
        <v>0</v>
      </c>
      <c r="E20" s="27">
        <f t="shared" si="0"/>
        <v>0</v>
      </c>
      <c r="F20" s="6">
        <f t="shared" si="1"/>
        <v>0</v>
      </c>
      <c r="G20" s="7">
        <f t="shared" si="2"/>
        <v>0</v>
      </c>
      <c r="H20" s="8">
        <f t="shared" si="3"/>
        <v>0</v>
      </c>
      <c r="I20" s="9">
        <f t="shared" si="4"/>
        <v>0</v>
      </c>
    </row>
    <row r="21" spans="1:9" x14ac:dyDescent="0.35">
      <c r="A21" s="18" t="s">
        <v>2469</v>
      </c>
      <c r="B21" s="18" t="s">
        <v>87</v>
      </c>
      <c r="C21" s="20">
        <v>45726</v>
      </c>
      <c r="D21" s="11">
        <v>1137.2896631250003</v>
      </c>
      <c r="E21" s="27">
        <f t="shared" si="0"/>
        <v>1266.0308529907504</v>
      </c>
      <c r="F21" s="6">
        <f t="shared" si="1"/>
        <v>1645.8401088879757</v>
      </c>
      <c r="G21" s="7">
        <f t="shared" si="2"/>
        <v>1772.4431941870505</v>
      </c>
      <c r="H21" s="8">
        <f t="shared" si="3"/>
        <v>1899.0462794861255</v>
      </c>
      <c r="I21" s="9">
        <f t="shared" si="4"/>
        <v>2025.6493647852008</v>
      </c>
    </row>
    <row r="22" spans="1:9" x14ac:dyDescent="0.35">
      <c r="A22" s="18" t="s">
        <v>2470</v>
      </c>
      <c r="B22" s="18" t="s">
        <v>88</v>
      </c>
      <c r="C22" s="20">
        <v>45726</v>
      </c>
      <c r="D22" s="11">
        <v>1393.7590012500004</v>
      </c>
      <c r="E22" s="27">
        <f t="shared" si="0"/>
        <v>1551.5325201915005</v>
      </c>
      <c r="F22" s="6">
        <f t="shared" si="1"/>
        <v>2016.9922762489507</v>
      </c>
      <c r="G22" s="7">
        <f t="shared" si="2"/>
        <v>2172.1455282681004</v>
      </c>
      <c r="H22" s="8">
        <f t="shared" si="3"/>
        <v>2327.2987802872508</v>
      </c>
      <c r="I22" s="9">
        <f t="shared" si="4"/>
        <v>2482.4520323064007</v>
      </c>
    </row>
    <row r="23" spans="1:9" x14ac:dyDescent="0.35">
      <c r="A23" s="18" t="s">
        <v>2471</v>
      </c>
      <c r="B23" s="18" t="s">
        <v>89</v>
      </c>
      <c r="C23" s="20">
        <v>45726</v>
      </c>
      <c r="D23" s="11">
        <v>2902.6200000000003</v>
      </c>
      <c r="E23" s="27">
        <f t="shared" si="0"/>
        <v>3231.1965840000007</v>
      </c>
      <c r="F23" s="6">
        <f t="shared" si="1"/>
        <v>4200.555559200001</v>
      </c>
      <c r="G23" s="7">
        <f t="shared" si="2"/>
        <v>4523.6752176000009</v>
      </c>
      <c r="H23" s="8">
        <f t="shared" si="3"/>
        <v>4846.7948760000008</v>
      </c>
      <c r="I23" s="9">
        <f t="shared" si="4"/>
        <v>5169.9145344000017</v>
      </c>
    </row>
    <row r="24" spans="1:9" x14ac:dyDescent="0.35">
      <c r="A24" s="18" t="s">
        <v>2472</v>
      </c>
      <c r="B24" s="18" t="s">
        <v>90</v>
      </c>
      <c r="C24" s="20">
        <v>45726</v>
      </c>
      <c r="D24" s="11">
        <v>4453.5967985006509</v>
      </c>
      <c r="E24" s="27">
        <f t="shared" si="0"/>
        <v>4957.7439560909252</v>
      </c>
      <c r="F24" s="6">
        <f t="shared" si="1"/>
        <v>6445.067142918203</v>
      </c>
      <c r="G24" s="7">
        <f t="shared" si="2"/>
        <v>6940.8415385272947</v>
      </c>
      <c r="H24" s="8">
        <f t="shared" si="3"/>
        <v>7436.6159341363873</v>
      </c>
      <c r="I24" s="9">
        <f t="shared" si="4"/>
        <v>7932.3903297454808</v>
      </c>
    </row>
    <row r="25" spans="1:9" x14ac:dyDescent="0.35">
      <c r="A25" s="18" t="s">
        <v>2473</v>
      </c>
      <c r="B25" s="18" t="s">
        <v>91</v>
      </c>
      <c r="C25" s="20">
        <v>45726</v>
      </c>
      <c r="D25" s="11">
        <v>7384.620901079641</v>
      </c>
      <c r="E25" s="27">
        <f t="shared" si="0"/>
        <v>8220.5599870818551</v>
      </c>
      <c r="F25" s="6">
        <f t="shared" si="1"/>
        <v>10686.727983206412</v>
      </c>
      <c r="G25" s="7">
        <f t="shared" si="2"/>
        <v>11508.783981914596</v>
      </c>
      <c r="H25" s="8">
        <f t="shared" si="3"/>
        <v>12330.839980622783</v>
      </c>
      <c r="I25" s="9">
        <f t="shared" si="4"/>
        <v>13152.89597933097</v>
      </c>
    </row>
    <row r="26" spans="1:9" x14ac:dyDescent="0.35">
      <c r="A26" s="18" t="s">
        <v>2474</v>
      </c>
      <c r="B26" s="18" t="s">
        <v>92</v>
      </c>
      <c r="C26" s="20">
        <v>45726</v>
      </c>
      <c r="D26" s="11">
        <v>9890.3715122745398</v>
      </c>
      <c r="E26" s="27">
        <f t="shared" si="0"/>
        <v>11009.961567464017</v>
      </c>
      <c r="F26" s="6">
        <f t="shared" si="1"/>
        <v>14312.950037703224</v>
      </c>
      <c r="G26" s="7">
        <f t="shared" si="2"/>
        <v>15413.946194449623</v>
      </c>
      <c r="H26" s="8">
        <f t="shared" si="3"/>
        <v>16514.942351196027</v>
      </c>
      <c r="I26" s="9">
        <f t="shared" si="4"/>
        <v>17615.938507942428</v>
      </c>
    </row>
    <row r="27" spans="1:9" x14ac:dyDescent="0.35">
      <c r="C27" s="20">
        <v>45726</v>
      </c>
      <c r="D27" s="11">
        <v>0</v>
      </c>
      <c r="E27" s="27">
        <f t="shared" si="0"/>
        <v>0</v>
      </c>
      <c r="F27" s="6">
        <f t="shared" si="1"/>
        <v>0</v>
      </c>
      <c r="G27" s="7">
        <f t="shared" si="2"/>
        <v>0</v>
      </c>
      <c r="H27" s="8">
        <f t="shared" si="3"/>
        <v>0</v>
      </c>
      <c r="I27" s="9">
        <f t="shared" si="4"/>
        <v>0</v>
      </c>
    </row>
    <row r="28" spans="1:9" x14ac:dyDescent="0.35">
      <c r="A28" s="18" t="s">
        <v>2475</v>
      </c>
      <c r="B28" s="18" t="s">
        <v>93</v>
      </c>
      <c r="C28" s="20">
        <v>45726</v>
      </c>
      <c r="D28" s="11">
        <v>1210.3745940591584</v>
      </c>
      <c r="E28" s="27">
        <f t="shared" si="0"/>
        <v>1347.3889981066552</v>
      </c>
      <c r="F28" s="6">
        <f t="shared" si="1"/>
        <v>1751.6056975386518</v>
      </c>
      <c r="G28" s="7">
        <f t="shared" si="2"/>
        <v>1886.3445973493172</v>
      </c>
      <c r="H28" s="8">
        <f t="shared" si="3"/>
        <v>2021.0834971599829</v>
      </c>
      <c r="I28" s="9">
        <f t="shared" si="4"/>
        <v>2155.8223969706482</v>
      </c>
    </row>
    <row r="29" spans="1:9" x14ac:dyDescent="0.35">
      <c r="A29" s="18" t="s">
        <v>2476</v>
      </c>
      <c r="B29" s="18" t="s">
        <v>94</v>
      </c>
      <c r="C29" s="20">
        <v>45726</v>
      </c>
      <c r="D29" s="11">
        <v>1491</v>
      </c>
      <c r="E29" s="27">
        <f t="shared" si="0"/>
        <v>1659.7811999999999</v>
      </c>
      <c r="F29" s="6">
        <f t="shared" si="1"/>
        <v>2157.7155600000001</v>
      </c>
      <c r="G29" s="7">
        <f t="shared" si="2"/>
        <v>2323.6936799999999</v>
      </c>
      <c r="H29" s="8">
        <f t="shared" si="3"/>
        <v>2489.6718000000001</v>
      </c>
      <c r="I29" s="9">
        <f t="shared" si="4"/>
        <v>2655.6499199999998</v>
      </c>
    </row>
    <row r="30" spans="1:9" x14ac:dyDescent="0.35">
      <c r="A30" s="18" t="s">
        <v>2477</v>
      </c>
      <c r="B30" s="18" t="s">
        <v>95</v>
      </c>
      <c r="C30" s="20">
        <v>45726</v>
      </c>
      <c r="D30" s="11">
        <v>2991.5313955166698</v>
      </c>
      <c r="E30" s="27">
        <f t="shared" si="0"/>
        <v>3330.172749489157</v>
      </c>
      <c r="F30" s="6">
        <f t="shared" si="1"/>
        <v>4329.2245743359044</v>
      </c>
      <c r="G30" s="7">
        <f t="shared" si="2"/>
        <v>4662.2418492848192</v>
      </c>
      <c r="H30" s="8">
        <f t="shared" si="3"/>
        <v>4995.2591242337357</v>
      </c>
      <c r="I30" s="9">
        <f t="shared" si="4"/>
        <v>5328.2763991826514</v>
      </c>
    </row>
    <row r="31" spans="1:9" x14ac:dyDescent="0.35">
      <c r="A31" s="18" t="s">
        <v>2478</v>
      </c>
      <c r="B31" s="18" t="s">
        <v>96</v>
      </c>
      <c r="C31" s="20">
        <v>45726</v>
      </c>
      <c r="D31" s="11">
        <v>3136.4694746492537</v>
      </c>
      <c r="E31" s="27">
        <f t="shared" si="0"/>
        <v>3491.5178191795494</v>
      </c>
      <c r="F31" s="6">
        <f t="shared" si="1"/>
        <v>4538.9731649334144</v>
      </c>
      <c r="G31" s="7">
        <f t="shared" si="2"/>
        <v>4888.1249468513688</v>
      </c>
      <c r="H31" s="8">
        <f t="shared" si="3"/>
        <v>5237.2767287693241</v>
      </c>
      <c r="I31" s="9">
        <f t="shared" si="4"/>
        <v>5586.4285106872794</v>
      </c>
    </row>
    <row r="32" spans="1:9" x14ac:dyDescent="0.35">
      <c r="A32" s="18" t="s">
        <v>2479</v>
      </c>
      <c r="B32" s="18" t="s">
        <v>97</v>
      </c>
      <c r="C32" s="20">
        <v>45726</v>
      </c>
      <c r="D32" s="11">
        <v>4303.9999948280138</v>
      </c>
      <c r="E32" s="27">
        <f t="shared" si="0"/>
        <v>4791.212794242545</v>
      </c>
      <c r="F32" s="6">
        <f t="shared" si="1"/>
        <v>6228.576632515309</v>
      </c>
      <c r="G32" s="7">
        <f t="shared" si="2"/>
        <v>6707.6979119395628</v>
      </c>
      <c r="H32" s="8">
        <f t="shared" si="3"/>
        <v>7186.8191913638175</v>
      </c>
      <c r="I32" s="9">
        <f t="shared" si="4"/>
        <v>7665.9404707880722</v>
      </c>
    </row>
    <row r="33" spans="1:9" x14ac:dyDescent="0.35">
      <c r="A33" s="18" t="s">
        <v>2480</v>
      </c>
      <c r="B33" s="18" t="s">
        <v>98</v>
      </c>
      <c r="C33" s="20">
        <v>45726</v>
      </c>
      <c r="D33" s="11">
        <v>3630.5336434187939</v>
      </c>
      <c r="E33" s="27">
        <f t="shared" si="0"/>
        <v>4041.5100518538011</v>
      </c>
      <c r="F33" s="6">
        <f t="shared" si="1"/>
        <v>5253.9630674099417</v>
      </c>
      <c r="G33" s="7">
        <f t="shared" si="2"/>
        <v>5658.114072595321</v>
      </c>
      <c r="H33" s="8">
        <f t="shared" si="3"/>
        <v>6062.2650777807012</v>
      </c>
      <c r="I33" s="9">
        <f t="shared" si="4"/>
        <v>6466.4160829660823</v>
      </c>
    </row>
    <row r="34" spans="1:9" x14ac:dyDescent="0.35">
      <c r="A34" s="18" t="s">
        <v>2481</v>
      </c>
      <c r="B34" s="18" t="s">
        <v>99</v>
      </c>
      <c r="C34" s="20">
        <v>45726</v>
      </c>
      <c r="D34" s="11">
        <v>4135.1022820928965</v>
      </c>
      <c r="E34" s="27">
        <f t="shared" si="0"/>
        <v>4603.1958604258125</v>
      </c>
      <c r="F34" s="6">
        <f t="shared" si="1"/>
        <v>5984.1546185535562</v>
      </c>
      <c r="G34" s="7">
        <f t="shared" si="2"/>
        <v>6444.4742045961375</v>
      </c>
      <c r="H34" s="8">
        <f t="shared" si="3"/>
        <v>6904.7937906387187</v>
      </c>
      <c r="I34" s="9">
        <f t="shared" si="4"/>
        <v>7365.1133766813</v>
      </c>
    </row>
    <row r="35" spans="1:9" x14ac:dyDescent="0.35">
      <c r="A35" s="18" t="s">
        <v>2482</v>
      </c>
      <c r="B35" s="18" t="s">
        <v>100</v>
      </c>
      <c r="C35" s="20">
        <v>45726</v>
      </c>
      <c r="D35" s="11">
        <v>0</v>
      </c>
      <c r="E35" s="27">
        <f t="shared" si="0"/>
        <v>0</v>
      </c>
      <c r="F35" s="6">
        <f t="shared" si="1"/>
        <v>0</v>
      </c>
      <c r="G35" s="7">
        <f t="shared" si="2"/>
        <v>0</v>
      </c>
      <c r="H35" s="8">
        <f t="shared" si="3"/>
        <v>0</v>
      </c>
      <c r="I35" s="9">
        <f t="shared" si="4"/>
        <v>0</v>
      </c>
    </row>
    <row r="36" spans="1:9" x14ac:dyDescent="0.35">
      <c r="A36" s="18" t="s">
        <v>2483</v>
      </c>
      <c r="B36" s="18" t="s">
        <v>101</v>
      </c>
      <c r="C36" s="20">
        <v>45726</v>
      </c>
      <c r="D36" s="11">
        <v>5156.2783901182347</v>
      </c>
      <c r="E36" s="27">
        <f t="shared" si="0"/>
        <v>5739.9691038796191</v>
      </c>
      <c r="F36" s="6">
        <f t="shared" si="1"/>
        <v>7461.9598350435053</v>
      </c>
      <c r="G36" s="7">
        <f t="shared" si="2"/>
        <v>8035.9567454314665</v>
      </c>
      <c r="H36" s="8">
        <f t="shared" si="3"/>
        <v>8609.9536558194286</v>
      </c>
      <c r="I36" s="9">
        <f t="shared" si="4"/>
        <v>9183.9505662073916</v>
      </c>
    </row>
    <row r="37" spans="1:9" x14ac:dyDescent="0.35">
      <c r="A37" s="18" t="s">
        <v>2484</v>
      </c>
      <c r="B37" s="18" t="s">
        <v>102</v>
      </c>
      <c r="C37" s="20">
        <v>45726</v>
      </c>
      <c r="D37" s="11">
        <v>5241.4944268720819</v>
      </c>
      <c r="E37" s="27">
        <f t="shared" si="0"/>
        <v>5834.831595994001</v>
      </c>
      <c r="F37" s="6">
        <f t="shared" si="1"/>
        <v>7585.2810747922013</v>
      </c>
      <c r="G37" s="7">
        <f t="shared" si="2"/>
        <v>8168.7642343916004</v>
      </c>
      <c r="H37" s="8">
        <f t="shared" si="3"/>
        <v>8752.2473939910014</v>
      </c>
      <c r="I37" s="9">
        <f t="shared" si="4"/>
        <v>9335.7305535904015</v>
      </c>
    </row>
    <row r="38" spans="1:9" x14ac:dyDescent="0.35">
      <c r="A38" s="18" t="s">
        <v>2485</v>
      </c>
      <c r="B38" s="18" t="s">
        <v>103</v>
      </c>
      <c r="C38" s="20">
        <v>45726</v>
      </c>
      <c r="D38" s="11">
        <v>6605.1870704371267</v>
      </c>
      <c r="E38" s="27">
        <f t="shared" si="0"/>
        <v>7352.8942468106097</v>
      </c>
      <c r="F38" s="6">
        <f t="shared" si="1"/>
        <v>9558.7625208537938</v>
      </c>
      <c r="G38" s="7">
        <f t="shared" si="2"/>
        <v>10294.051945534853</v>
      </c>
      <c r="H38" s="8">
        <f t="shared" si="3"/>
        <v>11029.341370215914</v>
      </c>
      <c r="I38" s="9">
        <f t="shared" si="4"/>
        <v>11764.630794896977</v>
      </c>
    </row>
    <row r="39" spans="1:9" x14ac:dyDescent="0.35">
      <c r="C39" s="20">
        <v>45726</v>
      </c>
      <c r="D39" s="11">
        <v>0</v>
      </c>
      <c r="E39" s="27">
        <f t="shared" si="0"/>
        <v>0</v>
      </c>
      <c r="F39" s="6">
        <f t="shared" si="1"/>
        <v>0</v>
      </c>
      <c r="G39" s="7">
        <f t="shared" si="2"/>
        <v>0</v>
      </c>
      <c r="H39" s="8">
        <f t="shared" si="3"/>
        <v>0</v>
      </c>
      <c r="I39" s="9">
        <f t="shared" si="4"/>
        <v>0</v>
      </c>
    </row>
    <row r="40" spans="1:9" x14ac:dyDescent="0.35">
      <c r="A40" s="18" t="s">
        <v>2486</v>
      </c>
      <c r="B40" s="18" t="s">
        <v>104</v>
      </c>
      <c r="C40" s="20">
        <v>45726</v>
      </c>
      <c r="D40" s="11">
        <v>2743.5550891180051</v>
      </c>
      <c r="E40" s="27">
        <f t="shared" si="0"/>
        <v>3054.1255252061633</v>
      </c>
      <c r="F40" s="6">
        <f t="shared" si="1"/>
        <v>3970.3631827680124</v>
      </c>
      <c r="G40" s="7">
        <f t="shared" si="2"/>
        <v>4275.7757352886283</v>
      </c>
      <c r="H40" s="8">
        <f t="shared" si="3"/>
        <v>4581.1882878092447</v>
      </c>
      <c r="I40" s="9">
        <f t="shared" si="4"/>
        <v>4886.6008403298611</v>
      </c>
    </row>
    <row r="41" spans="1:9" x14ac:dyDescent="0.35">
      <c r="A41" s="18" t="s">
        <v>2487</v>
      </c>
      <c r="B41" s="18" t="s">
        <v>105</v>
      </c>
      <c r="C41" s="20">
        <v>45726</v>
      </c>
      <c r="D41" s="11">
        <v>3230.5375927833497</v>
      </c>
      <c r="E41" s="27">
        <f t="shared" si="0"/>
        <v>3596.234448286425</v>
      </c>
      <c r="F41" s="6">
        <f t="shared" si="1"/>
        <v>4675.1047827723523</v>
      </c>
      <c r="G41" s="7">
        <f t="shared" si="2"/>
        <v>5034.7282276009946</v>
      </c>
      <c r="H41" s="8">
        <f t="shared" si="3"/>
        <v>5394.3516724296378</v>
      </c>
      <c r="I41" s="9">
        <f t="shared" si="4"/>
        <v>5753.9751172582801</v>
      </c>
    </row>
    <row r="42" spans="1:9" x14ac:dyDescent="0.35">
      <c r="A42" s="18" t="s">
        <v>2488</v>
      </c>
      <c r="B42" s="18" t="s">
        <v>106</v>
      </c>
      <c r="C42" s="20">
        <v>45726</v>
      </c>
      <c r="D42" s="11">
        <v>3966.0865416060392</v>
      </c>
      <c r="E42" s="27">
        <f t="shared" si="0"/>
        <v>4415.0475381158431</v>
      </c>
      <c r="F42" s="6">
        <f t="shared" si="1"/>
        <v>5739.5617995505963</v>
      </c>
      <c r="G42" s="7">
        <f t="shared" si="2"/>
        <v>6181.0665533621795</v>
      </c>
      <c r="H42" s="8">
        <f t="shared" si="3"/>
        <v>6622.5713071737646</v>
      </c>
      <c r="I42" s="9">
        <f t="shared" si="4"/>
        <v>7064.0760609853496</v>
      </c>
    </row>
    <row r="43" spans="1:9" x14ac:dyDescent="0.35">
      <c r="A43" s="18" t="s">
        <v>2489</v>
      </c>
      <c r="B43" s="18" t="s">
        <v>107</v>
      </c>
      <c r="C43" s="20">
        <v>45726</v>
      </c>
      <c r="D43" s="11">
        <v>7585.2895208581167</v>
      </c>
      <c r="E43" s="27">
        <f t="shared" si="0"/>
        <v>8443.9442946192557</v>
      </c>
      <c r="F43" s="6">
        <f t="shared" si="1"/>
        <v>10977.127583005033</v>
      </c>
      <c r="G43" s="7">
        <f t="shared" si="2"/>
        <v>11821.522012466958</v>
      </c>
      <c r="H43" s="8">
        <f t="shared" si="3"/>
        <v>12665.916441928883</v>
      </c>
      <c r="I43" s="9">
        <f t="shared" si="4"/>
        <v>13510.31087139081</v>
      </c>
    </row>
    <row r="44" spans="1:9" x14ac:dyDescent="0.35">
      <c r="A44" s="18" t="s">
        <v>1592</v>
      </c>
      <c r="B44" s="18" t="s">
        <v>108</v>
      </c>
      <c r="C44" s="20">
        <v>45726</v>
      </c>
      <c r="D44" s="11">
        <v>8804.0440852905722</v>
      </c>
      <c r="E44" s="27">
        <f t="shared" si="0"/>
        <v>9800.6618757454653</v>
      </c>
      <c r="F44" s="6">
        <f t="shared" si="1"/>
        <v>12740.860438469106</v>
      </c>
      <c r="G44" s="7">
        <f t="shared" si="2"/>
        <v>13720.926626043651</v>
      </c>
      <c r="H44" s="8">
        <f t="shared" si="3"/>
        <v>14700.992813618199</v>
      </c>
      <c r="I44" s="9">
        <f t="shared" si="4"/>
        <v>15681.059001192745</v>
      </c>
    </row>
    <row r="45" spans="1:9" x14ac:dyDescent="0.35">
      <c r="A45" s="18" t="s">
        <v>1593</v>
      </c>
      <c r="B45" s="18" t="s">
        <v>109</v>
      </c>
      <c r="C45" s="20">
        <v>45726</v>
      </c>
      <c r="D45" s="11">
        <v>12375.20976958585</v>
      </c>
      <c r="E45" s="27">
        <f t="shared" si="0"/>
        <v>13776.083515502967</v>
      </c>
      <c r="F45" s="6">
        <f t="shared" si="1"/>
        <v>17908.908570153857</v>
      </c>
      <c r="G45" s="7">
        <f t="shared" si="2"/>
        <v>19286.516921704151</v>
      </c>
      <c r="H45" s="8">
        <f t="shared" si="3"/>
        <v>20664.125273254453</v>
      </c>
      <c r="I45" s="9">
        <f t="shared" si="4"/>
        <v>22041.73362480475</v>
      </c>
    </row>
    <row r="46" spans="1:9" x14ac:dyDescent="0.35">
      <c r="C46" s="20">
        <v>45726</v>
      </c>
      <c r="D46" s="11">
        <v>0</v>
      </c>
      <c r="E46" s="27">
        <f t="shared" si="0"/>
        <v>0</v>
      </c>
      <c r="F46" s="6">
        <f t="shared" si="1"/>
        <v>0</v>
      </c>
      <c r="G46" s="7">
        <f t="shared" si="2"/>
        <v>0</v>
      </c>
      <c r="H46" s="8">
        <f t="shared" si="3"/>
        <v>0</v>
      </c>
      <c r="I46" s="9">
        <f t="shared" si="4"/>
        <v>0</v>
      </c>
    </row>
    <row r="47" spans="1:9" x14ac:dyDescent="0.35">
      <c r="A47" s="18" t="s">
        <v>1594</v>
      </c>
      <c r="B47" s="18" t="s">
        <v>918</v>
      </c>
      <c r="C47" s="20">
        <v>45726</v>
      </c>
      <c r="D47" s="11">
        <v>754.26379875000021</v>
      </c>
      <c r="E47" s="27">
        <f t="shared" si="0"/>
        <v>839.64646076850022</v>
      </c>
      <c r="F47" s="6">
        <f t="shared" si="1"/>
        <v>1091.5403989990502</v>
      </c>
      <c r="G47" s="7">
        <f t="shared" si="2"/>
        <v>1175.5050450759002</v>
      </c>
      <c r="H47" s="8">
        <f t="shared" si="3"/>
        <v>1259.4696911527503</v>
      </c>
      <c r="I47" s="9">
        <f t="shared" si="4"/>
        <v>1343.4343372296005</v>
      </c>
    </row>
    <row r="48" spans="1:9" x14ac:dyDescent="0.35">
      <c r="A48" s="18" t="s">
        <v>1595</v>
      </c>
      <c r="B48" s="18" t="s">
        <v>919</v>
      </c>
      <c r="C48" s="20">
        <v>45726</v>
      </c>
      <c r="D48" s="11">
        <v>1137.535245</v>
      </c>
      <c r="E48" s="27">
        <f t="shared" si="0"/>
        <v>1266.3042347339999</v>
      </c>
      <c r="F48" s="6">
        <f t="shared" si="1"/>
        <v>1646.1955051542</v>
      </c>
      <c r="G48" s="7">
        <f t="shared" si="2"/>
        <v>1772.8259286275998</v>
      </c>
      <c r="H48" s="8">
        <f t="shared" si="3"/>
        <v>1899.456352101</v>
      </c>
      <c r="I48" s="9">
        <f t="shared" si="4"/>
        <v>2026.0867755744</v>
      </c>
    </row>
    <row r="49" spans="1:9" x14ac:dyDescent="0.35">
      <c r="A49" s="18" t="s">
        <v>1596</v>
      </c>
      <c r="B49" s="18" t="s">
        <v>920</v>
      </c>
      <c r="C49" s="20">
        <v>45726</v>
      </c>
      <c r="D49" s="11">
        <v>1735.9364137500004</v>
      </c>
      <c r="E49" s="27">
        <f t="shared" si="0"/>
        <v>1932.4444157865005</v>
      </c>
      <c r="F49" s="6">
        <f t="shared" si="1"/>
        <v>2512.1777405224507</v>
      </c>
      <c r="G49" s="7">
        <f t="shared" si="2"/>
        <v>2705.4221821011006</v>
      </c>
      <c r="H49" s="8">
        <f t="shared" si="3"/>
        <v>2898.666623679751</v>
      </c>
      <c r="I49" s="9">
        <f t="shared" si="4"/>
        <v>3091.9110652584009</v>
      </c>
    </row>
    <row r="50" spans="1:9" x14ac:dyDescent="0.35">
      <c r="A50" s="18" t="s">
        <v>1597</v>
      </c>
      <c r="B50" s="18" t="s">
        <v>921</v>
      </c>
      <c r="C50" s="20">
        <v>45726</v>
      </c>
      <c r="D50" s="11">
        <v>3524.1906391040884</v>
      </c>
      <c r="E50" s="27">
        <f t="shared" si="0"/>
        <v>3923.129019450671</v>
      </c>
      <c r="F50" s="6">
        <f t="shared" si="1"/>
        <v>5100.0677252858723</v>
      </c>
      <c r="G50" s="7">
        <f t="shared" si="2"/>
        <v>5492.3806272309394</v>
      </c>
      <c r="H50" s="8">
        <f t="shared" si="3"/>
        <v>5884.6935291760065</v>
      </c>
      <c r="I50" s="9">
        <f t="shared" si="4"/>
        <v>6277.0064311210735</v>
      </c>
    </row>
    <row r="51" spans="1:9" x14ac:dyDescent="0.35">
      <c r="A51" s="18" t="s">
        <v>1598</v>
      </c>
      <c r="B51" s="18" t="s">
        <v>922</v>
      </c>
      <c r="C51" s="20">
        <v>45726</v>
      </c>
      <c r="D51" s="11">
        <v>4823.7942134761415</v>
      </c>
      <c r="E51" s="27">
        <f t="shared" si="0"/>
        <v>5369.8477184416406</v>
      </c>
      <c r="F51" s="6">
        <f t="shared" si="1"/>
        <v>6980.8020339741333</v>
      </c>
      <c r="G51" s="7">
        <f t="shared" si="2"/>
        <v>7517.7868058182967</v>
      </c>
      <c r="H51" s="8">
        <f t="shared" si="3"/>
        <v>8054.7715776624609</v>
      </c>
      <c r="I51" s="9">
        <f t="shared" si="4"/>
        <v>8591.7563495066261</v>
      </c>
    </row>
    <row r="52" spans="1:9" x14ac:dyDescent="0.35">
      <c r="A52" s="18" t="s">
        <v>1599</v>
      </c>
      <c r="B52" s="18" t="s">
        <v>923</v>
      </c>
      <c r="C52" s="20">
        <v>45726</v>
      </c>
      <c r="D52" s="11">
        <v>8555.8317233884372</v>
      </c>
      <c r="E52" s="27">
        <f t="shared" si="0"/>
        <v>9524.3518744760095</v>
      </c>
      <c r="F52" s="6">
        <f t="shared" si="1"/>
        <v>12381.657436818812</v>
      </c>
      <c r="G52" s="7">
        <f t="shared" si="2"/>
        <v>13334.092624266412</v>
      </c>
      <c r="H52" s="8">
        <f t="shared" si="3"/>
        <v>14286.527811714015</v>
      </c>
      <c r="I52" s="9">
        <f t="shared" si="4"/>
        <v>15238.962999161617</v>
      </c>
    </row>
    <row r="53" spans="1:9" x14ac:dyDescent="0.35">
      <c r="C53" s="20">
        <v>45726</v>
      </c>
      <c r="D53" s="11">
        <v>0</v>
      </c>
      <c r="E53" s="27">
        <f t="shared" si="0"/>
        <v>0</v>
      </c>
      <c r="F53" s="6">
        <f t="shared" si="1"/>
        <v>0</v>
      </c>
      <c r="G53" s="7">
        <f t="shared" si="2"/>
        <v>0</v>
      </c>
      <c r="H53" s="8">
        <f t="shared" si="3"/>
        <v>0</v>
      </c>
      <c r="I53" s="9">
        <f t="shared" si="4"/>
        <v>0</v>
      </c>
    </row>
    <row r="54" spans="1:9" x14ac:dyDescent="0.35">
      <c r="A54" s="18" t="s">
        <v>1600</v>
      </c>
      <c r="B54" s="18" t="s">
        <v>924</v>
      </c>
      <c r="C54" s="20">
        <v>45726</v>
      </c>
      <c r="D54" s="11">
        <v>1785.5250000000001</v>
      </c>
      <c r="E54" s="27">
        <f t="shared" si="0"/>
        <v>1987.6464300000002</v>
      </c>
      <c r="F54" s="6">
        <f t="shared" si="1"/>
        <v>2583.9403590000002</v>
      </c>
      <c r="G54" s="7">
        <f t="shared" si="2"/>
        <v>2782.7050020000001</v>
      </c>
      <c r="H54" s="8">
        <f t="shared" si="3"/>
        <v>2981.4696450000001</v>
      </c>
      <c r="I54" s="9">
        <f t="shared" si="4"/>
        <v>3180.2342880000006</v>
      </c>
    </row>
    <row r="55" spans="1:9" x14ac:dyDescent="0.35">
      <c r="A55" s="18" t="s">
        <v>1601</v>
      </c>
      <c r="B55" s="18" t="s">
        <v>925</v>
      </c>
      <c r="C55" s="20">
        <v>45726</v>
      </c>
      <c r="D55" s="11">
        <v>2189.25</v>
      </c>
      <c r="E55" s="27">
        <f t="shared" si="0"/>
        <v>2437.0731000000001</v>
      </c>
      <c r="F55" s="6">
        <f t="shared" si="1"/>
        <v>3168.1950300000003</v>
      </c>
      <c r="G55" s="7">
        <f t="shared" si="2"/>
        <v>3411.9023400000001</v>
      </c>
      <c r="H55" s="8">
        <f t="shared" si="3"/>
        <v>3655.6096500000003</v>
      </c>
      <c r="I55" s="9">
        <f t="shared" si="4"/>
        <v>3899.3169600000001</v>
      </c>
    </row>
    <row r="56" spans="1:9" x14ac:dyDescent="0.35">
      <c r="A56" s="18" t="s">
        <v>1602</v>
      </c>
      <c r="B56" s="18" t="s">
        <v>926</v>
      </c>
      <c r="C56" s="20">
        <v>45726</v>
      </c>
      <c r="D56" s="11">
        <v>4193.6895000000004</v>
      </c>
      <c r="E56" s="27">
        <f t="shared" si="0"/>
        <v>4668.4151514000005</v>
      </c>
      <c r="F56" s="6">
        <f t="shared" si="1"/>
        <v>6068.9396968200008</v>
      </c>
      <c r="G56" s="7">
        <f t="shared" si="2"/>
        <v>6535.7812119600003</v>
      </c>
      <c r="H56" s="8">
        <f t="shared" si="3"/>
        <v>7002.6227271000007</v>
      </c>
      <c r="I56" s="9">
        <f t="shared" si="4"/>
        <v>7469.4642422400011</v>
      </c>
    </row>
    <row r="57" spans="1:9" x14ac:dyDescent="0.35">
      <c r="A57" s="18" t="s">
        <v>1603</v>
      </c>
      <c r="B57" s="18" t="s">
        <v>927</v>
      </c>
      <c r="C57" s="20">
        <v>45726</v>
      </c>
      <c r="D57" s="11">
        <v>10533.237032425102</v>
      </c>
      <c r="E57" s="27">
        <f t="shared" si="0"/>
        <v>11725.599464495623</v>
      </c>
      <c r="F57" s="6">
        <f t="shared" si="1"/>
        <v>15243.279303844311</v>
      </c>
      <c r="G57" s="7">
        <f t="shared" si="2"/>
        <v>16415.83925029387</v>
      </c>
      <c r="H57" s="8">
        <f t="shared" si="3"/>
        <v>17588.399196743434</v>
      </c>
      <c r="I57" s="9">
        <f t="shared" si="4"/>
        <v>18760.959143192998</v>
      </c>
    </row>
    <row r="58" spans="1:9" x14ac:dyDescent="0.35">
      <c r="A58" s="18" t="s">
        <v>1604</v>
      </c>
      <c r="B58" s="18" t="s">
        <v>928</v>
      </c>
      <c r="C58" s="20">
        <v>45726</v>
      </c>
      <c r="D58" s="11">
        <v>13428.87595806896</v>
      </c>
      <c r="E58" s="27">
        <f t="shared" si="0"/>
        <v>14949.024716522366</v>
      </c>
      <c r="F58" s="6">
        <f t="shared" si="1"/>
        <v>19433.732131479075</v>
      </c>
      <c r="G58" s="7">
        <f t="shared" si="2"/>
        <v>20928.634603131311</v>
      </c>
      <c r="H58" s="8">
        <f t="shared" si="3"/>
        <v>22423.537074783548</v>
      </c>
      <c r="I58" s="9">
        <f t="shared" si="4"/>
        <v>23918.439546435788</v>
      </c>
    </row>
    <row r="59" spans="1:9" x14ac:dyDescent="0.35">
      <c r="A59" s="18" t="s">
        <v>1605</v>
      </c>
      <c r="B59" s="18" t="s">
        <v>1904</v>
      </c>
      <c r="C59" s="20">
        <v>45726</v>
      </c>
      <c r="D59" s="11">
        <v>0</v>
      </c>
      <c r="E59" s="27">
        <f t="shared" si="0"/>
        <v>0</v>
      </c>
      <c r="F59" s="6">
        <f t="shared" si="1"/>
        <v>0</v>
      </c>
      <c r="G59" s="7">
        <f t="shared" si="2"/>
        <v>0</v>
      </c>
      <c r="H59" s="8">
        <f t="shared" si="3"/>
        <v>0</v>
      </c>
      <c r="I59" s="9">
        <f t="shared" si="4"/>
        <v>0</v>
      </c>
    </row>
    <row r="60" spans="1:9" x14ac:dyDescent="0.35">
      <c r="C60" s="20">
        <v>45726</v>
      </c>
      <c r="D60" s="11">
        <v>0</v>
      </c>
      <c r="E60" s="27">
        <f t="shared" si="0"/>
        <v>0</v>
      </c>
      <c r="F60" s="6">
        <f t="shared" si="1"/>
        <v>0</v>
      </c>
      <c r="G60" s="7">
        <f t="shared" si="2"/>
        <v>0</v>
      </c>
      <c r="H60" s="8">
        <f t="shared" si="3"/>
        <v>0</v>
      </c>
      <c r="I60" s="9">
        <f t="shared" si="4"/>
        <v>0</v>
      </c>
    </row>
    <row r="61" spans="1:9" x14ac:dyDescent="0.35">
      <c r="A61" s="18" t="s">
        <v>1606</v>
      </c>
      <c r="B61" s="18" t="s">
        <v>1905</v>
      </c>
      <c r="C61" s="20">
        <v>45726</v>
      </c>
      <c r="D61" s="11">
        <v>3260.398613972719</v>
      </c>
      <c r="E61" s="27">
        <f t="shared" si="0"/>
        <v>3629.4757370744305</v>
      </c>
      <c r="F61" s="6">
        <f t="shared" si="1"/>
        <v>4718.3184581967598</v>
      </c>
      <c r="G61" s="7">
        <f t="shared" si="2"/>
        <v>5081.2660319042025</v>
      </c>
      <c r="H61" s="8">
        <f t="shared" si="3"/>
        <v>5444.213605611646</v>
      </c>
      <c r="I61" s="9">
        <f t="shared" si="4"/>
        <v>5807.1611793190896</v>
      </c>
    </row>
    <row r="62" spans="1:9" x14ac:dyDescent="0.35">
      <c r="A62" s="18" t="s">
        <v>1607</v>
      </c>
      <c r="B62" s="18" t="s">
        <v>1906</v>
      </c>
      <c r="C62" s="20">
        <v>45726</v>
      </c>
      <c r="D62" s="11">
        <v>4810.9291885368484</v>
      </c>
      <c r="E62" s="27">
        <f t="shared" si="0"/>
        <v>5355.5263726792191</v>
      </c>
      <c r="F62" s="6">
        <f t="shared" si="1"/>
        <v>6962.1842844829853</v>
      </c>
      <c r="G62" s="7">
        <f t="shared" si="2"/>
        <v>7497.7369217509058</v>
      </c>
      <c r="H62" s="8">
        <f t="shared" si="3"/>
        <v>8033.2895590188291</v>
      </c>
      <c r="I62" s="9">
        <f t="shared" si="4"/>
        <v>8568.8421962867505</v>
      </c>
    </row>
    <row r="63" spans="1:9" x14ac:dyDescent="0.35">
      <c r="A63" s="18" t="s">
        <v>1608</v>
      </c>
      <c r="B63" s="18" t="s">
        <v>1907</v>
      </c>
      <c r="C63" s="20">
        <v>45726</v>
      </c>
      <c r="D63" s="11">
        <v>4039.6178309379588</v>
      </c>
      <c r="E63" s="27">
        <f t="shared" si="0"/>
        <v>4496.9025694001357</v>
      </c>
      <c r="F63" s="6">
        <f t="shared" si="1"/>
        <v>5845.9733402201764</v>
      </c>
      <c r="G63" s="7">
        <f t="shared" si="2"/>
        <v>6295.66359716019</v>
      </c>
      <c r="H63" s="8">
        <f t="shared" si="3"/>
        <v>6745.3538541002035</v>
      </c>
      <c r="I63" s="9">
        <f t="shared" si="4"/>
        <v>7195.0441110402171</v>
      </c>
    </row>
    <row r="64" spans="1:9" x14ac:dyDescent="0.35">
      <c r="A64" s="18" t="s">
        <v>1609</v>
      </c>
      <c r="B64" s="18" t="s">
        <v>1908</v>
      </c>
      <c r="C64" s="20">
        <v>45726</v>
      </c>
      <c r="D64" s="11">
        <v>3630.5336434187939</v>
      </c>
      <c r="E64" s="27">
        <f t="shared" si="0"/>
        <v>4041.5100518538011</v>
      </c>
      <c r="F64" s="6">
        <f t="shared" si="1"/>
        <v>5253.9630674099417</v>
      </c>
      <c r="G64" s="7">
        <f t="shared" si="2"/>
        <v>5658.114072595321</v>
      </c>
      <c r="H64" s="8">
        <f t="shared" si="3"/>
        <v>6062.2650777807012</v>
      </c>
      <c r="I64" s="9">
        <f t="shared" si="4"/>
        <v>6466.4160829660823</v>
      </c>
    </row>
    <row r="65" spans="1:9" x14ac:dyDescent="0.35">
      <c r="C65" s="20">
        <v>45726</v>
      </c>
      <c r="D65" s="11">
        <v>0</v>
      </c>
      <c r="E65" s="27">
        <f t="shared" si="0"/>
        <v>0</v>
      </c>
      <c r="F65" s="6">
        <f t="shared" si="1"/>
        <v>0</v>
      </c>
      <c r="G65" s="7">
        <f t="shared" si="2"/>
        <v>0</v>
      </c>
      <c r="H65" s="8">
        <f t="shared" si="3"/>
        <v>0</v>
      </c>
      <c r="I65" s="9">
        <f t="shared" si="4"/>
        <v>0</v>
      </c>
    </row>
    <row r="66" spans="1:9" x14ac:dyDescent="0.35">
      <c r="A66" s="18" t="s">
        <v>1610</v>
      </c>
      <c r="B66" s="18" t="s">
        <v>1909</v>
      </c>
      <c r="C66" s="20">
        <v>45726</v>
      </c>
      <c r="D66" s="11">
        <v>1617.3675000000001</v>
      </c>
      <c r="E66" s="27">
        <f t="shared" si="0"/>
        <v>1800.4535010000002</v>
      </c>
      <c r="F66" s="6">
        <f t="shared" si="1"/>
        <v>2340.5895513000005</v>
      </c>
      <c r="G66" s="7">
        <f t="shared" si="2"/>
        <v>2520.6349014000002</v>
      </c>
      <c r="H66" s="8">
        <f t="shared" si="3"/>
        <v>2700.6802515000004</v>
      </c>
      <c r="I66" s="9">
        <f t="shared" si="4"/>
        <v>2880.7256016000006</v>
      </c>
    </row>
    <row r="67" spans="1:9" x14ac:dyDescent="0.35">
      <c r="A67" s="18" t="s">
        <v>1611</v>
      </c>
      <c r="B67" s="18" t="s">
        <v>1910</v>
      </c>
      <c r="C67" s="20">
        <v>45726</v>
      </c>
      <c r="D67" s="11">
        <v>1939.7070000000001</v>
      </c>
      <c r="E67" s="27">
        <f t="shared" si="0"/>
        <v>2159.2818324</v>
      </c>
      <c r="F67" s="6">
        <f t="shared" si="1"/>
        <v>2807.0663821200001</v>
      </c>
      <c r="G67" s="7">
        <f t="shared" si="2"/>
        <v>3022.9945653599998</v>
      </c>
      <c r="H67" s="8">
        <f t="shared" si="3"/>
        <v>3238.9227486</v>
      </c>
      <c r="I67" s="9">
        <f t="shared" si="4"/>
        <v>3454.8509318400002</v>
      </c>
    </row>
    <row r="68" spans="1:9" x14ac:dyDescent="0.35">
      <c r="A68" s="18" t="s">
        <v>1612</v>
      </c>
      <c r="B68" s="18" t="s">
        <v>1911</v>
      </c>
      <c r="C68" s="20">
        <v>45726</v>
      </c>
      <c r="D68" s="11">
        <v>5426.4000000000005</v>
      </c>
      <c r="E68" s="27">
        <f t="shared" si="0"/>
        <v>6040.6684800000003</v>
      </c>
      <c r="F68" s="6">
        <f t="shared" si="1"/>
        <v>7852.8690240000005</v>
      </c>
      <c r="G68" s="7">
        <f t="shared" si="2"/>
        <v>8456.935872</v>
      </c>
      <c r="H68" s="8">
        <f t="shared" si="3"/>
        <v>9061.0027200000004</v>
      </c>
      <c r="I68" s="9">
        <f t="shared" si="4"/>
        <v>9665.0695680000008</v>
      </c>
    </row>
    <row r="69" spans="1:9" x14ac:dyDescent="0.35">
      <c r="A69" s="18" t="s">
        <v>1613</v>
      </c>
      <c r="B69" s="18" t="s">
        <v>1912</v>
      </c>
      <c r="C69" s="20">
        <v>45726</v>
      </c>
      <c r="D69" s="11">
        <v>10227.340743482619</v>
      </c>
      <c r="E69" s="27">
        <f t="shared" si="0"/>
        <v>11385.075715644851</v>
      </c>
      <c r="F69" s="6">
        <f t="shared" si="1"/>
        <v>14800.598430338307</v>
      </c>
      <c r="G69" s="7">
        <f t="shared" si="2"/>
        <v>15939.10600190279</v>
      </c>
      <c r="H69" s="8">
        <f t="shared" si="3"/>
        <v>17077.613573467275</v>
      </c>
      <c r="I69" s="9">
        <f t="shared" si="4"/>
        <v>18216.121145031761</v>
      </c>
    </row>
    <row r="70" spans="1:9" x14ac:dyDescent="0.35">
      <c r="A70" s="18" t="s">
        <v>1614</v>
      </c>
      <c r="B70" s="18" t="s">
        <v>1913</v>
      </c>
      <c r="C70" s="20">
        <v>45726</v>
      </c>
      <c r="D70" s="11">
        <v>13951.588421780298</v>
      </c>
      <c r="E70" s="27">
        <f t="shared" si="0"/>
        <v>15530.908231125828</v>
      </c>
      <c r="F70" s="6">
        <f t="shared" si="1"/>
        <v>20190.180700463578</v>
      </c>
      <c r="G70" s="7">
        <f t="shared" si="2"/>
        <v>21743.271523576157</v>
      </c>
      <c r="H70" s="8">
        <f t="shared" si="3"/>
        <v>23296.362346688744</v>
      </c>
      <c r="I70" s="9">
        <f t="shared" si="4"/>
        <v>24849.453169801327</v>
      </c>
    </row>
    <row r="71" spans="1:9" x14ac:dyDescent="0.35">
      <c r="A71" s="18" t="s">
        <v>1615</v>
      </c>
      <c r="B71" s="18" t="s">
        <v>1914</v>
      </c>
      <c r="C71" s="20">
        <v>45726</v>
      </c>
      <c r="D71" s="11">
        <v>22917.684610205262</v>
      </c>
      <c r="E71" s="27">
        <f t="shared" si="0"/>
        <v>25511.966508080499</v>
      </c>
      <c r="F71" s="6">
        <f t="shared" si="1"/>
        <v>33165.556460504653</v>
      </c>
      <c r="G71" s="7">
        <f t="shared" si="2"/>
        <v>35716.753111312697</v>
      </c>
      <c r="H71" s="8">
        <f t="shared" si="3"/>
        <v>38267.949762120748</v>
      </c>
      <c r="I71" s="9">
        <f t="shared" si="4"/>
        <v>40819.1464129288</v>
      </c>
    </row>
    <row r="72" spans="1:9" x14ac:dyDescent="0.35">
      <c r="C72" s="20">
        <v>45726</v>
      </c>
      <c r="D72" s="11">
        <v>0</v>
      </c>
      <c r="E72" s="27">
        <f t="shared" si="0"/>
        <v>0</v>
      </c>
      <c r="F72" s="6">
        <f t="shared" si="1"/>
        <v>0</v>
      </c>
      <c r="G72" s="7">
        <f t="shared" si="2"/>
        <v>0</v>
      </c>
      <c r="H72" s="8">
        <f t="shared" si="3"/>
        <v>0</v>
      </c>
      <c r="I72" s="9">
        <f t="shared" si="4"/>
        <v>0</v>
      </c>
    </row>
    <row r="73" spans="1:9" x14ac:dyDescent="0.35">
      <c r="A73" s="18" t="s">
        <v>1616</v>
      </c>
      <c r="B73" s="18" t="s">
        <v>1915</v>
      </c>
      <c r="C73" s="20">
        <v>45726</v>
      </c>
      <c r="D73" s="11">
        <v>827.7746400000002</v>
      </c>
      <c r="E73" s="27">
        <f t="shared" si="0"/>
        <v>921.47872924800015</v>
      </c>
      <c r="F73" s="6">
        <f t="shared" si="1"/>
        <v>1197.9223480224002</v>
      </c>
      <c r="G73" s="7">
        <f t="shared" si="2"/>
        <v>1290.0702209472001</v>
      </c>
      <c r="H73" s="8">
        <f t="shared" si="3"/>
        <v>1382.2180938720003</v>
      </c>
      <c r="I73" s="9">
        <f t="shared" si="4"/>
        <v>1474.3659667968004</v>
      </c>
    </row>
    <row r="74" spans="1:9" x14ac:dyDescent="0.35">
      <c r="A74" s="18" t="s">
        <v>1617</v>
      </c>
      <c r="B74" s="18" t="s">
        <v>1916</v>
      </c>
      <c r="C74" s="20">
        <v>45726</v>
      </c>
      <c r="D74" s="11">
        <v>1481.6118240000005</v>
      </c>
      <c r="E74" s="27">
        <f t="shared" si="0"/>
        <v>1649.3302824768004</v>
      </c>
      <c r="F74" s="6">
        <f t="shared" si="1"/>
        <v>2144.1293672198408</v>
      </c>
      <c r="G74" s="7">
        <f t="shared" si="2"/>
        <v>2309.0623954675207</v>
      </c>
      <c r="H74" s="8">
        <f t="shared" si="3"/>
        <v>2473.9954237152006</v>
      </c>
      <c r="I74" s="9">
        <f t="shared" si="4"/>
        <v>2638.9284519628809</v>
      </c>
    </row>
    <row r="75" spans="1:9" x14ac:dyDescent="0.35">
      <c r="A75" s="18" t="s">
        <v>1618</v>
      </c>
      <c r="B75" s="18" t="s">
        <v>1917</v>
      </c>
      <c r="C75" s="20">
        <v>45726</v>
      </c>
      <c r="D75" s="11">
        <v>1569.6774843750004</v>
      </c>
      <c r="E75" s="27">
        <f t="shared" si="0"/>
        <v>1747.3649756062505</v>
      </c>
      <c r="F75" s="6">
        <f t="shared" si="1"/>
        <v>2271.5744682881259</v>
      </c>
      <c r="G75" s="7">
        <f t="shared" si="2"/>
        <v>2446.3109658487506</v>
      </c>
      <c r="H75" s="8">
        <f t="shared" si="3"/>
        <v>2621.0474634093757</v>
      </c>
      <c r="I75" s="9">
        <f t="shared" si="4"/>
        <v>2795.7839609700009</v>
      </c>
    </row>
    <row r="76" spans="1:9" x14ac:dyDescent="0.35">
      <c r="A76" s="18" t="s">
        <v>1619</v>
      </c>
      <c r="B76" s="18" t="s">
        <v>1918</v>
      </c>
      <c r="C76" s="20">
        <v>45726</v>
      </c>
      <c r="D76" s="11">
        <v>3435.043669151039</v>
      </c>
      <c r="E76" s="27">
        <f t="shared" ref="E76:E139" si="5">D76*1.21*0.92</f>
        <v>3823.8906124989367</v>
      </c>
      <c r="F76" s="6">
        <f t="shared" ref="F76:F139" si="6">E76*1.3</f>
        <v>4971.0577962486177</v>
      </c>
      <c r="G76" s="7">
        <f t="shared" ref="G76:G139" si="7">E76*1.4</f>
        <v>5353.4468574985112</v>
      </c>
      <c r="H76" s="8">
        <f t="shared" ref="H76:H139" si="8">E76*1.5</f>
        <v>5735.8359187484048</v>
      </c>
      <c r="I76" s="9">
        <f t="shared" ref="I76:I139" si="9">E76*1.6</f>
        <v>6118.2249799982992</v>
      </c>
    </row>
    <row r="77" spans="1:9" x14ac:dyDescent="0.35">
      <c r="A77" s="18" t="s">
        <v>1620</v>
      </c>
      <c r="B77" s="18" t="s">
        <v>1919</v>
      </c>
      <c r="C77" s="20">
        <v>45726</v>
      </c>
      <c r="D77" s="11">
        <v>4457.6018315928286</v>
      </c>
      <c r="E77" s="27">
        <f t="shared" si="5"/>
        <v>4962.2023589291366</v>
      </c>
      <c r="F77" s="6">
        <f t="shared" si="6"/>
        <v>6450.863066607878</v>
      </c>
      <c r="G77" s="7">
        <f t="shared" si="7"/>
        <v>6947.0833025007905</v>
      </c>
      <c r="H77" s="8">
        <f t="shared" si="8"/>
        <v>7443.3035383937049</v>
      </c>
      <c r="I77" s="9">
        <f t="shared" si="9"/>
        <v>7939.5237742866193</v>
      </c>
    </row>
    <row r="78" spans="1:9" x14ac:dyDescent="0.35">
      <c r="A78" s="18" t="s">
        <v>1621</v>
      </c>
      <c r="B78" s="18" t="s">
        <v>1920</v>
      </c>
      <c r="C78" s="20">
        <v>45726</v>
      </c>
      <c r="D78" s="11">
        <v>5113.5523439895696</v>
      </c>
      <c r="E78" s="27">
        <f t="shared" si="5"/>
        <v>5692.4064693291893</v>
      </c>
      <c r="F78" s="6">
        <f t="shared" si="6"/>
        <v>7400.1284101279462</v>
      </c>
      <c r="G78" s="7">
        <f t="shared" si="7"/>
        <v>7969.3690570608642</v>
      </c>
      <c r="H78" s="8">
        <f t="shared" si="8"/>
        <v>8538.6097039937849</v>
      </c>
      <c r="I78" s="9">
        <f t="shared" si="9"/>
        <v>9107.850350926703</v>
      </c>
    </row>
    <row r="79" spans="1:9" x14ac:dyDescent="0.35">
      <c r="A79" s="18" t="s">
        <v>1622</v>
      </c>
      <c r="B79" s="18" t="s">
        <v>1921</v>
      </c>
      <c r="C79" s="20">
        <v>45726</v>
      </c>
      <c r="D79" s="11">
        <v>2799.5181314316155</v>
      </c>
      <c r="E79" s="27">
        <f t="shared" si="5"/>
        <v>3116.4235839096741</v>
      </c>
      <c r="F79" s="6">
        <f t="shared" si="6"/>
        <v>4051.3506590825764</v>
      </c>
      <c r="G79" s="7">
        <f t="shared" si="7"/>
        <v>4362.9930174735437</v>
      </c>
      <c r="H79" s="8">
        <f t="shared" si="8"/>
        <v>4674.6353758645109</v>
      </c>
      <c r="I79" s="9">
        <f t="shared" si="9"/>
        <v>4986.2777342554791</v>
      </c>
    </row>
    <row r="80" spans="1:9" x14ac:dyDescent="0.35">
      <c r="A80" s="18" t="s">
        <v>1623</v>
      </c>
      <c r="B80" s="18" t="s">
        <v>1922</v>
      </c>
      <c r="C80" s="20">
        <v>45726</v>
      </c>
      <c r="D80" s="11">
        <v>3844.8317684897697</v>
      </c>
      <c r="E80" s="27">
        <f t="shared" si="5"/>
        <v>4280.0667246828116</v>
      </c>
      <c r="F80" s="6">
        <f t="shared" si="6"/>
        <v>5564.0867420876557</v>
      </c>
      <c r="G80" s="7">
        <f t="shared" si="7"/>
        <v>5992.0934145559359</v>
      </c>
      <c r="H80" s="8">
        <f t="shared" si="8"/>
        <v>6420.1000870242169</v>
      </c>
      <c r="I80" s="9">
        <f t="shared" si="9"/>
        <v>6848.1067594924989</v>
      </c>
    </row>
    <row r="81" spans="1:9" x14ac:dyDescent="0.35">
      <c r="A81" s="18" t="s">
        <v>1624</v>
      </c>
      <c r="B81" s="18" t="s">
        <v>1923</v>
      </c>
      <c r="C81" s="20">
        <v>45726</v>
      </c>
      <c r="D81" s="11">
        <v>4704.4681564704088</v>
      </c>
      <c r="E81" s="27">
        <f t="shared" si="5"/>
        <v>5237.0139517828593</v>
      </c>
      <c r="F81" s="6">
        <f t="shared" si="6"/>
        <v>6808.1181373177169</v>
      </c>
      <c r="G81" s="7">
        <f t="shared" si="7"/>
        <v>7331.8195324960025</v>
      </c>
      <c r="H81" s="8">
        <f t="shared" si="8"/>
        <v>7855.5209276742889</v>
      </c>
      <c r="I81" s="9">
        <f t="shared" si="9"/>
        <v>8379.2223228525745</v>
      </c>
    </row>
    <row r="82" spans="1:9" x14ac:dyDescent="0.35">
      <c r="A82" s="18" t="s">
        <v>1625</v>
      </c>
      <c r="B82" s="18" t="s">
        <v>1924</v>
      </c>
      <c r="C82" s="20">
        <v>45726</v>
      </c>
      <c r="D82" s="11">
        <v>5641.9625885144715</v>
      </c>
      <c r="E82" s="27">
        <f t="shared" si="5"/>
        <v>6280.6327535343098</v>
      </c>
      <c r="F82" s="6">
        <f t="shared" si="6"/>
        <v>8164.8225795946028</v>
      </c>
      <c r="G82" s="7">
        <f t="shared" si="7"/>
        <v>8792.8858549480337</v>
      </c>
      <c r="H82" s="8">
        <f t="shared" si="8"/>
        <v>9420.9491303014656</v>
      </c>
      <c r="I82" s="9">
        <f t="shared" si="9"/>
        <v>10049.012405654896</v>
      </c>
    </row>
    <row r="83" spans="1:9" x14ac:dyDescent="0.35">
      <c r="A83" s="18" t="s">
        <v>1626</v>
      </c>
      <c r="B83" s="18" t="s">
        <v>1925</v>
      </c>
      <c r="C83" s="20">
        <v>45726</v>
      </c>
      <c r="D83" s="11">
        <v>7256.2281490163887</v>
      </c>
      <c r="E83" s="27">
        <f t="shared" si="5"/>
        <v>8077.6331754850444</v>
      </c>
      <c r="F83" s="6">
        <f t="shared" si="6"/>
        <v>10500.923128130558</v>
      </c>
      <c r="G83" s="7">
        <f t="shared" si="7"/>
        <v>11308.686445679061</v>
      </c>
      <c r="H83" s="8">
        <f t="shared" si="8"/>
        <v>12116.449763227567</v>
      </c>
      <c r="I83" s="9">
        <f t="shared" si="9"/>
        <v>12924.213080776071</v>
      </c>
    </row>
    <row r="84" spans="1:9" x14ac:dyDescent="0.35">
      <c r="A84" s="18" t="s">
        <v>1627</v>
      </c>
      <c r="B84" s="18" t="s">
        <v>1926</v>
      </c>
      <c r="C84" s="20">
        <v>45726</v>
      </c>
      <c r="D84" s="11">
        <v>7542.6815024811913</v>
      </c>
      <c r="E84" s="27">
        <f t="shared" si="5"/>
        <v>8396.513048562063</v>
      </c>
      <c r="F84" s="6">
        <f t="shared" si="6"/>
        <v>10915.466963130682</v>
      </c>
      <c r="G84" s="7">
        <f t="shared" si="7"/>
        <v>11755.118267986887</v>
      </c>
      <c r="H84" s="8">
        <f t="shared" si="8"/>
        <v>12594.769572843095</v>
      </c>
      <c r="I84" s="9">
        <f t="shared" si="9"/>
        <v>13434.420877699302</v>
      </c>
    </row>
    <row r="85" spans="1:9" x14ac:dyDescent="0.35">
      <c r="A85" s="18" t="s">
        <v>1628</v>
      </c>
      <c r="B85" s="18" t="s">
        <v>1927</v>
      </c>
      <c r="C85" s="20">
        <v>45726</v>
      </c>
      <c r="D85" s="11">
        <v>8667.7220320347642</v>
      </c>
      <c r="E85" s="27">
        <f t="shared" si="5"/>
        <v>9648.9081660610991</v>
      </c>
      <c r="F85" s="6">
        <f t="shared" si="6"/>
        <v>12543.580615879429</v>
      </c>
      <c r="G85" s="7">
        <f t="shared" si="7"/>
        <v>13508.471432485538</v>
      </c>
      <c r="H85" s="8">
        <f t="shared" si="8"/>
        <v>14473.36224909165</v>
      </c>
      <c r="I85" s="9">
        <f t="shared" si="9"/>
        <v>15438.25306569776</v>
      </c>
    </row>
    <row r="86" spans="1:9" x14ac:dyDescent="0.35">
      <c r="A86" s="18" t="s">
        <v>1629</v>
      </c>
      <c r="B86" s="18" t="s">
        <v>1928</v>
      </c>
      <c r="C86" s="20">
        <v>45726</v>
      </c>
      <c r="D86" s="11">
        <v>8528.5673127372793</v>
      </c>
      <c r="E86" s="27">
        <f t="shared" si="5"/>
        <v>9494.0011325391406</v>
      </c>
      <c r="F86" s="6">
        <f t="shared" si="6"/>
        <v>12342.201472300883</v>
      </c>
      <c r="G86" s="7">
        <f t="shared" si="7"/>
        <v>13291.601585554796</v>
      </c>
      <c r="H86" s="8">
        <f t="shared" si="8"/>
        <v>14241.001698808712</v>
      </c>
      <c r="I86" s="9">
        <f t="shared" si="9"/>
        <v>15190.401812062626</v>
      </c>
    </row>
    <row r="87" spans="1:9" x14ac:dyDescent="0.35">
      <c r="A87" s="18" t="s">
        <v>1630</v>
      </c>
      <c r="B87" s="18" t="s">
        <v>1929</v>
      </c>
      <c r="C87" s="20">
        <v>45726</v>
      </c>
      <c r="D87" s="11">
        <v>8948.9821644231615</v>
      </c>
      <c r="E87" s="27">
        <f t="shared" si="5"/>
        <v>9962.0069454358636</v>
      </c>
      <c r="F87" s="6">
        <f t="shared" si="6"/>
        <v>12950.609029066623</v>
      </c>
      <c r="G87" s="7">
        <f t="shared" si="7"/>
        <v>13946.809723610208</v>
      </c>
      <c r="H87" s="8">
        <f t="shared" si="8"/>
        <v>14943.010418153795</v>
      </c>
      <c r="I87" s="9">
        <f t="shared" si="9"/>
        <v>15939.211112697383</v>
      </c>
    </row>
    <row r="88" spans="1:9" x14ac:dyDescent="0.35">
      <c r="C88" s="20">
        <v>45726</v>
      </c>
      <c r="D88" s="11">
        <v>0</v>
      </c>
      <c r="E88" s="27">
        <f t="shared" si="5"/>
        <v>0</v>
      </c>
      <c r="F88" s="6">
        <f t="shared" si="6"/>
        <v>0</v>
      </c>
      <c r="G88" s="7">
        <f t="shared" si="7"/>
        <v>0</v>
      </c>
      <c r="H88" s="8">
        <f t="shared" si="8"/>
        <v>0</v>
      </c>
      <c r="I88" s="9">
        <f t="shared" si="9"/>
        <v>0</v>
      </c>
    </row>
    <row r="89" spans="1:9" x14ac:dyDescent="0.35">
      <c r="A89" s="18" t="s">
        <v>1029</v>
      </c>
      <c r="B89" s="18" t="s">
        <v>1930</v>
      </c>
      <c r="C89" s="20">
        <v>45726</v>
      </c>
      <c r="D89" s="11">
        <v>909.61500000000001</v>
      </c>
      <c r="E89" s="27">
        <f t="shared" si="5"/>
        <v>1012.5834180000002</v>
      </c>
      <c r="F89" s="6">
        <f t="shared" si="6"/>
        <v>1316.3584434000002</v>
      </c>
      <c r="G89" s="7">
        <f t="shared" si="7"/>
        <v>1417.6167852000001</v>
      </c>
      <c r="H89" s="8">
        <f t="shared" si="8"/>
        <v>1518.8751270000002</v>
      </c>
      <c r="I89" s="9">
        <f t="shared" si="9"/>
        <v>1620.1334688000004</v>
      </c>
    </row>
    <row r="90" spans="1:9" x14ac:dyDescent="0.35">
      <c r="A90" s="18" t="s">
        <v>1030</v>
      </c>
      <c r="B90" s="18" t="s">
        <v>1931</v>
      </c>
      <c r="C90" s="20">
        <v>45726</v>
      </c>
      <c r="D90" s="11">
        <v>1231.2820327500001</v>
      </c>
      <c r="E90" s="27">
        <f t="shared" si="5"/>
        <v>1370.6631588573</v>
      </c>
      <c r="F90" s="6">
        <f t="shared" si="6"/>
        <v>1781.8621065144901</v>
      </c>
      <c r="G90" s="7">
        <f t="shared" si="7"/>
        <v>1918.9284224002199</v>
      </c>
      <c r="H90" s="8">
        <f t="shared" si="8"/>
        <v>2055.99473828595</v>
      </c>
      <c r="I90" s="9">
        <f t="shared" si="9"/>
        <v>2193.0610541716801</v>
      </c>
    </row>
    <row r="91" spans="1:9" x14ac:dyDescent="0.35">
      <c r="A91" s="18" t="s">
        <v>1031</v>
      </c>
      <c r="B91" s="18" t="s">
        <v>1932</v>
      </c>
      <c r="C91" s="20">
        <v>45726</v>
      </c>
      <c r="D91" s="11">
        <v>1747.1648089573607</v>
      </c>
      <c r="E91" s="27">
        <f t="shared" si="5"/>
        <v>1944.9438653313339</v>
      </c>
      <c r="F91" s="6">
        <f t="shared" si="6"/>
        <v>2528.4270249307342</v>
      </c>
      <c r="G91" s="7">
        <f t="shared" si="7"/>
        <v>2722.9214114638671</v>
      </c>
      <c r="H91" s="8">
        <f t="shared" si="8"/>
        <v>2917.4157979970009</v>
      </c>
      <c r="I91" s="9">
        <f t="shared" si="9"/>
        <v>3111.9101845301343</v>
      </c>
    </row>
    <row r="92" spans="1:9" x14ac:dyDescent="0.35">
      <c r="A92" s="18" t="s">
        <v>1032</v>
      </c>
      <c r="B92" s="18" t="s">
        <v>1933</v>
      </c>
      <c r="C92" s="20">
        <v>45726</v>
      </c>
      <c r="D92" s="11">
        <v>0</v>
      </c>
      <c r="E92" s="27">
        <f t="shared" si="5"/>
        <v>0</v>
      </c>
      <c r="F92" s="6">
        <f t="shared" si="6"/>
        <v>0</v>
      </c>
      <c r="G92" s="7">
        <f t="shared" si="7"/>
        <v>0</v>
      </c>
      <c r="H92" s="8">
        <f t="shared" si="8"/>
        <v>0</v>
      </c>
      <c r="I92" s="9">
        <f t="shared" si="9"/>
        <v>0</v>
      </c>
    </row>
    <row r="93" spans="1:9" x14ac:dyDescent="0.35">
      <c r="A93" s="18" t="s">
        <v>1033</v>
      </c>
      <c r="B93" s="18" t="s">
        <v>1934</v>
      </c>
      <c r="C93" s="20">
        <v>45726</v>
      </c>
      <c r="D93" s="11">
        <v>0</v>
      </c>
      <c r="E93" s="27">
        <f t="shared" si="5"/>
        <v>0</v>
      </c>
      <c r="F93" s="6">
        <f t="shared" si="6"/>
        <v>0</v>
      </c>
      <c r="G93" s="7">
        <f t="shared" si="7"/>
        <v>0</v>
      </c>
      <c r="H93" s="8">
        <f t="shared" si="8"/>
        <v>0</v>
      </c>
      <c r="I93" s="9">
        <f t="shared" si="9"/>
        <v>0</v>
      </c>
    </row>
    <row r="94" spans="1:9" x14ac:dyDescent="0.35">
      <c r="A94" s="18" t="s">
        <v>1034</v>
      </c>
      <c r="B94" s="18" t="s">
        <v>1935</v>
      </c>
      <c r="C94" s="20">
        <v>45726</v>
      </c>
      <c r="D94" s="11">
        <v>0</v>
      </c>
      <c r="E94" s="27">
        <f t="shared" si="5"/>
        <v>0</v>
      </c>
      <c r="F94" s="6">
        <f t="shared" si="6"/>
        <v>0</v>
      </c>
      <c r="G94" s="7">
        <f t="shared" si="7"/>
        <v>0</v>
      </c>
      <c r="H94" s="8">
        <f t="shared" si="8"/>
        <v>0</v>
      </c>
      <c r="I94" s="9">
        <f t="shared" si="9"/>
        <v>0</v>
      </c>
    </row>
    <row r="95" spans="1:9" x14ac:dyDescent="0.35">
      <c r="C95" s="20">
        <v>45726</v>
      </c>
      <c r="D95" s="11">
        <v>0</v>
      </c>
      <c r="E95" s="27">
        <f t="shared" si="5"/>
        <v>0</v>
      </c>
      <c r="F95" s="6">
        <f t="shared" si="6"/>
        <v>0</v>
      </c>
      <c r="G95" s="7">
        <f t="shared" si="7"/>
        <v>0</v>
      </c>
      <c r="H95" s="8">
        <f t="shared" si="8"/>
        <v>0</v>
      </c>
      <c r="I95" s="9">
        <f t="shared" si="9"/>
        <v>0</v>
      </c>
    </row>
    <row r="96" spans="1:9" x14ac:dyDescent="0.35">
      <c r="A96" s="18" t="s">
        <v>1035</v>
      </c>
      <c r="B96" s="18" t="s">
        <v>1936</v>
      </c>
      <c r="C96" s="20">
        <v>45726</v>
      </c>
      <c r="D96" s="11">
        <v>1819.2705300000005</v>
      </c>
      <c r="E96" s="27">
        <f t="shared" si="5"/>
        <v>2025.2119539960004</v>
      </c>
      <c r="F96" s="6">
        <f t="shared" si="6"/>
        <v>2632.7755401948007</v>
      </c>
      <c r="G96" s="7">
        <f t="shared" si="7"/>
        <v>2835.2967355944002</v>
      </c>
      <c r="H96" s="8">
        <f t="shared" si="8"/>
        <v>3037.8179309940006</v>
      </c>
      <c r="I96" s="9">
        <f t="shared" si="9"/>
        <v>3240.339126393601</v>
      </c>
    </row>
    <row r="97" spans="1:9" x14ac:dyDescent="0.35">
      <c r="A97" s="18" t="s">
        <v>1036</v>
      </c>
      <c r="B97" s="18" t="s">
        <v>1937</v>
      </c>
      <c r="C97" s="20">
        <v>45726</v>
      </c>
      <c r="D97" s="11">
        <v>2761.0442763750011</v>
      </c>
      <c r="E97" s="27">
        <f t="shared" si="5"/>
        <v>3073.5944884606515</v>
      </c>
      <c r="F97" s="6">
        <f t="shared" si="6"/>
        <v>3995.6728349988471</v>
      </c>
      <c r="G97" s="7">
        <f t="shared" si="7"/>
        <v>4303.0322838449119</v>
      </c>
      <c r="H97" s="8">
        <f t="shared" si="8"/>
        <v>4610.3917326909777</v>
      </c>
      <c r="I97" s="9">
        <f t="shared" si="9"/>
        <v>4917.7511815370426</v>
      </c>
    </row>
    <row r="98" spans="1:9" x14ac:dyDescent="0.35">
      <c r="A98" s="18" t="s">
        <v>1037</v>
      </c>
      <c r="B98" s="18" t="s">
        <v>1938</v>
      </c>
      <c r="C98" s="20">
        <v>45726</v>
      </c>
      <c r="D98" s="11">
        <v>7416.1500000000005</v>
      </c>
      <c r="E98" s="27">
        <f t="shared" si="5"/>
        <v>8255.6581800000022</v>
      </c>
      <c r="F98" s="6">
        <f t="shared" si="6"/>
        <v>10732.355634000003</v>
      </c>
      <c r="G98" s="7">
        <f t="shared" si="7"/>
        <v>11557.921452000002</v>
      </c>
      <c r="H98" s="8">
        <f t="shared" si="8"/>
        <v>12383.487270000003</v>
      </c>
      <c r="I98" s="9">
        <f t="shared" si="9"/>
        <v>13209.053088000004</v>
      </c>
    </row>
    <row r="99" spans="1:9" x14ac:dyDescent="0.35">
      <c r="A99" s="18" t="s">
        <v>1038</v>
      </c>
      <c r="B99" s="18" t="s">
        <v>1939</v>
      </c>
      <c r="C99" s="20">
        <v>45726</v>
      </c>
      <c r="D99" s="11">
        <v>12102.093552067274</v>
      </c>
      <c r="E99" s="27">
        <f t="shared" si="5"/>
        <v>13472.050542161291</v>
      </c>
      <c r="F99" s="6">
        <f t="shared" si="6"/>
        <v>17513.665704809679</v>
      </c>
      <c r="G99" s="7">
        <f t="shared" si="7"/>
        <v>18860.870759025805</v>
      </c>
      <c r="H99" s="8">
        <f t="shared" si="8"/>
        <v>20208.075813241936</v>
      </c>
      <c r="I99" s="9">
        <f t="shared" si="9"/>
        <v>21555.280867458066</v>
      </c>
    </row>
    <row r="100" spans="1:9" x14ac:dyDescent="0.35">
      <c r="A100" s="18" t="s">
        <v>1039</v>
      </c>
      <c r="B100" s="18" t="s">
        <v>1940</v>
      </c>
      <c r="C100" s="20">
        <v>45726</v>
      </c>
      <c r="D100" s="11">
        <v>14156.484598795094</v>
      </c>
      <c r="E100" s="27">
        <f t="shared" si="5"/>
        <v>15758.998655378698</v>
      </c>
      <c r="F100" s="6">
        <f t="shared" si="6"/>
        <v>20486.698251992308</v>
      </c>
      <c r="G100" s="7">
        <f t="shared" si="7"/>
        <v>22062.598117530175</v>
      </c>
      <c r="H100" s="8">
        <f t="shared" si="8"/>
        <v>23638.497983068046</v>
      </c>
      <c r="I100" s="9">
        <f t="shared" si="9"/>
        <v>25214.39784860592</v>
      </c>
    </row>
    <row r="101" spans="1:9" x14ac:dyDescent="0.35">
      <c r="A101" s="18" t="s">
        <v>1040</v>
      </c>
      <c r="B101" s="18" t="s">
        <v>1941</v>
      </c>
      <c r="C101" s="20">
        <v>45726</v>
      </c>
      <c r="D101" s="11">
        <v>25585.701938211849</v>
      </c>
      <c r="E101" s="27">
        <f t="shared" si="5"/>
        <v>28482.003397617431</v>
      </c>
      <c r="F101" s="6">
        <f t="shared" si="6"/>
        <v>37026.604416902665</v>
      </c>
      <c r="G101" s="7">
        <f t="shared" si="7"/>
        <v>39874.804756664402</v>
      </c>
      <c r="H101" s="8">
        <f t="shared" si="8"/>
        <v>42723.005096426146</v>
      </c>
      <c r="I101" s="9">
        <f t="shared" si="9"/>
        <v>45571.205436187891</v>
      </c>
    </row>
    <row r="102" spans="1:9" x14ac:dyDescent="0.35">
      <c r="C102" s="20">
        <v>45726</v>
      </c>
      <c r="D102" s="11">
        <v>0</v>
      </c>
      <c r="E102" s="27">
        <f t="shared" si="5"/>
        <v>0</v>
      </c>
      <c r="F102" s="6">
        <f t="shared" si="6"/>
        <v>0</v>
      </c>
      <c r="G102" s="7">
        <f t="shared" si="7"/>
        <v>0</v>
      </c>
      <c r="H102" s="8">
        <f t="shared" si="8"/>
        <v>0</v>
      </c>
      <c r="I102" s="9">
        <f t="shared" si="9"/>
        <v>0</v>
      </c>
    </row>
    <row r="103" spans="1:9" x14ac:dyDescent="0.35">
      <c r="A103" s="18" t="s">
        <v>1041</v>
      </c>
      <c r="B103" s="18" t="s">
        <v>1942</v>
      </c>
      <c r="C103" s="20">
        <v>45726</v>
      </c>
      <c r="D103" s="11">
        <v>3876.621505789672</v>
      </c>
      <c r="E103" s="27">
        <f t="shared" si="5"/>
        <v>4315.4550602450627</v>
      </c>
      <c r="F103" s="6">
        <f t="shared" si="6"/>
        <v>5610.0915783185819</v>
      </c>
      <c r="G103" s="7">
        <f t="shared" si="7"/>
        <v>6041.6370843430877</v>
      </c>
      <c r="H103" s="8">
        <f t="shared" si="8"/>
        <v>6473.1825903675945</v>
      </c>
      <c r="I103" s="9">
        <f t="shared" si="9"/>
        <v>6904.7280963921003</v>
      </c>
    </row>
    <row r="104" spans="1:9" x14ac:dyDescent="0.35">
      <c r="A104" s="18" t="s">
        <v>1042</v>
      </c>
      <c r="B104" s="18" t="s">
        <v>1943</v>
      </c>
      <c r="C104" s="20">
        <v>45726</v>
      </c>
      <c r="D104" s="11">
        <v>4551.9763012266785</v>
      </c>
      <c r="E104" s="27">
        <f t="shared" si="5"/>
        <v>5067.2600185255387</v>
      </c>
      <c r="F104" s="6">
        <f t="shared" si="6"/>
        <v>6587.4380240832006</v>
      </c>
      <c r="G104" s="7">
        <f t="shared" si="7"/>
        <v>7094.1640259357537</v>
      </c>
      <c r="H104" s="8">
        <f t="shared" si="8"/>
        <v>7600.8900277883076</v>
      </c>
      <c r="I104" s="9">
        <f t="shared" si="9"/>
        <v>8107.6160296408625</v>
      </c>
    </row>
    <row r="105" spans="1:9" x14ac:dyDescent="0.35">
      <c r="A105" s="18" t="s">
        <v>1043</v>
      </c>
      <c r="B105" s="18" t="s">
        <v>1944</v>
      </c>
      <c r="C105" s="20">
        <v>45726</v>
      </c>
      <c r="D105" s="11">
        <v>5834.819934852133</v>
      </c>
      <c r="E105" s="27">
        <f t="shared" si="5"/>
        <v>6495.3215514773947</v>
      </c>
      <c r="F105" s="6">
        <f t="shared" si="6"/>
        <v>8443.9180169206138</v>
      </c>
      <c r="G105" s="7">
        <f t="shared" si="7"/>
        <v>9093.4501720683511</v>
      </c>
      <c r="H105" s="8">
        <f t="shared" si="8"/>
        <v>9742.982327216092</v>
      </c>
      <c r="I105" s="9">
        <f t="shared" si="9"/>
        <v>10392.514482363833</v>
      </c>
    </row>
    <row r="106" spans="1:9" x14ac:dyDescent="0.35">
      <c r="A106" s="18" t="s">
        <v>1044</v>
      </c>
      <c r="B106" s="18" t="s">
        <v>1945</v>
      </c>
      <c r="C106" s="20">
        <v>45726</v>
      </c>
      <c r="D106" s="11">
        <v>9485.7723793213627</v>
      </c>
      <c r="E106" s="27">
        <f t="shared" si="5"/>
        <v>10559.56181266054</v>
      </c>
      <c r="F106" s="6">
        <f t="shared" si="6"/>
        <v>13727.430356458703</v>
      </c>
      <c r="G106" s="7">
        <f t="shared" si="7"/>
        <v>14783.386537724755</v>
      </c>
      <c r="H106" s="8">
        <f t="shared" si="8"/>
        <v>15839.342718990811</v>
      </c>
      <c r="I106" s="9">
        <f t="shared" si="9"/>
        <v>16895.298900256865</v>
      </c>
    </row>
    <row r="107" spans="1:9" x14ac:dyDescent="0.35">
      <c r="A107" s="18" t="s">
        <v>1045</v>
      </c>
      <c r="B107" s="18" t="s">
        <v>1946</v>
      </c>
      <c r="C107" s="20">
        <v>45726</v>
      </c>
      <c r="D107" s="11">
        <v>10914.144230838076</v>
      </c>
      <c r="E107" s="27">
        <f t="shared" si="5"/>
        <v>12149.625357768946</v>
      </c>
      <c r="F107" s="6">
        <f t="shared" si="6"/>
        <v>15794.51296509963</v>
      </c>
      <c r="G107" s="7">
        <f t="shared" si="7"/>
        <v>17009.475500876524</v>
      </c>
      <c r="H107" s="8">
        <f t="shared" si="8"/>
        <v>18224.438036653417</v>
      </c>
      <c r="I107" s="9">
        <f t="shared" si="9"/>
        <v>19439.400572430313</v>
      </c>
    </row>
    <row r="108" spans="1:9" x14ac:dyDescent="0.35">
      <c r="A108" s="18" t="s">
        <v>1046</v>
      </c>
      <c r="B108" s="18" t="s">
        <v>1947</v>
      </c>
      <c r="C108" s="20">
        <v>45726</v>
      </c>
      <c r="D108" s="11">
        <v>11639.778848514896</v>
      </c>
      <c r="E108" s="27">
        <f t="shared" si="5"/>
        <v>12957.401814166782</v>
      </c>
      <c r="F108" s="6">
        <f t="shared" si="6"/>
        <v>16844.622358416818</v>
      </c>
      <c r="G108" s="7">
        <f t="shared" si="7"/>
        <v>18140.362539833495</v>
      </c>
      <c r="H108" s="8">
        <f t="shared" si="8"/>
        <v>19436.102721250172</v>
      </c>
      <c r="I108" s="9">
        <f t="shared" si="9"/>
        <v>20731.842902666853</v>
      </c>
    </row>
    <row r="109" spans="1:9" x14ac:dyDescent="0.35">
      <c r="A109" s="18" t="s">
        <v>1047</v>
      </c>
      <c r="B109" s="18" t="s">
        <v>1948</v>
      </c>
      <c r="C109" s="20">
        <v>45726</v>
      </c>
      <c r="D109" s="11">
        <v>14910.209821385226</v>
      </c>
      <c r="E109" s="27">
        <f t="shared" si="5"/>
        <v>16598.045573166033</v>
      </c>
      <c r="F109" s="6">
        <f t="shared" si="6"/>
        <v>21577.459245115842</v>
      </c>
      <c r="G109" s="7">
        <f t="shared" si="7"/>
        <v>23237.263802432444</v>
      </c>
      <c r="H109" s="8">
        <f t="shared" si="8"/>
        <v>24897.06835974905</v>
      </c>
      <c r="I109" s="9">
        <f t="shared" si="9"/>
        <v>26556.872917065655</v>
      </c>
    </row>
    <row r="110" spans="1:9" x14ac:dyDescent="0.35">
      <c r="A110" s="18" t="s">
        <v>1048</v>
      </c>
      <c r="B110" s="18" t="s">
        <v>1949</v>
      </c>
      <c r="C110" s="20">
        <v>45726</v>
      </c>
      <c r="D110" s="11">
        <v>10715.38549691359</v>
      </c>
      <c r="E110" s="27">
        <f t="shared" si="5"/>
        <v>11928.367135164208</v>
      </c>
      <c r="F110" s="6">
        <f t="shared" si="6"/>
        <v>15506.87727571347</v>
      </c>
      <c r="G110" s="7">
        <f t="shared" si="7"/>
        <v>16699.713989229891</v>
      </c>
      <c r="H110" s="8">
        <f t="shared" si="8"/>
        <v>17892.55070274631</v>
      </c>
      <c r="I110" s="9">
        <f t="shared" si="9"/>
        <v>19085.387416262733</v>
      </c>
    </row>
    <row r="111" spans="1:9" x14ac:dyDescent="0.35">
      <c r="A111" s="18" t="s">
        <v>1049</v>
      </c>
      <c r="B111" s="18" t="s">
        <v>1950</v>
      </c>
      <c r="C111" s="20">
        <v>45726</v>
      </c>
      <c r="D111" s="11">
        <v>11923.399535938017</v>
      </c>
      <c r="E111" s="27">
        <f t="shared" si="5"/>
        <v>13273.1283634062</v>
      </c>
      <c r="F111" s="6">
        <f t="shared" si="6"/>
        <v>17255.066872428062</v>
      </c>
      <c r="G111" s="7">
        <f t="shared" si="7"/>
        <v>18582.37970876868</v>
      </c>
      <c r="H111" s="8">
        <f t="shared" si="8"/>
        <v>19909.692545109301</v>
      </c>
      <c r="I111" s="9">
        <f t="shared" si="9"/>
        <v>21237.005381449922</v>
      </c>
    </row>
    <row r="112" spans="1:9" x14ac:dyDescent="0.35">
      <c r="A112" s="18" t="s">
        <v>1050</v>
      </c>
      <c r="B112" s="18" t="s">
        <v>1951</v>
      </c>
      <c r="C112" s="20">
        <v>45726</v>
      </c>
      <c r="D112" s="11">
        <v>7944.6840248961616</v>
      </c>
      <c r="E112" s="27">
        <f t="shared" si="5"/>
        <v>8844.0222565144068</v>
      </c>
      <c r="F112" s="6">
        <f t="shared" si="6"/>
        <v>11497.228933468728</v>
      </c>
      <c r="G112" s="7">
        <f t="shared" si="7"/>
        <v>12381.631159120168</v>
      </c>
      <c r="H112" s="8">
        <f t="shared" si="8"/>
        <v>13266.03338477161</v>
      </c>
      <c r="I112" s="9">
        <f t="shared" si="9"/>
        <v>14150.435610423052</v>
      </c>
    </row>
    <row r="113" spans="1:9" x14ac:dyDescent="0.35">
      <c r="A113" s="18" t="s">
        <v>1051</v>
      </c>
      <c r="B113" s="18" t="s">
        <v>1025</v>
      </c>
      <c r="C113" s="20">
        <v>45726</v>
      </c>
      <c r="D113" s="11">
        <v>19462.776261370578</v>
      </c>
      <c r="E113" s="27">
        <f t="shared" si="5"/>
        <v>21665.96253415773</v>
      </c>
      <c r="F113" s="6">
        <f t="shared" si="6"/>
        <v>28165.75129440505</v>
      </c>
      <c r="G113" s="7">
        <f t="shared" si="7"/>
        <v>30332.34754782082</v>
      </c>
      <c r="H113" s="8">
        <f t="shared" si="8"/>
        <v>32498.943801236594</v>
      </c>
      <c r="I113" s="9">
        <f t="shared" si="9"/>
        <v>34665.540054652367</v>
      </c>
    </row>
    <row r="114" spans="1:9" x14ac:dyDescent="0.35">
      <c r="A114" s="18" t="s">
        <v>1052</v>
      </c>
      <c r="B114" s="18" t="s">
        <v>1026</v>
      </c>
      <c r="C114" s="20">
        <v>45726</v>
      </c>
      <c r="D114" s="11">
        <v>22126.308534811167</v>
      </c>
      <c r="E114" s="27">
        <f t="shared" si="5"/>
        <v>24631.006660951793</v>
      </c>
      <c r="F114" s="6">
        <f t="shared" si="6"/>
        <v>32020.308659237333</v>
      </c>
      <c r="G114" s="7">
        <f t="shared" si="7"/>
        <v>34483.409325332505</v>
      </c>
      <c r="H114" s="8">
        <f t="shared" si="8"/>
        <v>36946.509991427687</v>
      </c>
      <c r="I114" s="9">
        <f t="shared" si="9"/>
        <v>39409.61065752287</v>
      </c>
    </row>
    <row r="115" spans="1:9" x14ac:dyDescent="0.35">
      <c r="A115" s="18" t="s">
        <v>1053</v>
      </c>
      <c r="B115" s="18" t="s">
        <v>1027</v>
      </c>
      <c r="C115" s="20">
        <v>45726</v>
      </c>
      <c r="D115" s="11">
        <v>14730.925666497275</v>
      </c>
      <c r="E115" s="27">
        <f t="shared" si="5"/>
        <v>16398.466451944765</v>
      </c>
      <c r="F115" s="6">
        <f t="shared" si="6"/>
        <v>21318.006387528196</v>
      </c>
      <c r="G115" s="7">
        <f t="shared" si="7"/>
        <v>22957.853032722669</v>
      </c>
      <c r="H115" s="8">
        <f t="shared" si="8"/>
        <v>24597.699677917146</v>
      </c>
      <c r="I115" s="9">
        <f t="shared" si="9"/>
        <v>26237.546323111626</v>
      </c>
    </row>
    <row r="116" spans="1:9" x14ac:dyDescent="0.35">
      <c r="A116" s="18" t="s">
        <v>1054</v>
      </c>
      <c r="B116" s="18" t="s">
        <v>1028</v>
      </c>
      <c r="C116" s="20">
        <v>45726</v>
      </c>
      <c r="D116" s="11">
        <v>16758.996524587823</v>
      </c>
      <c r="E116" s="27">
        <f t="shared" si="5"/>
        <v>18656.114931171167</v>
      </c>
      <c r="F116" s="6">
        <f t="shared" si="6"/>
        <v>24252.949410522517</v>
      </c>
      <c r="G116" s="7">
        <f t="shared" si="7"/>
        <v>26118.560903639631</v>
      </c>
      <c r="H116" s="8">
        <f t="shared" si="8"/>
        <v>27984.172396756752</v>
      </c>
      <c r="I116" s="9">
        <f t="shared" si="9"/>
        <v>29849.78388987387</v>
      </c>
    </row>
    <row r="117" spans="1:9" x14ac:dyDescent="0.35">
      <c r="A117" s="18" t="s">
        <v>1055</v>
      </c>
      <c r="B117" s="18" t="s">
        <v>1367</v>
      </c>
      <c r="C117" s="20">
        <v>45726</v>
      </c>
      <c r="D117" s="11">
        <v>0</v>
      </c>
      <c r="E117" s="27">
        <f t="shared" si="5"/>
        <v>0</v>
      </c>
      <c r="F117" s="6">
        <f t="shared" si="6"/>
        <v>0</v>
      </c>
      <c r="G117" s="7">
        <f t="shared" si="7"/>
        <v>0</v>
      </c>
      <c r="H117" s="8">
        <f t="shared" si="8"/>
        <v>0</v>
      </c>
      <c r="I117" s="9">
        <f t="shared" si="9"/>
        <v>0</v>
      </c>
    </row>
    <row r="118" spans="1:9" x14ac:dyDescent="0.35">
      <c r="C118" s="20">
        <v>45726</v>
      </c>
      <c r="D118" s="11">
        <v>0</v>
      </c>
      <c r="E118" s="27">
        <f t="shared" si="5"/>
        <v>0</v>
      </c>
      <c r="F118" s="6">
        <f t="shared" si="6"/>
        <v>0</v>
      </c>
      <c r="G118" s="7">
        <f t="shared" si="7"/>
        <v>0</v>
      </c>
      <c r="H118" s="8">
        <f t="shared" si="8"/>
        <v>0</v>
      </c>
      <c r="I118" s="9">
        <f t="shared" si="9"/>
        <v>0</v>
      </c>
    </row>
    <row r="119" spans="1:9" x14ac:dyDescent="0.35">
      <c r="A119" s="18" t="s">
        <v>1056</v>
      </c>
      <c r="B119" s="18" t="s">
        <v>1368</v>
      </c>
      <c r="C119" s="20">
        <v>45726</v>
      </c>
      <c r="D119" s="11">
        <v>3068.2494341454812</v>
      </c>
      <c r="E119" s="27">
        <f t="shared" si="5"/>
        <v>3415.5752700907497</v>
      </c>
      <c r="F119" s="6">
        <f t="shared" si="6"/>
        <v>4440.2478511179743</v>
      </c>
      <c r="G119" s="7">
        <f t="shared" si="7"/>
        <v>4781.8053781270492</v>
      </c>
      <c r="H119" s="8">
        <f t="shared" si="8"/>
        <v>5123.362905136124</v>
      </c>
      <c r="I119" s="9">
        <f t="shared" si="9"/>
        <v>5464.9204321451998</v>
      </c>
    </row>
    <row r="120" spans="1:9" x14ac:dyDescent="0.35">
      <c r="A120" s="18" t="s">
        <v>1057</v>
      </c>
      <c r="B120" s="18" t="s">
        <v>1369</v>
      </c>
      <c r="C120" s="20">
        <v>45726</v>
      </c>
      <c r="D120" s="11">
        <v>4174.9956621798783</v>
      </c>
      <c r="E120" s="27">
        <f t="shared" si="5"/>
        <v>4647.6051711386408</v>
      </c>
      <c r="F120" s="6">
        <f t="shared" si="6"/>
        <v>6041.8867224802334</v>
      </c>
      <c r="G120" s="7">
        <f t="shared" si="7"/>
        <v>6506.6472395940964</v>
      </c>
      <c r="H120" s="8">
        <f t="shared" si="8"/>
        <v>6971.4077567079612</v>
      </c>
      <c r="I120" s="9">
        <f t="shared" si="9"/>
        <v>7436.168273821826</v>
      </c>
    </row>
    <row r="121" spans="1:9" x14ac:dyDescent="0.35">
      <c r="A121" s="18" t="s">
        <v>1058</v>
      </c>
      <c r="B121" s="18" t="s">
        <v>1370</v>
      </c>
      <c r="C121" s="20">
        <v>45726</v>
      </c>
      <c r="D121" s="11">
        <v>6221.5968772930728</v>
      </c>
      <c r="E121" s="27">
        <f t="shared" si="5"/>
        <v>6925.8816438026488</v>
      </c>
      <c r="F121" s="6">
        <f t="shared" si="6"/>
        <v>9003.6461369434437</v>
      </c>
      <c r="G121" s="7">
        <f t="shared" si="7"/>
        <v>9696.2343013237078</v>
      </c>
      <c r="H121" s="8">
        <f t="shared" si="8"/>
        <v>10388.822465703974</v>
      </c>
      <c r="I121" s="9">
        <f t="shared" si="9"/>
        <v>11081.41063008424</v>
      </c>
    </row>
    <row r="122" spans="1:9" x14ac:dyDescent="0.35">
      <c r="A122" s="18" t="s">
        <v>1059</v>
      </c>
      <c r="B122" s="18" t="s">
        <v>1371</v>
      </c>
      <c r="C122" s="20">
        <v>45726</v>
      </c>
      <c r="D122" s="11">
        <v>3238.6815076531771</v>
      </c>
      <c r="E122" s="27">
        <f t="shared" si="5"/>
        <v>3605.3002543195166</v>
      </c>
      <c r="F122" s="6">
        <f t="shared" si="6"/>
        <v>4686.8903306153716</v>
      </c>
      <c r="G122" s="7">
        <f t="shared" si="7"/>
        <v>5047.4203560473234</v>
      </c>
      <c r="H122" s="8">
        <f t="shared" si="8"/>
        <v>5407.9503814792752</v>
      </c>
      <c r="I122" s="9">
        <f t="shared" si="9"/>
        <v>5768.480406911227</v>
      </c>
    </row>
    <row r="123" spans="1:9" x14ac:dyDescent="0.35">
      <c r="A123" s="18" t="s">
        <v>1060</v>
      </c>
      <c r="B123" s="18" t="s">
        <v>1372</v>
      </c>
      <c r="C123" s="20">
        <v>45726</v>
      </c>
      <c r="D123" s="11">
        <v>4353.8077060608739</v>
      </c>
      <c r="E123" s="27">
        <f t="shared" si="5"/>
        <v>4846.6587383869646</v>
      </c>
      <c r="F123" s="6">
        <f t="shared" si="6"/>
        <v>6300.6563599030542</v>
      </c>
      <c r="G123" s="7">
        <f t="shared" si="7"/>
        <v>6785.3222337417501</v>
      </c>
      <c r="H123" s="8">
        <f t="shared" si="8"/>
        <v>7269.9881075804469</v>
      </c>
      <c r="I123" s="9">
        <f t="shared" si="9"/>
        <v>7754.6539814191437</v>
      </c>
    </row>
    <row r="124" spans="1:9" x14ac:dyDescent="0.35">
      <c r="A124" s="18" t="s">
        <v>1061</v>
      </c>
      <c r="B124" s="18" t="s">
        <v>1373</v>
      </c>
      <c r="C124" s="20">
        <v>45726</v>
      </c>
      <c r="D124" s="11">
        <v>6498.1358996119998</v>
      </c>
      <c r="E124" s="27">
        <f t="shared" si="5"/>
        <v>7233.7248834480788</v>
      </c>
      <c r="F124" s="6">
        <f t="shared" si="6"/>
        <v>9403.8423484825034</v>
      </c>
      <c r="G124" s="7">
        <f t="shared" si="7"/>
        <v>10127.21483682731</v>
      </c>
      <c r="H124" s="8">
        <f t="shared" si="8"/>
        <v>10850.587325172119</v>
      </c>
      <c r="I124" s="9">
        <f t="shared" si="9"/>
        <v>11573.959813516927</v>
      </c>
    </row>
    <row r="125" spans="1:9" x14ac:dyDescent="0.35">
      <c r="C125" s="20">
        <v>45726</v>
      </c>
      <c r="D125" s="11">
        <v>0</v>
      </c>
      <c r="E125" s="27">
        <f t="shared" si="5"/>
        <v>0</v>
      </c>
      <c r="F125" s="6">
        <f t="shared" si="6"/>
        <v>0</v>
      </c>
      <c r="G125" s="7">
        <f t="shared" si="7"/>
        <v>0</v>
      </c>
      <c r="H125" s="8">
        <f t="shared" si="8"/>
        <v>0</v>
      </c>
      <c r="I125" s="9">
        <f t="shared" si="9"/>
        <v>0</v>
      </c>
    </row>
    <row r="126" spans="1:9" x14ac:dyDescent="0.35">
      <c r="A126" s="18" t="s">
        <v>1062</v>
      </c>
      <c r="B126" s="18" t="s">
        <v>1374</v>
      </c>
      <c r="C126" s="20">
        <v>45726</v>
      </c>
      <c r="D126" s="11">
        <v>4333.8610160173821</v>
      </c>
      <c r="E126" s="27">
        <f t="shared" si="5"/>
        <v>4824.4540830305496</v>
      </c>
      <c r="F126" s="6">
        <f t="shared" si="6"/>
        <v>6271.7903079397147</v>
      </c>
      <c r="G126" s="7">
        <f t="shared" si="7"/>
        <v>6754.2357162427688</v>
      </c>
      <c r="H126" s="8">
        <f t="shared" si="8"/>
        <v>7236.6811245458248</v>
      </c>
      <c r="I126" s="9">
        <f t="shared" si="9"/>
        <v>7719.1265328488798</v>
      </c>
    </row>
    <row r="127" spans="1:9" x14ac:dyDescent="0.35">
      <c r="A127" s="18" t="s">
        <v>1063</v>
      </c>
      <c r="B127" s="18" t="s">
        <v>1375</v>
      </c>
      <c r="C127" s="20">
        <v>45726</v>
      </c>
      <c r="D127" s="11">
        <v>6938.1433580861667</v>
      </c>
      <c r="E127" s="27">
        <f t="shared" si="5"/>
        <v>7723.5411862215205</v>
      </c>
      <c r="F127" s="6">
        <f t="shared" si="6"/>
        <v>10040.603542087976</v>
      </c>
      <c r="G127" s="7">
        <f t="shared" si="7"/>
        <v>10812.957660710128</v>
      </c>
      <c r="H127" s="8">
        <f t="shared" si="8"/>
        <v>11585.311779332282</v>
      </c>
      <c r="I127" s="9">
        <f t="shared" si="9"/>
        <v>12357.665897954434</v>
      </c>
    </row>
    <row r="128" spans="1:9" x14ac:dyDescent="0.35">
      <c r="A128" s="18" t="s">
        <v>1064</v>
      </c>
      <c r="B128" s="18" t="s">
        <v>1376</v>
      </c>
      <c r="C128" s="20">
        <v>45726</v>
      </c>
      <c r="D128" s="11">
        <v>9393.3566497115753</v>
      </c>
      <c r="E128" s="27">
        <f t="shared" si="5"/>
        <v>10456.684622458926</v>
      </c>
      <c r="F128" s="6">
        <f t="shared" si="6"/>
        <v>13593.690009196605</v>
      </c>
      <c r="G128" s="7">
        <f t="shared" si="7"/>
        <v>14639.358471442496</v>
      </c>
      <c r="H128" s="8">
        <f t="shared" si="8"/>
        <v>15685.02693368839</v>
      </c>
      <c r="I128" s="9">
        <f t="shared" si="9"/>
        <v>16730.695395934283</v>
      </c>
    </row>
    <row r="129" spans="1:9" x14ac:dyDescent="0.35">
      <c r="C129" s="20">
        <v>45726</v>
      </c>
      <c r="D129" s="11">
        <v>0</v>
      </c>
      <c r="E129" s="27">
        <f t="shared" si="5"/>
        <v>0</v>
      </c>
      <c r="F129" s="6">
        <f t="shared" si="6"/>
        <v>0</v>
      </c>
      <c r="G129" s="7">
        <f t="shared" si="7"/>
        <v>0</v>
      </c>
      <c r="H129" s="8">
        <f t="shared" si="8"/>
        <v>0</v>
      </c>
      <c r="I129" s="9">
        <f t="shared" si="9"/>
        <v>0</v>
      </c>
    </row>
    <row r="130" spans="1:9" x14ac:dyDescent="0.35">
      <c r="A130" s="18" t="s">
        <v>1065</v>
      </c>
      <c r="B130" s="18" t="s">
        <v>1377</v>
      </c>
      <c r="C130" s="20">
        <v>45726</v>
      </c>
      <c r="D130" s="11">
        <v>4174.8776344281423</v>
      </c>
      <c r="E130" s="27">
        <f t="shared" si="5"/>
        <v>4647.4737826454075</v>
      </c>
      <c r="F130" s="6">
        <f t="shared" si="6"/>
        <v>6041.7159174390299</v>
      </c>
      <c r="G130" s="7">
        <f t="shared" si="7"/>
        <v>6506.4632957035701</v>
      </c>
      <c r="H130" s="8">
        <f t="shared" si="8"/>
        <v>6971.2106739681112</v>
      </c>
      <c r="I130" s="9">
        <f t="shared" si="9"/>
        <v>7435.9580522326523</v>
      </c>
    </row>
    <row r="131" spans="1:9" x14ac:dyDescent="0.35">
      <c r="A131" s="18" t="s">
        <v>1066</v>
      </c>
      <c r="B131" s="18" t="s">
        <v>1378</v>
      </c>
      <c r="C131" s="20">
        <v>45726</v>
      </c>
      <c r="D131" s="11">
        <v>5417.3557769596646</v>
      </c>
      <c r="E131" s="27">
        <f t="shared" si="5"/>
        <v>6030.6004509114991</v>
      </c>
      <c r="F131" s="6">
        <f t="shared" si="6"/>
        <v>7839.7805861849492</v>
      </c>
      <c r="G131" s="7">
        <f t="shared" si="7"/>
        <v>8442.8406312760981</v>
      </c>
      <c r="H131" s="8">
        <f t="shared" si="8"/>
        <v>9045.9006763672478</v>
      </c>
      <c r="I131" s="9">
        <f t="shared" si="9"/>
        <v>9648.9607214583993</v>
      </c>
    </row>
    <row r="132" spans="1:9" x14ac:dyDescent="0.35">
      <c r="A132" s="18" t="s">
        <v>1067</v>
      </c>
      <c r="B132" s="18" t="s">
        <v>1379</v>
      </c>
      <c r="C132" s="20">
        <v>45726</v>
      </c>
      <c r="D132" s="11">
        <v>9289.7282836868162</v>
      </c>
      <c r="E132" s="27">
        <f t="shared" si="5"/>
        <v>10341.325525400165</v>
      </c>
      <c r="F132" s="6">
        <f t="shared" si="6"/>
        <v>13443.723183020214</v>
      </c>
      <c r="G132" s="7">
        <f t="shared" si="7"/>
        <v>14477.85573556023</v>
      </c>
      <c r="H132" s="8">
        <f t="shared" si="8"/>
        <v>15511.988288100249</v>
      </c>
      <c r="I132" s="9">
        <f t="shared" si="9"/>
        <v>16546.120840640266</v>
      </c>
    </row>
    <row r="133" spans="1:9" x14ac:dyDescent="0.35">
      <c r="C133" s="20">
        <v>45726</v>
      </c>
      <c r="D133" s="11">
        <v>0</v>
      </c>
      <c r="E133" s="27">
        <f t="shared" si="5"/>
        <v>0</v>
      </c>
      <c r="F133" s="6">
        <f t="shared" si="6"/>
        <v>0</v>
      </c>
      <c r="G133" s="7">
        <f t="shared" si="7"/>
        <v>0</v>
      </c>
      <c r="H133" s="8">
        <f t="shared" si="8"/>
        <v>0</v>
      </c>
      <c r="I133" s="9">
        <f t="shared" si="9"/>
        <v>0</v>
      </c>
    </row>
    <row r="134" spans="1:9" x14ac:dyDescent="0.35">
      <c r="A134" s="18" t="s">
        <v>1068</v>
      </c>
      <c r="B134" s="18" t="s">
        <v>1380</v>
      </c>
      <c r="C134" s="20">
        <v>45726</v>
      </c>
      <c r="D134" s="11">
        <v>5394.7795751622107</v>
      </c>
      <c r="E134" s="27">
        <f t="shared" si="5"/>
        <v>6005.4686230705729</v>
      </c>
      <c r="F134" s="6">
        <f t="shared" si="6"/>
        <v>7807.109209991745</v>
      </c>
      <c r="G134" s="7">
        <f t="shared" si="7"/>
        <v>8407.6560722988015</v>
      </c>
      <c r="H134" s="8">
        <f t="shared" si="8"/>
        <v>9008.2029346058589</v>
      </c>
      <c r="I134" s="9">
        <f t="shared" si="9"/>
        <v>9608.7497969129163</v>
      </c>
    </row>
    <row r="135" spans="1:9" x14ac:dyDescent="0.35">
      <c r="A135" s="18" t="s">
        <v>1069</v>
      </c>
      <c r="B135" s="18" t="s">
        <v>1381</v>
      </c>
      <c r="C135" s="20">
        <v>45726</v>
      </c>
      <c r="D135" s="11">
        <v>7190.5818811637264</v>
      </c>
      <c r="E135" s="27">
        <f t="shared" si="5"/>
        <v>8004.5557501114599</v>
      </c>
      <c r="F135" s="6">
        <f t="shared" si="6"/>
        <v>10405.922475144898</v>
      </c>
      <c r="G135" s="7">
        <f t="shared" si="7"/>
        <v>11206.378050156043</v>
      </c>
      <c r="H135" s="8">
        <f t="shared" si="8"/>
        <v>12006.83362516719</v>
      </c>
      <c r="I135" s="9">
        <f t="shared" si="9"/>
        <v>12807.289200178337</v>
      </c>
    </row>
    <row r="136" spans="1:9" x14ac:dyDescent="0.35">
      <c r="A136" s="18" t="s">
        <v>1070</v>
      </c>
      <c r="B136" s="18" t="s">
        <v>1382</v>
      </c>
      <c r="C136" s="20">
        <v>45726</v>
      </c>
      <c r="D136" s="11">
        <v>11174.042327173398</v>
      </c>
      <c r="E136" s="27">
        <f t="shared" si="5"/>
        <v>12438.943918609426</v>
      </c>
      <c r="F136" s="6">
        <f t="shared" si="6"/>
        <v>16170.627094192254</v>
      </c>
      <c r="G136" s="7">
        <f t="shared" si="7"/>
        <v>17414.521486053196</v>
      </c>
      <c r="H136" s="8">
        <f t="shared" si="8"/>
        <v>18658.41587791414</v>
      </c>
      <c r="I136" s="9">
        <f t="shared" si="9"/>
        <v>19902.310269775084</v>
      </c>
    </row>
    <row r="137" spans="1:9" x14ac:dyDescent="0.35">
      <c r="A137" s="18" t="s">
        <v>1071</v>
      </c>
      <c r="B137" s="18" t="s">
        <v>1383</v>
      </c>
      <c r="C137" s="20">
        <v>45726</v>
      </c>
      <c r="D137" s="11">
        <v>19193.436931907596</v>
      </c>
      <c r="E137" s="27">
        <f t="shared" si="5"/>
        <v>21366.133992599538</v>
      </c>
      <c r="F137" s="6">
        <f t="shared" si="6"/>
        <v>27775.974190379402</v>
      </c>
      <c r="G137" s="7">
        <f t="shared" si="7"/>
        <v>29912.587589639352</v>
      </c>
      <c r="H137" s="8">
        <f t="shared" si="8"/>
        <v>32049.200988899305</v>
      </c>
      <c r="I137" s="9">
        <f t="shared" si="9"/>
        <v>34185.814388159262</v>
      </c>
    </row>
    <row r="138" spans="1:9" x14ac:dyDescent="0.35">
      <c r="A138" s="18" t="s">
        <v>1072</v>
      </c>
      <c r="B138" s="18" t="s">
        <v>1384</v>
      </c>
      <c r="C138" s="20">
        <v>45726</v>
      </c>
      <c r="D138" s="11">
        <v>0</v>
      </c>
      <c r="E138" s="27">
        <f t="shared" si="5"/>
        <v>0</v>
      </c>
      <c r="F138" s="6">
        <f t="shared" si="6"/>
        <v>0</v>
      </c>
      <c r="G138" s="7">
        <f t="shared" si="7"/>
        <v>0</v>
      </c>
      <c r="H138" s="8">
        <f t="shared" si="8"/>
        <v>0</v>
      </c>
      <c r="I138" s="9">
        <f t="shared" si="9"/>
        <v>0</v>
      </c>
    </row>
    <row r="139" spans="1:9" x14ac:dyDescent="0.35">
      <c r="A139" s="18" t="s">
        <v>1073</v>
      </c>
      <c r="B139" s="18" t="s">
        <v>1385</v>
      </c>
      <c r="C139" s="20">
        <v>45726</v>
      </c>
      <c r="D139" s="11">
        <v>0</v>
      </c>
      <c r="E139" s="27">
        <f t="shared" si="5"/>
        <v>0</v>
      </c>
      <c r="F139" s="6">
        <f t="shared" si="6"/>
        <v>0</v>
      </c>
      <c r="G139" s="7">
        <f t="shared" si="7"/>
        <v>0</v>
      </c>
      <c r="H139" s="8">
        <f t="shared" si="8"/>
        <v>0</v>
      </c>
      <c r="I139" s="9">
        <f t="shared" si="9"/>
        <v>0</v>
      </c>
    </row>
    <row r="140" spans="1:9" ht="15.75" customHeight="1" x14ac:dyDescent="0.4">
      <c r="A140" s="21"/>
      <c r="B140" s="19" t="s">
        <v>1201</v>
      </c>
      <c r="D140" s="11">
        <v>0</v>
      </c>
      <c r="E140" s="27">
        <f t="shared" ref="E140:E203" si="10">D140*1.21*0.92</f>
        <v>0</v>
      </c>
      <c r="F140" s="6">
        <f t="shared" ref="F140:F203" si="11">E140*1.3</f>
        <v>0</v>
      </c>
      <c r="G140" s="7">
        <f t="shared" ref="G140:G203" si="12">E140*1.4</f>
        <v>0</v>
      </c>
      <c r="H140" s="8">
        <f t="shared" ref="H140:H203" si="13">E140*1.5</f>
        <v>0</v>
      </c>
      <c r="I140" s="9">
        <f t="shared" ref="I140:I203" si="14">E140*1.6</f>
        <v>0</v>
      </c>
    </row>
    <row r="141" spans="1:9" x14ac:dyDescent="0.35">
      <c r="A141" s="18" t="s">
        <v>1074</v>
      </c>
      <c r="B141" s="18" t="s">
        <v>2694</v>
      </c>
      <c r="C141" s="20">
        <v>45488</v>
      </c>
      <c r="D141" s="11">
        <v>1133.7271950677086</v>
      </c>
      <c r="E141" s="27">
        <f t="shared" si="10"/>
        <v>1262.0651135493731</v>
      </c>
      <c r="F141" s="6">
        <f t="shared" si="11"/>
        <v>1640.684647614185</v>
      </c>
      <c r="G141" s="7">
        <f t="shared" si="12"/>
        <v>1766.8911589691222</v>
      </c>
      <c r="H141" s="8">
        <f t="shared" si="13"/>
        <v>1893.0976703240597</v>
      </c>
      <c r="I141" s="9">
        <f t="shared" si="14"/>
        <v>2019.3041816789971</v>
      </c>
    </row>
    <row r="142" spans="1:9" x14ac:dyDescent="0.35">
      <c r="A142" s="18" t="s">
        <v>455</v>
      </c>
      <c r="B142" s="18" t="s">
        <v>2695</v>
      </c>
      <c r="C142" s="20">
        <v>45488</v>
      </c>
      <c r="D142" s="11">
        <v>829.57100000000003</v>
      </c>
      <c r="E142" s="27">
        <f t="shared" si="10"/>
        <v>923.47843720000003</v>
      </c>
      <c r="F142" s="6">
        <f t="shared" si="11"/>
        <v>1200.5219683600001</v>
      </c>
      <c r="G142" s="7">
        <f t="shared" si="12"/>
        <v>1292.86981208</v>
      </c>
      <c r="H142" s="8">
        <f t="shared" si="13"/>
        <v>1385.2176558000001</v>
      </c>
      <c r="I142" s="9">
        <f t="shared" si="14"/>
        <v>1477.5654995200002</v>
      </c>
    </row>
    <row r="143" spans="1:9" x14ac:dyDescent="0.35">
      <c r="A143" s="18" t="s">
        <v>456</v>
      </c>
      <c r="B143" s="18" t="s">
        <v>2696</v>
      </c>
      <c r="C143" s="20">
        <v>45488</v>
      </c>
      <c r="D143" s="11">
        <v>956</v>
      </c>
      <c r="E143" s="27">
        <f t="shared" si="10"/>
        <v>1064.2192</v>
      </c>
      <c r="F143" s="6">
        <f t="shared" si="11"/>
        <v>1383.48496</v>
      </c>
      <c r="G143" s="7">
        <f t="shared" si="12"/>
        <v>1489.90688</v>
      </c>
      <c r="H143" s="8">
        <f t="shared" si="13"/>
        <v>1596.3288</v>
      </c>
      <c r="I143" s="9">
        <f t="shared" si="14"/>
        <v>1702.75072</v>
      </c>
    </row>
    <row r="144" spans="1:9" x14ac:dyDescent="0.35">
      <c r="A144" s="18" t="s">
        <v>457</v>
      </c>
      <c r="B144" s="18" t="s">
        <v>2697</v>
      </c>
      <c r="C144" s="20">
        <v>45488</v>
      </c>
      <c r="D144" s="11">
        <v>730.32928213887271</v>
      </c>
      <c r="E144" s="27">
        <f t="shared" si="10"/>
        <v>813.00255687699314</v>
      </c>
      <c r="F144" s="6">
        <f t="shared" si="11"/>
        <v>1056.903323940091</v>
      </c>
      <c r="G144" s="7">
        <f t="shared" si="12"/>
        <v>1138.2035796277903</v>
      </c>
      <c r="H144" s="8">
        <f t="shared" si="13"/>
        <v>1219.5038353154896</v>
      </c>
      <c r="I144" s="9">
        <f t="shared" si="14"/>
        <v>1300.8040910031891</v>
      </c>
    </row>
    <row r="145" spans="1:9" x14ac:dyDescent="0.35">
      <c r="A145" s="18" t="s">
        <v>458</v>
      </c>
      <c r="B145" s="18" t="s">
        <v>2698</v>
      </c>
      <c r="C145" s="20">
        <v>45488</v>
      </c>
      <c r="D145" s="11">
        <v>791.47576013358196</v>
      </c>
      <c r="E145" s="27">
        <f t="shared" si="10"/>
        <v>881.07081618070345</v>
      </c>
      <c r="F145" s="6">
        <f t="shared" si="11"/>
        <v>1145.3920610349146</v>
      </c>
      <c r="G145" s="7">
        <f t="shared" si="12"/>
        <v>1233.4991426529848</v>
      </c>
      <c r="H145" s="8">
        <f t="shared" si="13"/>
        <v>1321.6062242710552</v>
      </c>
      <c r="I145" s="9">
        <f t="shared" si="14"/>
        <v>1409.7133058891256</v>
      </c>
    </row>
    <row r="146" spans="1:9" x14ac:dyDescent="0.35">
      <c r="A146" s="18" t="s">
        <v>459</v>
      </c>
      <c r="B146" s="18" t="s">
        <v>2699</v>
      </c>
      <c r="C146" s="20">
        <v>45488</v>
      </c>
      <c r="D146" s="11">
        <v>701.04696853460939</v>
      </c>
      <c r="E146" s="27">
        <f t="shared" si="10"/>
        <v>780.40548537272718</v>
      </c>
      <c r="F146" s="6">
        <f t="shared" si="11"/>
        <v>1014.5271309845454</v>
      </c>
      <c r="G146" s="7">
        <f t="shared" si="12"/>
        <v>1092.567679521818</v>
      </c>
      <c r="H146" s="8">
        <f t="shared" si="13"/>
        <v>1170.6082280590908</v>
      </c>
      <c r="I146" s="9">
        <f t="shared" si="14"/>
        <v>1248.6487765963636</v>
      </c>
    </row>
    <row r="147" spans="1:9" x14ac:dyDescent="0.35">
      <c r="C147" s="20">
        <v>45488</v>
      </c>
      <c r="D147" s="11">
        <v>0</v>
      </c>
      <c r="E147" s="27">
        <f t="shared" si="10"/>
        <v>0</v>
      </c>
      <c r="F147" s="6">
        <f t="shared" si="11"/>
        <v>0</v>
      </c>
      <c r="G147" s="7">
        <f t="shared" si="12"/>
        <v>0</v>
      </c>
      <c r="H147" s="8">
        <f t="shared" si="13"/>
        <v>0</v>
      </c>
      <c r="I147" s="9">
        <f t="shared" si="14"/>
        <v>0</v>
      </c>
    </row>
    <row r="148" spans="1:9" x14ac:dyDescent="0.35">
      <c r="A148" s="18" t="s">
        <v>460</v>
      </c>
      <c r="B148" s="18" t="s">
        <v>2700</v>
      </c>
      <c r="C148" s="20">
        <v>45488</v>
      </c>
      <c r="D148" s="11">
        <v>891.39577863186878</v>
      </c>
      <c r="E148" s="27">
        <f t="shared" si="10"/>
        <v>992.30178077299638</v>
      </c>
      <c r="F148" s="6">
        <f t="shared" si="11"/>
        <v>1289.9923150048953</v>
      </c>
      <c r="G148" s="7">
        <f t="shared" si="12"/>
        <v>1389.2224930821949</v>
      </c>
      <c r="H148" s="8">
        <f t="shared" si="13"/>
        <v>1488.4526711594945</v>
      </c>
      <c r="I148" s="9">
        <f t="shared" si="14"/>
        <v>1587.6828492367943</v>
      </c>
    </row>
    <row r="149" spans="1:9" x14ac:dyDescent="0.35">
      <c r="A149" s="18" t="s">
        <v>461</v>
      </c>
      <c r="B149" s="18" t="s">
        <v>2701</v>
      </c>
      <c r="C149" s="20">
        <v>45488</v>
      </c>
      <c r="D149" s="11">
        <v>787.0498366500002</v>
      </c>
      <c r="E149" s="27">
        <f t="shared" si="10"/>
        <v>876.14387815878024</v>
      </c>
      <c r="F149" s="6">
        <f t="shared" si="11"/>
        <v>1138.9870416064143</v>
      </c>
      <c r="G149" s="7">
        <f t="shared" si="12"/>
        <v>1226.6014294222923</v>
      </c>
      <c r="H149" s="8">
        <f t="shared" si="13"/>
        <v>1314.2158172381703</v>
      </c>
      <c r="I149" s="9">
        <f t="shared" si="14"/>
        <v>1401.8302050540485</v>
      </c>
    </row>
    <row r="150" spans="1:9" x14ac:dyDescent="0.35">
      <c r="A150" s="18" t="s">
        <v>462</v>
      </c>
      <c r="B150" s="18" t="s">
        <v>2702</v>
      </c>
      <c r="C150" s="20">
        <v>45488</v>
      </c>
      <c r="D150" s="11">
        <v>815.11784392500022</v>
      </c>
      <c r="E150" s="27">
        <f t="shared" si="10"/>
        <v>907.38918385731029</v>
      </c>
      <c r="F150" s="6">
        <f t="shared" si="11"/>
        <v>1179.6059390145035</v>
      </c>
      <c r="G150" s="7">
        <f t="shared" si="12"/>
        <v>1270.3448574002343</v>
      </c>
      <c r="H150" s="8">
        <f t="shared" si="13"/>
        <v>1361.0837757859654</v>
      </c>
      <c r="I150" s="9">
        <f t="shared" si="14"/>
        <v>1451.8226941716966</v>
      </c>
    </row>
    <row r="151" spans="1:9" x14ac:dyDescent="0.35">
      <c r="A151" s="18" t="s">
        <v>463</v>
      </c>
      <c r="B151" s="18" t="s">
        <v>2703</v>
      </c>
      <c r="C151" s="20">
        <v>45488</v>
      </c>
      <c r="D151" s="11">
        <v>704.8</v>
      </c>
      <c r="E151" s="27">
        <f t="shared" si="10"/>
        <v>784.58335999999997</v>
      </c>
      <c r="F151" s="6">
        <f t="shared" si="11"/>
        <v>1019.958368</v>
      </c>
      <c r="G151" s="7">
        <f t="shared" si="12"/>
        <v>1098.416704</v>
      </c>
      <c r="H151" s="8">
        <f t="shared" si="13"/>
        <v>1176.8750399999999</v>
      </c>
      <c r="I151" s="9">
        <f t="shared" si="14"/>
        <v>1255.333376</v>
      </c>
    </row>
    <row r="152" spans="1:9" x14ac:dyDescent="0.35">
      <c r="A152" s="18" t="s">
        <v>464</v>
      </c>
      <c r="B152" s="18" t="s">
        <v>2704</v>
      </c>
      <c r="C152" s="20">
        <v>45488</v>
      </c>
      <c r="D152" s="11">
        <v>655.02677162186467</v>
      </c>
      <c r="E152" s="27">
        <f t="shared" si="10"/>
        <v>729.17580216945976</v>
      </c>
      <c r="F152" s="6">
        <f t="shared" si="11"/>
        <v>947.92854282029771</v>
      </c>
      <c r="G152" s="7">
        <f t="shared" si="12"/>
        <v>1020.8461230372436</v>
      </c>
      <c r="H152" s="8">
        <f t="shared" si="13"/>
        <v>1093.7637032541897</v>
      </c>
      <c r="I152" s="9">
        <f t="shared" si="14"/>
        <v>1166.6812834711357</v>
      </c>
    </row>
    <row r="153" spans="1:9" x14ac:dyDescent="0.35">
      <c r="A153" s="18" t="s">
        <v>465</v>
      </c>
      <c r="B153" s="18" t="s">
        <v>2705</v>
      </c>
      <c r="C153" s="20">
        <v>45488</v>
      </c>
      <c r="D153" s="11">
        <v>520.55500000000006</v>
      </c>
      <c r="E153" s="27">
        <f t="shared" si="10"/>
        <v>579.48182600000007</v>
      </c>
      <c r="F153" s="6">
        <f t="shared" si="11"/>
        <v>753.32637380000017</v>
      </c>
      <c r="G153" s="7">
        <f t="shared" si="12"/>
        <v>811.27455640000005</v>
      </c>
      <c r="H153" s="8">
        <f t="shared" si="13"/>
        <v>869.22273900000005</v>
      </c>
      <c r="I153" s="9">
        <f t="shared" si="14"/>
        <v>927.17092160000016</v>
      </c>
    </row>
    <row r="154" spans="1:9" x14ac:dyDescent="0.35">
      <c r="C154" s="20">
        <v>45488</v>
      </c>
      <c r="D154" s="11">
        <v>0</v>
      </c>
      <c r="E154" s="27">
        <f t="shared" si="10"/>
        <v>0</v>
      </c>
      <c r="F154" s="6">
        <f t="shared" si="11"/>
        <v>0</v>
      </c>
      <c r="G154" s="7">
        <f t="shared" si="12"/>
        <v>0</v>
      </c>
      <c r="H154" s="8">
        <f t="shared" si="13"/>
        <v>0</v>
      </c>
      <c r="I154" s="9">
        <f t="shared" si="14"/>
        <v>0</v>
      </c>
    </row>
    <row r="155" spans="1:9" x14ac:dyDescent="0.35">
      <c r="A155" s="18" t="s">
        <v>466</v>
      </c>
      <c r="B155" s="18" t="s">
        <v>2706</v>
      </c>
      <c r="C155" s="20">
        <v>45488</v>
      </c>
      <c r="D155" s="11">
        <v>1661.2598149066587</v>
      </c>
      <c r="E155" s="27">
        <f t="shared" si="10"/>
        <v>1849.3144259540925</v>
      </c>
      <c r="F155" s="6">
        <f t="shared" si="11"/>
        <v>2404.1087537403205</v>
      </c>
      <c r="G155" s="7">
        <f t="shared" si="12"/>
        <v>2589.0401963357294</v>
      </c>
      <c r="H155" s="8">
        <f t="shared" si="13"/>
        <v>2773.9716389311388</v>
      </c>
      <c r="I155" s="9">
        <f t="shared" si="14"/>
        <v>2958.9030815265482</v>
      </c>
    </row>
    <row r="156" spans="1:9" x14ac:dyDescent="0.35">
      <c r="A156" s="18" t="s">
        <v>2034</v>
      </c>
      <c r="B156" s="18" t="s">
        <v>2707</v>
      </c>
      <c r="C156" s="20">
        <v>45488</v>
      </c>
      <c r="D156" s="11">
        <v>1708.143516029048</v>
      </c>
      <c r="E156" s="27">
        <f t="shared" si="10"/>
        <v>1901.5053620435365</v>
      </c>
      <c r="F156" s="6">
        <f t="shared" si="11"/>
        <v>2471.9569706565976</v>
      </c>
      <c r="G156" s="7">
        <f t="shared" si="12"/>
        <v>2662.1075068609507</v>
      </c>
      <c r="H156" s="8">
        <f t="shared" si="13"/>
        <v>2852.2580430653047</v>
      </c>
      <c r="I156" s="9">
        <f t="shared" si="14"/>
        <v>3042.4085792696587</v>
      </c>
    </row>
    <row r="157" spans="1:9" x14ac:dyDescent="0.35">
      <c r="A157" s="18" t="s">
        <v>2035</v>
      </c>
      <c r="B157" s="18" t="s">
        <v>2708</v>
      </c>
      <c r="C157" s="20">
        <v>45488</v>
      </c>
      <c r="D157" s="11">
        <v>1870.2723921267202</v>
      </c>
      <c r="E157" s="27">
        <f t="shared" si="10"/>
        <v>2081.9872269154653</v>
      </c>
      <c r="F157" s="6">
        <f t="shared" si="11"/>
        <v>2706.5833949901048</v>
      </c>
      <c r="G157" s="7">
        <f t="shared" si="12"/>
        <v>2914.782117681651</v>
      </c>
      <c r="H157" s="8">
        <f t="shared" si="13"/>
        <v>3122.9808403731977</v>
      </c>
      <c r="I157" s="9">
        <f t="shared" si="14"/>
        <v>3331.1795630647448</v>
      </c>
    </row>
    <row r="158" spans="1:9" x14ac:dyDescent="0.35">
      <c r="A158" s="18" t="s">
        <v>2036</v>
      </c>
      <c r="B158" s="18" t="s">
        <v>2709</v>
      </c>
      <c r="C158" s="20">
        <v>45488</v>
      </c>
      <c r="D158" s="11">
        <v>1709.9901028105867</v>
      </c>
      <c r="E158" s="27">
        <f t="shared" si="10"/>
        <v>1903.5609824487451</v>
      </c>
      <c r="F158" s="6">
        <f t="shared" si="11"/>
        <v>2474.6292771833687</v>
      </c>
      <c r="G158" s="7">
        <f t="shared" si="12"/>
        <v>2664.9853754282431</v>
      </c>
      <c r="H158" s="8">
        <f t="shared" si="13"/>
        <v>2855.3414736731174</v>
      </c>
      <c r="I158" s="9">
        <f t="shared" si="14"/>
        <v>3045.6975719179923</v>
      </c>
    </row>
    <row r="159" spans="1:9" x14ac:dyDescent="0.35">
      <c r="A159" s="18" t="s">
        <v>2037</v>
      </c>
      <c r="B159" s="18" t="s">
        <v>2710</v>
      </c>
      <c r="C159" s="20">
        <v>45488</v>
      </c>
      <c r="D159" s="11">
        <v>1709.9901028105867</v>
      </c>
      <c r="E159" s="27">
        <f t="shared" si="10"/>
        <v>1903.5609824487451</v>
      </c>
      <c r="F159" s="6">
        <f t="shared" si="11"/>
        <v>2474.6292771833687</v>
      </c>
      <c r="G159" s="7">
        <f t="shared" si="12"/>
        <v>2664.9853754282431</v>
      </c>
      <c r="H159" s="8">
        <f t="shared" si="13"/>
        <v>2855.3414736731174</v>
      </c>
      <c r="I159" s="9">
        <f t="shared" si="14"/>
        <v>3045.6975719179923</v>
      </c>
    </row>
    <row r="160" spans="1:9" x14ac:dyDescent="0.35">
      <c r="A160" s="18" t="s">
        <v>2038</v>
      </c>
      <c r="B160" s="18" t="s">
        <v>2711</v>
      </c>
      <c r="C160" s="20">
        <v>45488</v>
      </c>
      <c r="D160" s="11">
        <v>1727.7102075029234</v>
      </c>
      <c r="E160" s="27">
        <f t="shared" si="10"/>
        <v>1923.2870029922544</v>
      </c>
      <c r="F160" s="6">
        <f t="shared" si="11"/>
        <v>2500.273103889931</v>
      </c>
      <c r="G160" s="7">
        <f t="shared" si="12"/>
        <v>2692.6018041891562</v>
      </c>
      <c r="H160" s="8">
        <f t="shared" si="13"/>
        <v>2884.9305044883818</v>
      </c>
      <c r="I160" s="9">
        <f t="shared" si="14"/>
        <v>3077.2592047876074</v>
      </c>
    </row>
    <row r="161" spans="1:9" x14ac:dyDescent="0.35">
      <c r="C161" s="20">
        <v>45488</v>
      </c>
      <c r="D161" s="11">
        <v>0</v>
      </c>
      <c r="E161" s="27">
        <f t="shared" si="10"/>
        <v>0</v>
      </c>
      <c r="F161" s="6">
        <f t="shared" si="11"/>
        <v>0</v>
      </c>
      <c r="G161" s="7">
        <f t="shared" si="12"/>
        <v>0</v>
      </c>
      <c r="H161" s="8">
        <f t="shared" si="13"/>
        <v>0</v>
      </c>
      <c r="I161" s="9">
        <f t="shared" si="14"/>
        <v>0</v>
      </c>
    </row>
    <row r="162" spans="1:9" x14ac:dyDescent="0.35">
      <c r="A162" s="18" t="s">
        <v>2039</v>
      </c>
      <c r="B162" s="18" t="s">
        <v>2712</v>
      </c>
      <c r="C162" s="20">
        <v>45488</v>
      </c>
      <c r="D162" s="11">
        <v>1387.4036514796212</v>
      </c>
      <c r="E162" s="27">
        <f t="shared" si="10"/>
        <v>1544.4577448271143</v>
      </c>
      <c r="F162" s="6">
        <f t="shared" si="11"/>
        <v>2007.7950682752487</v>
      </c>
      <c r="G162" s="7">
        <f t="shared" si="12"/>
        <v>2162.2408427579599</v>
      </c>
      <c r="H162" s="8">
        <f t="shared" si="13"/>
        <v>2316.6866172406717</v>
      </c>
      <c r="I162" s="9">
        <f t="shared" si="14"/>
        <v>2471.1323917233831</v>
      </c>
    </row>
    <row r="163" spans="1:9" x14ac:dyDescent="0.35">
      <c r="A163" s="18" t="s">
        <v>2040</v>
      </c>
      <c r="B163" s="18" t="s">
        <v>2713</v>
      </c>
      <c r="C163" s="20">
        <v>45488</v>
      </c>
      <c r="D163" s="11">
        <v>1352.5004149644108</v>
      </c>
      <c r="E163" s="27">
        <f t="shared" si="10"/>
        <v>1505.603461938382</v>
      </c>
      <c r="F163" s="6">
        <f t="shared" si="11"/>
        <v>1957.2845005198967</v>
      </c>
      <c r="G163" s="7">
        <f t="shared" si="12"/>
        <v>2107.8448467137346</v>
      </c>
      <c r="H163" s="8">
        <f t="shared" si="13"/>
        <v>2258.4051929075731</v>
      </c>
      <c r="I163" s="9">
        <f t="shared" si="14"/>
        <v>2408.9655391014112</v>
      </c>
    </row>
    <row r="164" spans="1:9" x14ac:dyDescent="0.35">
      <c r="A164" s="18" t="s">
        <v>2041</v>
      </c>
      <c r="B164" s="18" t="s">
        <v>2714</v>
      </c>
      <c r="C164" s="20">
        <v>45488</v>
      </c>
      <c r="D164" s="11">
        <v>1829.2425298923965</v>
      </c>
      <c r="E164" s="27">
        <f t="shared" si="10"/>
        <v>2036.312784276216</v>
      </c>
      <c r="F164" s="6">
        <f t="shared" si="11"/>
        <v>2647.206619559081</v>
      </c>
      <c r="G164" s="7">
        <f t="shared" si="12"/>
        <v>2850.837897986702</v>
      </c>
      <c r="H164" s="8">
        <f t="shared" si="13"/>
        <v>3054.469176414324</v>
      </c>
      <c r="I164" s="9">
        <f t="shared" si="14"/>
        <v>3258.100454841946</v>
      </c>
    </row>
    <row r="165" spans="1:9" x14ac:dyDescent="0.35">
      <c r="A165" s="18" t="s">
        <v>2042</v>
      </c>
      <c r="B165" s="18" t="s">
        <v>2715</v>
      </c>
      <c r="C165" s="20">
        <v>45488</v>
      </c>
      <c r="D165" s="11">
        <v>1701.5327801165158</v>
      </c>
      <c r="E165" s="27">
        <f t="shared" si="10"/>
        <v>1894.1462908257056</v>
      </c>
      <c r="F165" s="6">
        <f t="shared" si="11"/>
        <v>2462.3901780734172</v>
      </c>
      <c r="G165" s="7">
        <f t="shared" si="12"/>
        <v>2651.8048071559879</v>
      </c>
      <c r="H165" s="8">
        <f t="shared" si="13"/>
        <v>2841.2194362385585</v>
      </c>
      <c r="I165" s="9">
        <f t="shared" si="14"/>
        <v>3030.6340653211291</v>
      </c>
    </row>
    <row r="166" spans="1:9" x14ac:dyDescent="0.35">
      <c r="A166" s="18" t="s">
        <v>2043</v>
      </c>
      <c r="B166" s="18" t="s">
        <v>2716</v>
      </c>
      <c r="C166" s="20">
        <v>45488</v>
      </c>
      <c r="D166" s="11">
        <v>1701.5327801165158</v>
      </c>
      <c r="E166" s="27">
        <f t="shared" si="10"/>
        <v>1894.1462908257056</v>
      </c>
      <c r="F166" s="6">
        <f t="shared" si="11"/>
        <v>2462.3901780734172</v>
      </c>
      <c r="G166" s="7">
        <f t="shared" si="12"/>
        <v>2651.8048071559879</v>
      </c>
      <c r="H166" s="8">
        <f t="shared" si="13"/>
        <v>2841.2194362385585</v>
      </c>
      <c r="I166" s="9">
        <f t="shared" si="14"/>
        <v>3030.6340653211291</v>
      </c>
    </row>
    <row r="167" spans="1:9" x14ac:dyDescent="0.35">
      <c r="A167" s="18" t="s">
        <v>2044</v>
      </c>
      <c r="B167" s="18" t="s">
        <v>2717</v>
      </c>
      <c r="C167" s="20">
        <v>45488</v>
      </c>
      <c r="D167" s="11">
        <v>1221.6132780323701</v>
      </c>
      <c r="E167" s="27">
        <f t="shared" si="10"/>
        <v>1359.8999011056344</v>
      </c>
      <c r="F167" s="6">
        <f t="shared" si="11"/>
        <v>1767.8698714373247</v>
      </c>
      <c r="G167" s="7">
        <f t="shared" si="12"/>
        <v>1903.8598615478879</v>
      </c>
      <c r="H167" s="8">
        <f t="shared" si="13"/>
        <v>2039.8498516584516</v>
      </c>
      <c r="I167" s="9">
        <f t="shared" si="14"/>
        <v>2175.839841769015</v>
      </c>
    </row>
    <row r="168" spans="1:9" x14ac:dyDescent="0.35">
      <c r="C168" s="20">
        <v>45488</v>
      </c>
      <c r="D168" s="11">
        <v>0</v>
      </c>
      <c r="E168" s="27">
        <f t="shared" si="10"/>
        <v>0</v>
      </c>
      <c r="F168" s="6">
        <f t="shared" si="11"/>
        <v>0</v>
      </c>
      <c r="G168" s="7">
        <f t="shared" si="12"/>
        <v>0</v>
      </c>
      <c r="H168" s="8">
        <f t="shared" si="13"/>
        <v>0</v>
      </c>
      <c r="I168" s="9">
        <f t="shared" si="14"/>
        <v>0</v>
      </c>
    </row>
    <row r="169" spans="1:9" x14ac:dyDescent="0.35">
      <c r="A169" s="18" t="s">
        <v>2045</v>
      </c>
      <c r="B169" s="18" t="s">
        <v>2718</v>
      </c>
      <c r="C169" s="20">
        <v>45488</v>
      </c>
      <c r="D169" s="11">
        <v>970.12855518501362</v>
      </c>
      <c r="E169" s="27">
        <f t="shared" si="10"/>
        <v>1079.9471076319571</v>
      </c>
      <c r="F169" s="6">
        <f t="shared" si="11"/>
        <v>1403.9312399215444</v>
      </c>
      <c r="G169" s="7">
        <f t="shared" si="12"/>
        <v>1511.92595068474</v>
      </c>
      <c r="H169" s="8">
        <f t="shared" si="13"/>
        <v>1619.9206614479358</v>
      </c>
      <c r="I169" s="9">
        <f t="shared" si="14"/>
        <v>1727.9153722111314</v>
      </c>
    </row>
    <row r="170" spans="1:9" x14ac:dyDescent="0.35">
      <c r="A170" s="18" t="s">
        <v>2046</v>
      </c>
      <c r="B170" s="18" t="s">
        <v>2719</v>
      </c>
      <c r="C170" s="20">
        <v>45488</v>
      </c>
      <c r="D170" s="11">
        <v>1204.6099999999999</v>
      </c>
      <c r="E170" s="27">
        <f t="shared" si="10"/>
        <v>1340.9718519999999</v>
      </c>
      <c r="F170" s="6">
        <f t="shared" si="11"/>
        <v>1743.2634075999999</v>
      </c>
      <c r="G170" s="7">
        <f t="shared" si="12"/>
        <v>1877.3605927999997</v>
      </c>
      <c r="H170" s="8">
        <f t="shared" si="13"/>
        <v>2011.457778</v>
      </c>
      <c r="I170" s="9">
        <f t="shared" si="14"/>
        <v>2145.5549631999997</v>
      </c>
    </row>
    <row r="171" spans="1:9" x14ac:dyDescent="0.35">
      <c r="A171" s="18" t="s">
        <v>2047</v>
      </c>
      <c r="B171" s="18" t="s">
        <v>2693</v>
      </c>
      <c r="C171" s="20">
        <v>45488</v>
      </c>
      <c r="D171" s="11">
        <v>1204.6099999999999</v>
      </c>
      <c r="E171" s="27">
        <f t="shared" si="10"/>
        <v>1340.9718519999999</v>
      </c>
      <c r="F171" s="6">
        <f t="shared" si="11"/>
        <v>1743.2634075999999</v>
      </c>
      <c r="G171" s="7">
        <f t="shared" si="12"/>
        <v>1877.3605927999997</v>
      </c>
      <c r="H171" s="8">
        <f t="shared" si="13"/>
        <v>2011.457778</v>
      </c>
      <c r="I171" s="9">
        <f t="shared" si="14"/>
        <v>2145.5549631999997</v>
      </c>
    </row>
    <row r="172" spans="1:9" x14ac:dyDescent="0.35">
      <c r="A172" s="18" t="s">
        <v>2048</v>
      </c>
      <c r="B172" s="18" t="s">
        <v>2720</v>
      </c>
      <c r="C172" s="20">
        <v>45488</v>
      </c>
      <c r="D172" s="11">
        <v>808.22974182423411</v>
      </c>
      <c r="E172" s="27">
        <f t="shared" si="10"/>
        <v>899.72134859873745</v>
      </c>
      <c r="F172" s="6">
        <f t="shared" si="11"/>
        <v>1169.6377531783587</v>
      </c>
      <c r="G172" s="7">
        <f t="shared" si="12"/>
        <v>1259.6098880382324</v>
      </c>
      <c r="H172" s="8">
        <f t="shared" si="13"/>
        <v>1349.5820228981061</v>
      </c>
      <c r="I172" s="9">
        <f t="shared" si="14"/>
        <v>1439.55415775798</v>
      </c>
    </row>
    <row r="173" spans="1:9" x14ac:dyDescent="0.35">
      <c r="A173" s="18" t="s">
        <v>2049</v>
      </c>
      <c r="B173" s="18" t="s">
        <v>2721</v>
      </c>
      <c r="C173" s="20">
        <v>45488</v>
      </c>
      <c r="D173" s="11">
        <v>808.22974182423411</v>
      </c>
      <c r="E173" s="27">
        <f t="shared" si="10"/>
        <v>899.72134859873745</v>
      </c>
      <c r="F173" s="6">
        <f t="shared" si="11"/>
        <v>1169.6377531783587</v>
      </c>
      <c r="G173" s="7">
        <f t="shared" si="12"/>
        <v>1259.6098880382324</v>
      </c>
      <c r="H173" s="8">
        <f t="shared" si="13"/>
        <v>1349.5820228981061</v>
      </c>
      <c r="I173" s="9">
        <f t="shared" si="14"/>
        <v>1439.55415775798</v>
      </c>
    </row>
    <row r="174" spans="1:9" x14ac:dyDescent="0.35">
      <c r="A174" s="18" t="s">
        <v>2050</v>
      </c>
      <c r="B174" s="18" t="s">
        <v>2722</v>
      </c>
      <c r="C174" s="20">
        <v>45488</v>
      </c>
      <c r="D174" s="11">
        <v>678.3460145930211</v>
      </c>
      <c r="E174" s="27">
        <f t="shared" si="10"/>
        <v>755.13478344495104</v>
      </c>
      <c r="F174" s="6">
        <f t="shared" si="11"/>
        <v>981.67521847843636</v>
      </c>
      <c r="G174" s="7">
        <f t="shared" si="12"/>
        <v>1057.1886968229314</v>
      </c>
      <c r="H174" s="8">
        <f t="shared" si="13"/>
        <v>1132.7021751674265</v>
      </c>
      <c r="I174" s="9">
        <f t="shared" si="14"/>
        <v>1208.2156535119218</v>
      </c>
    </row>
    <row r="175" spans="1:9" x14ac:dyDescent="0.35">
      <c r="C175" s="20">
        <v>45488</v>
      </c>
      <c r="D175" s="11">
        <v>0</v>
      </c>
      <c r="E175" s="27">
        <f t="shared" si="10"/>
        <v>0</v>
      </c>
      <c r="F175" s="6">
        <f t="shared" si="11"/>
        <v>0</v>
      </c>
      <c r="G175" s="7">
        <f t="shared" si="12"/>
        <v>0</v>
      </c>
      <c r="H175" s="8">
        <f t="shared" si="13"/>
        <v>0</v>
      </c>
      <c r="I175" s="9">
        <f t="shared" si="14"/>
        <v>0</v>
      </c>
    </row>
    <row r="176" spans="1:9" x14ac:dyDescent="0.35">
      <c r="A176" s="18" t="s">
        <v>2051</v>
      </c>
      <c r="B176" s="18" t="s">
        <v>2723</v>
      </c>
      <c r="C176" s="20">
        <v>45488</v>
      </c>
      <c r="D176" s="11">
        <v>617.92500000000007</v>
      </c>
      <c r="E176" s="27">
        <f t="shared" si="10"/>
        <v>687.87411000000009</v>
      </c>
      <c r="F176" s="6">
        <f t="shared" si="11"/>
        <v>894.23634300000015</v>
      </c>
      <c r="G176" s="7">
        <f t="shared" si="12"/>
        <v>963.02375400000005</v>
      </c>
      <c r="H176" s="8">
        <f t="shared" si="13"/>
        <v>1031.8111650000001</v>
      </c>
      <c r="I176" s="9">
        <f t="shared" si="14"/>
        <v>1100.5985760000001</v>
      </c>
    </row>
    <row r="177" spans="1:9" x14ac:dyDescent="0.35">
      <c r="A177" s="18" t="s">
        <v>2052</v>
      </c>
      <c r="B177" s="18" t="s">
        <v>0</v>
      </c>
      <c r="C177" s="20">
        <v>45488</v>
      </c>
      <c r="D177" s="11">
        <v>529.32179795359025</v>
      </c>
      <c r="E177" s="27">
        <f t="shared" si="10"/>
        <v>589.24102548193662</v>
      </c>
      <c r="F177" s="6">
        <f t="shared" si="11"/>
        <v>766.01333312651764</v>
      </c>
      <c r="G177" s="7">
        <f t="shared" si="12"/>
        <v>824.9374356747112</v>
      </c>
      <c r="H177" s="8">
        <f t="shared" si="13"/>
        <v>883.86153822290498</v>
      </c>
      <c r="I177" s="9">
        <f t="shared" si="14"/>
        <v>942.78564077109866</v>
      </c>
    </row>
    <row r="178" spans="1:9" x14ac:dyDescent="0.35">
      <c r="A178" s="18" t="s">
        <v>2053</v>
      </c>
      <c r="B178" s="18" t="s">
        <v>1</v>
      </c>
      <c r="C178" s="20">
        <v>45488</v>
      </c>
      <c r="D178" s="11">
        <v>583.81455132000019</v>
      </c>
      <c r="E178" s="27">
        <f t="shared" si="10"/>
        <v>649.90235852942419</v>
      </c>
      <c r="F178" s="6">
        <f t="shared" si="11"/>
        <v>844.87306608825145</v>
      </c>
      <c r="G178" s="7">
        <f t="shared" si="12"/>
        <v>909.86330194119375</v>
      </c>
      <c r="H178" s="8">
        <f t="shared" si="13"/>
        <v>974.85353779413629</v>
      </c>
      <c r="I178" s="9">
        <f t="shared" si="14"/>
        <v>1039.8437736470787</v>
      </c>
    </row>
    <row r="179" spans="1:9" x14ac:dyDescent="0.35">
      <c r="A179" s="18" t="s">
        <v>2054</v>
      </c>
      <c r="B179" s="18" t="s">
        <v>2</v>
      </c>
      <c r="C179" s="20">
        <v>45488</v>
      </c>
      <c r="D179" s="11">
        <v>531.47060092227844</v>
      </c>
      <c r="E179" s="27">
        <f t="shared" si="10"/>
        <v>591.63307294668027</v>
      </c>
      <c r="F179" s="6">
        <f t="shared" si="11"/>
        <v>769.12299483068443</v>
      </c>
      <c r="G179" s="7">
        <f t="shared" si="12"/>
        <v>828.28630212535234</v>
      </c>
      <c r="H179" s="8">
        <f t="shared" si="13"/>
        <v>887.44960942002035</v>
      </c>
      <c r="I179" s="9">
        <f t="shared" si="14"/>
        <v>946.61291671468848</v>
      </c>
    </row>
    <row r="180" spans="1:9" x14ac:dyDescent="0.35">
      <c r="A180" s="18" t="s">
        <v>2055</v>
      </c>
      <c r="B180" s="18" t="s">
        <v>3</v>
      </c>
      <c r="C180" s="20">
        <v>45488</v>
      </c>
      <c r="D180" s="11">
        <v>459.12756764310024</v>
      </c>
      <c r="E180" s="27">
        <f t="shared" si="10"/>
        <v>511.10080830029926</v>
      </c>
      <c r="F180" s="6">
        <f t="shared" si="11"/>
        <v>664.43105079038901</v>
      </c>
      <c r="G180" s="7">
        <f t="shared" si="12"/>
        <v>715.54113162041892</v>
      </c>
      <c r="H180" s="8">
        <f t="shared" si="13"/>
        <v>766.65121245044884</v>
      </c>
      <c r="I180" s="9">
        <f t="shared" si="14"/>
        <v>817.76129328047887</v>
      </c>
    </row>
    <row r="181" spans="1:9" x14ac:dyDescent="0.35">
      <c r="A181" s="18" t="s">
        <v>2056</v>
      </c>
      <c r="B181" s="18" t="s">
        <v>4</v>
      </c>
      <c r="C181" s="20">
        <v>45488</v>
      </c>
      <c r="D181" s="11">
        <v>330.2368503202137</v>
      </c>
      <c r="E181" s="27">
        <f t="shared" si="10"/>
        <v>367.6196617764619</v>
      </c>
      <c r="F181" s="6">
        <f t="shared" si="11"/>
        <v>477.90556030940047</v>
      </c>
      <c r="G181" s="7">
        <f t="shared" si="12"/>
        <v>514.66752648704664</v>
      </c>
      <c r="H181" s="8">
        <f t="shared" si="13"/>
        <v>551.42949266469282</v>
      </c>
      <c r="I181" s="9">
        <f t="shared" si="14"/>
        <v>588.1914588423391</v>
      </c>
    </row>
    <row r="182" spans="1:9" x14ac:dyDescent="0.35">
      <c r="C182" s="20">
        <v>45488</v>
      </c>
      <c r="D182" s="11">
        <v>0</v>
      </c>
      <c r="E182" s="27">
        <f t="shared" si="10"/>
        <v>0</v>
      </c>
      <c r="F182" s="6">
        <f t="shared" si="11"/>
        <v>0</v>
      </c>
      <c r="G182" s="7">
        <f t="shared" si="12"/>
        <v>0</v>
      </c>
      <c r="H182" s="8">
        <f t="shared" si="13"/>
        <v>0</v>
      </c>
      <c r="I182" s="9">
        <f t="shared" si="14"/>
        <v>0</v>
      </c>
    </row>
    <row r="183" spans="1:9" x14ac:dyDescent="0.35">
      <c r="A183" s="18" t="s">
        <v>2057</v>
      </c>
      <c r="B183" s="18" t="s">
        <v>5</v>
      </c>
      <c r="C183" s="20">
        <v>45488</v>
      </c>
      <c r="D183" s="11">
        <v>1252.1869239530392</v>
      </c>
      <c r="E183" s="27">
        <f t="shared" si="10"/>
        <v>1393.9344837445233</v>
      </c>
      <c r="F183" s="6">
        <f t="shared" si="11"/>
        <v>1812.1148288678803</v>
      </c>
      <c r="G183" s="7">
        <f t="shared" si="12"/>
        <v>1951.5082772423325</v>
      </c>
      <c r="H183" s="8">
        <f t="shared" si="13"/>
        <v>2090.9017256167849</v>
      </c>
      <c r="I183" s="9">
        <f t="shared" si="14"/>
        <v>2230.2951739912373</v>
      </c>
    </row>
    <row r="184" spans="1:9" x14ac:dyDescent="0.35">
      <c r="A184" s="18" t="s">
        <v>2058</v>
      </c>
      <c r="B184" s="18" t="s">
        <v>6</v>
      </c>
      <c r="C184" s="20">
        <v>45488</v>
      </c>
      <c r="D184" s="11">
        <v>961.36</v>
      </c>
      <c r="E184" s="27">
        <f t="shared" si="10"/>
        <v>1070.185952</v>
      </c>
      <c r="F184" s="6">
        <f t="shared" si="11"/>
        <v>1391.2417376000001</v>
      </c>
      <c r="G184" s="7">
        <f t="shared" si="12"/>
        <v>1498.2603328</v>
      </c>
      <c r="H184" s="8">
        <f t="shared" si="13"/>
        <v>1605.2789280000002</v>
      </c>
      <c r="I184" s="9">
        <f t="shared" si="14"/>
        <v>1712.2975232000001</v>
      </c>
    </row>
    <row r="185" spans="1:9" x14ac:dyDescent="0.35">
      <c r="A185" s="18" t="s">
        <v>2059</v>
      </c>
      <c r="B185" s="18" t="s">
        <v>7</v>
      </c>
      <c r="C185" s="20">
        <v>45488</v>
      </c>
      <c r="D185" s="11">
        <v>1209.4987333637312</v>
      </c>
      <c r="E185" s="27">
        <f t="shared" si="10"/>
        <v>1346.4139899805054</v>
      </c>
      <c r="F185" s="6">
        <f t="shared" si="11"/>
        <v>1750.3381869746572</v>
      </c>
      <c r="G185" s="7">
        <f t="shared" si="12"/>
        <v>1884.9795859727076</v>
      </c>
      <c r="H185" s="8">
        <f t="shared" si="13"/>
        <v>2019.6209849707582</v>
      </c>
      <c r="I185" s="9">
        <f t="shared" si="14"/>
        <v>2154.262383968809</v>
      </c>
    </row>
    <row r="186" spans="1:9" x14ac:dyDescent="0.35">
      <c r="C186" s="20">
        <v>45488</v>
      </c>
      <c r="D186" s="11">
        <v>0</v>
      </c>
      <c r="E186" s="27">
        <f t="shared" si="10"/>
        <v>0</v>
      </c>
      <c r="F186" s="6">
        <f t="shared" si="11"/>
        <v>0</v>
      </c>
      <c r="G186" s="7">
        <f t="shared" si="12"/>
        <v>0</v>
      </c>
      <c r="H186" s="8">
        <f t="shared" si="13"/>
        <v>0</v>
      </c>
      <c r="I186" s="9">
        <f t="shared" si="14"/>
        <v>0</v>
      </c>
    </row>
    <row r="187" spans="1:9" x14ac:dyDescent="0.35">
      <c r="A187" s="18" t="s">
        <v>2060</v>
      </c>
      <c r="B187" s="18" t="s">
        <v>8</v>
      </c>
      <c r="C187" s="20">
        <v>45488</v>
      </c>
      <c r="D187" s="11">
        <v>1340.0534495826989</v>
      </c>
      <c r="E187" s="27">
        <f t="shared" si="10"/>
        <v>1491.7475000754605</v>
      </c>
      <c r="F187" s="6">
        <f t="shared" si="11"/>
        <v>1939.2717500980987</v>
      </c>
      <c r="G187" s="7">
        <f t="shared" si="12"/>
        <v>2088.4465001056446</v>
      </c>
      <c r="H187" s="8">
        <f t="shared" si="13"/>
        <v>2237.6212501131909</v>
      </c>
      <c r="I187" s="9">
        <f t="shared" si="14"/>
        <v>2386.7960001207371</v>
      </c>
    </row>
    <row r="188" spans="1:9" x14ac:dyDescent="0.35">
      <c r="A188" s="18" t="s">
        <v>2061</v>
      </c>
      <c r="B188" s="18" t="s">
        <v>9</v>
      </c>
      <c r="C188" s="20">
        <v>45488</v>
      </c>
      <c r="D188" s="11">
        <v>1073.5999999999999</v>
      </c>
      <c r="E188" s="27">
        <f t="shared" si="10"/>
        <v>1195.1315199999999</v>
      </c>
      <c r="F188" s="6">
        <f t="shared" si="11"/>
        <v>1553.6709759999999</v>
      </c>
      <c r="G188" s="7">
        <f t="shared" si="12"/>
        <v>1673.1841279999999</v>
      </c>
      <c r="H188" s="8">
        <f t="shared" si="13"/>
        <v>1792.6972799999999</v>
      </c>
      <c r="I188" s="9">
        <f t="shared" si="14"/>
        <v>1912.2104319999999</v>
      </c>
    </row>
    <row r="189" spans="1:9" x14ac:dyDescent="0.35">
      <c r="A189" s="18" t="s">
        <v>2062</v>
      </c>
      <c r="B189" s="18" t="s">
        <v>10</v>
      </c>
      <c r="C189" s="20">
        <v>45488</v>
      </c>
      <c r="D189" s="11">
        <v>1038.7459710064982</v>
      </c>
      <c r="E189" s="27">
        <f t="shared" si="10"/>
        <v>1156.3320149244339</v>
      </c>
      <c r="F189" s="6">
        <f t="shared" si="11"/>
        <v>1503.2316194017642</v>
      </c>
      <c r="G189" s="7">
        <f t="shared" si="12"/>
        <v>1618.8648208942075</v>
      </c>
      <c r="H189" s="8">
        <f t="shared" si="13"/>
        <v>1734.498022386651</v>
      </c>
      <c r="I189" s="9">
        <f t="shared" si="14"/>
        <v>1850.1312238790943</v>
      </c>
    </row>
    <row r="190" spans="1:9" x14ac:dyDescent="0.35">
      <c r="C190" s="20">
        <v>45488</v>
      </c>
      <c r="D190" s="11">
        <v>0</v>
      </c>
      <c r="E190" s="27">
        <f t="shared" si="10"/>
        <v>0</v>
      </c>
      <c r="F190" s="6">
        <f t="shared" si="11"/>
        <v>0</v>
      </c>
      <c r="G190" s="7">
        <f t="shared" si="12"/>
        <v>0</v>
      </c>
      <c r="H190" s="8">
        <f t="shared" si="13"/>
        <v>0</v>
      </c>
      <c r="I190" s="9">
        <f t="shared" si="14"/>
        <v>0</v>
      </c>
    </row>
    <row r="191" spans="1:9" x14ac:dyDescent="0.35">
      <c r="A191" s="18" t="s">
        <v>2063</v>
      </c>
      <c r="B191" s="18" t="s">
        <v>223</v>
      </c>
      <c r="C191" s="20">
        <v>45488</v>
      </c>
      <c r="D191" s="11">
        <v>1628.341367086972</v>
      </c>
      <c r="E191" s="27">
        <f t="shared" si="10"/>
        <v>1812.6696098412172</v>
      </c>
      <c r="F191" s="6">
        <f t="shared" si="11"/>
        <v>2356.4704927935823</v>
      </c>
      <c r="G191" s="7">
        <f t="shared" si="12"/>
        <v>2537.7374537777036</v>
      </c>
      <c r="H191" s="8">
        <f t="shared" si="13"/>
        <v>2719.0044147618255</v>
      </c>
      <c r="I191" s="9">
        <f t="shared" si="14"/>
        <v>2900.2713757459478</v>
      </c>
    </row>
    <row r="192" spans="1:9" x14ac:dyDescent="0.35">
      <c r="A192" s="18" t="s">
        <v>2064</v>
      </c>
      <c r="B192" s="18" t="s">
        <v>2245</v>
      </c>
      <c r="C192" s="20">
        <v>45488</v>
      </c>
      <c r="D192" s="11">
        <v>955.13</v>
      </c>
      <c r="E192" s="27">
        <f t="shared" si="10"/>
        <v>1063.250716</v>
      </c>
      <c r="F192" s="6">
        <f t="shared" si="11"/>
        <v>1382.2259308</v>
      </c>
      <c r="G192" s="7">
        <f t="shared" si="12"/>
        <v>1488.5510024</v>
      </c>
      <c r="H192" s="8">
        <f t="shared" si="13"/>
        <v>1594.876074</v>
      </c>
      <c r="I192" s="9">
        <f t="shared" si="14"/>
        <v>1701.2011456</v>
      </c>
    </row>
    <row r="193" spans="1:9" x14ac:dyDescent="0.35">
      <c r="A193" s="18" t="s">
        <v>120</v>
      </c>
      <c r="B193" s="18" t="s">
        <v>2246</v>
      </c>
      <c r="C193" s="20">
        <v>45488</v>
      </c>
      <c r="D193" s="11">
        <v>1090</v>
      </c>
      <c r="E193" s="27">
        <f t="shared" si="10"/>
        <v>1213.3879999999999</v>
      </c>
      <c r="F193" s="6">
        <f t="shared" si="11"/>
        <v>1577.4043999999999</v>
      </c>
      <c r="G193" s="7">
        <f t="shared" si="12"/>
        <v>1698.7431999999999</v>
      </c>
      <c r="H193" s="8">
        <f t="shared" si="13"/>
        <v>1820.0819999999999</v>
      </c>
      <c r="I193" s="9">
        <f t="shared" si="14"/>
        <v>1941.4207999999999</v>
      </c>
    </row>
    <row r="194" spans="1:9" x14ac:dyDescent="0.35">
      <c r="C194" s="20">
        <v>45488</v>
      </c>
      <c r="D194" s="11">
        <v>0</v>
      </c>
      <c r="E194" s="27">
        <f t="shared" si="10"/>
        <v>0</v>
      </c>
      <c r="F194" s="6">
        <f t="shared" si="11"/>
        <v>0</v>
      </c>
      <c r="G194" s="7">
        <f t="shared" si="12"/>
        <v>0</v>
      </c>
      <c r="H194" s="8">
        <f t="shared" si="13"/>
        <v>0</v>
      </c>
      <c r="I194" s="9">
        <f t="shared" si="14"/>
        <v>0</v>
      </c>
    </row>
    <row r="195" spans="1:9" x14ac:dyDescent="0.35">
      <c r="A195" s="18" t="s">
        <v>2838</v>
      </c>
      <c r="B195" s="18" t="s">
        <v>2247</v>
      </c>
      <c r="C195" s="20">
        <v>45488</v>
      </c>
      <c r="D195" s="11">
        <v>694.8380404185956</v>
      </c>
      <c r="E195" s="27">
        <f t="shared" si="10"/>
        <v>773.49370659398062</v>
      </c>
      <c r="F195" s="6">
        <f t="shared" si="11"/>
        <v>1005.5418185721749</v>
      </c>
      <c r="G195" s="7">
        <f t="shared" si="12"/>
        <v>1082.8911892315728</v>
      </c>
      <c r="H195" s="8">
        <f t="shared" si="13"/>
        <v>1160.2405598909709</v>
      </c>
      <c r="I195" s="9">
        <f t="shared" si="14"/>
        <v>1237.589930550369</v>
      </c>
    </row>
    <row r="196" spans="1:9" x14ac:dyDescent="0.35">
      <c r="A196" s="18" t="s">
        <v>2839</v>
      </c>
      <c r="B196" s="18" t="s">
        <v>2691</v>
      </c>
      <c r="C196" s="20">
        <v>45488</v>
      </c>
      <c r="D196" s="11">
        <v>525.74450000000002</v>
      </c>
      <c r="E196" s="27">
        <f t="shared" si="10"/>
        <v>585.25877739999999</v>
      </c>
      <c r="F196" s="6">
        <f t="shared" si="11"/>
        <v>760.83641062000004</v>
      </c>
      <c r="G196" s="7">
        <f t="shared" si="12"/>
        <v>819.36228835999998</v>
      </c>
      <c r="H196" s="8">
        <f t="shared" si="13"/>
        <v>877.88816610000003</v>
      </c>
      <c r="I196" s="9">
        <f t="shared" si="14"/>
        <v>936.41404383999998</v>
      </c>
    </row>
    <row r="197" spans="1:9" x14ac:dyDescent="0.35">
      <c r="A197" s="18" t="s">
        <v>2840</v>
      </c>
      <c r="B197" s="18" t="s">
        <v>2692</v>
      </c>
      <c r="C197" s="20">
        <v>45488</v>
      </c>
      <c r="D197" s="11">
        <v>411.85390233195443</v>
      </c>
      <c r="E197" s="27">
        <f t="shared" si="10"/>
        <v>458.47576407593164</v>
      </c>
      <c r="F197" s="6">
        <f t="shared" si="11"/>
        <v>596.01849329871118</v>
      </c>
      <c r="G197" s="7">
        <f t="shared" si="12"/>
        <v>641.8660697063043</v>
      </c>
      <c r="H197" s="8">
        <f t="shared" si="13"/>
        <v>687.71364611389743</v>
      </c>
      <c r="I197" s="9">
        <f t="shared" si="14"/>
        <v>733.56122252149066</v>
      </c>
    </row>
    <row r="198" spans="1:9" x14ac:dyDescent="0.35">
      <c r="C198" s="20">
        <v>45488</v>
      </c>
      <c r="D198" s="11">
        <v>0</v>
      </c>
      <c r="E198" s="27">
        <f t="shared" si="10"/>
        <v>0</v>
      </c>
      <c r="F198" s="6">
        <f t="shared" si="11"/>
        <v>0</v>
      </c>
      <c r="G198" s="7">
        <f t="shared" si="12"/>
        <v>0</v>
      </c>
      <c r="H198" s="8">
        <f t="shared" si="13"/>
        <v>0</v>
      </c>
      <c r="I198" s="9">
        <f t="shared" si="14"/>
        <v>0</v>
      </c>
    </row>
    <row r="199" spans="1:9" x14ac:dyDescent="0.35">
      <c r="A199" s="18" t="s">
        <v>2841</v>
      </c>
      <c r="B199" s="18" t="s">
        <v>2248</v>
      </c>
      <c r="C199" s="20">
        <v>45488</v>
      </c>
      <c r="D199" s="11">
        <v>673.03000000000009</v>
      </c>
      <c r="E199" s="27">
        <f t="shared" si="10"/>
        <v>749.21699600000011</v>
      </c>
      <c r="F199" s="6">
        <f t="shared" si="11"/>
        <v>973.98209480000014</v>
      </c>
      <c r="G199" s="7">
        <f t="shared" si="12"/>
        <v>1048.9037944000002</v>
      </c>
      <c r="H199" s="8">
        <f t="shared" si="13"/>
        <v>1123.8254940000002</v>
      </c>
      <c r="I199" s="9">
        <f t="shared" si="14"/>
        <v>1198.7471936000002</v>
      </c>
    </row>
    <row r="200" spans="1:9" x14ac:dyDescent="0.35">
      <c r="A200" s="18" t="s">
        <v>2842</v>
      </c>
      <c r="B200" s="18" t="s">
        <v>2249</v>
      </c>
      <c r="C200" s="20">
        <v>45488</v>
      </c>
      <c r="D200" s="11">
        <v>488</v>
      </c>
      <c r="E200" s="27">
        <f t="shared" si="10"/>
        <v>543.24160000000006</v>
      </c>
      <c r="F200" s="6">
        <f t="shared" si="11"/>
        <v>706.21408000000008</v>
      </c>
      <c r="G200" s="7">
        <f t="shared" si="12"/>
        <v>760.53824000000009</v>
      </c>
      <c r="H200" s="8">
        <f t="shared" si="13"/>
        <v>814.86240000000009</v>
      </c>
      <c r="I200" s="9">
        <f t="shared" si="14"/>
        <v>869.1865600000001</v>
      </c>
    </row>
    <row r="201" spans="1:9" x14ac:dyDescent="0.35">
      <c r="A201" s="18" t="s">
        <v>2843</v>
      </c>
      <c r="B201" s="18" t="s">
        <v>2250</v>
      </c>
      <c r="C201" s="20">
        <v>45488</v>
      </c>
      <c r="D201" s="11">
        <v>446.6</v>
      </c>
      <c r="E201" s="27">
        <f t="shared" si="10"/>
        <v>497.15512000000001</v>
      </c>
      <c r="F201" s="6">
        <f t="shared" si="11"/>
        <v>646.30165599999998</v>
      </c>
      <c r="G201" s="7">
        <f t="shared" si="12"/>
        <v>696.01716799999997</v>
      </c>
      <c r="H201" s="8">
        <f t="shared" si="13"/>
        <v>745.73268000000007</v>
      </c>
      <c r="I201" s="9">
        <f t="shared" si="14"/>
        <v>795.44819200000006</v>
      </c>
    </row>
    <row r="202" spans="1:9" x14ac:dyDescent="0.35">
      <c r="C202" s="20">
        <v>45488</v>
      </c>
      <c r="D202" s="11">
        <v>0</v>
      </c>
      <c r="E202" s="27">
        <f t="shared" si="10"/>
        <v>0</v>
      </c>
      <c r="F202" s="6">
        <f t="shared" si="11"/>
        <v>0</v>
      </c>
      <c r="G202" s="7">
        <f t="shared" si="12"/>
        <v>0</v>
      </c>
      <c r="H202" s="8">
        <f t="shared" si="13"/>
        <v>0</v>
      </c>
      <c r="I202" s="9">
        <f t="shared" si="14"/>
        <v>0</v>
      </c>
    </row>
    <row r="203" spans="1:9" x14ac:dyDescent="0.35">
      <c r="A203" s="18" t="s">
        <v>2844</v>
      </c>
      <c r="B203" s="18" t="s">
        <v>2251</v>
      </c>
      <c r="C203" s="20">
        <v>45488</v>
      </c>
      <c r="D203" s="11">
        <v>1816.7698630144878</v>
      </c>
      <c r="E203" s="27">
        <f t="shared" si="10"/>
        <v>2022.4282115077281</v>
      </c>
      <c r="F203" s="6">
        <f t="shared" si="11"/>
        <v>2629.1566749600465</v>
      </c>
      <c r="G203" s="7">
        <f t="shared" si="12"/>
        <v>2831.3994961108192</v>
      </c>
      <c r="H203" s="8">
        <f t="shared" si="13"/>
        <v>3033.6423172615923</v>
      </c>
      <c r="I203" s="9">
        <f t="shared" si="14"/>
        <v>3235.885138412365</v>
      </c>
    </row>
    <row r="204" spans="1:9" x14ac:dyDescent="0.35">
      <c r="A204" s="18" t="s">
        <v>2845</v>
      </c>
      <c r="B204" s="18" t="s">
        <v>2252</v>
      </c>
      <c r="C204" s="20">
        <v>45488</v>
      </c>
      <c r="D204" s="11">
        <v>1335.5713587565967</v>
      </c>
      <c r="E204" s="27">
        <f t="shared" ref="E204:E267" si="15">D204*1.21*0.92</f>
        <v>1486.7580365678434</v>
      </c>
      <c r="F204" s="6">
        <f t="shared" ref="F204:F267" si="16">E204*1.3</f>
        <v>1932.7854475381964</v>
      </c>
      <c r="G204" s="7">
        <f t="shared" ref="G204:G267" si="17">E204*1.4</f>
        <v>2081.4612511949808</v>
      </c>
      <c r="H204" s="8">
        <f t="shared" ref="H204:H267" si="18">E204*1.5</f>
        <v>2230.1370548517652</v>
      </c>
      <c r="I204" s="9">
        <f t="shared" ref="I204:I267" si="19">E204*1.6</f>
        <v>2378.8128585085497</v>
      </c>
    </row>
    <row r="205" spans="1:9" x14ac:dyDescent="0.35">
      <c r="A205" s="18" t="s">
        <v>2846</v>
      </c>
      <c r="B205" s="18" t="s">
        <v>2253</v>
      </c>
      <c r="C205" s="20">
        <v>45488</v>
      </c>
      <c r="D205" s="11">
        <v>1876.6127892455399</v>
      </c>
      <c r="E205" s="27">
        <f t="shared" si="15"/>
        <v>2089.0453569881352</v>
      </c>
      <c r="F205" s="6">
        <f t="shared" si="16"/>
        <v>2715.7589640845758</v>
      </c>
      <c r="G205" s="7">
        <f t="shared" si="17"/>
        <v>2924.6634997833889</v>
      </c>
      <c r="H205" s="8">
        <f t="shared" si="18"/>
        <v>3133.5680354822025</v>
      </c>
      <c r="I205" s="9">
        <f t="shared" si="19"/>
        <v>3342.4725711810165</v>
      </c>
    </row>
    <row r="206" spans="1:9" x14ac:dyDescent="0.35">
      <c r="C206" s="20">
        <v>45488</v>
      </c>
      <c r="D206" s="11">
        <v>0</v>
      </c>
      <c r="E206" s="27">
        <f t="shared" si="15"/>
        <v>0</v>
      </c>
      <c r="F206" s="6">
        <f t="shared" si="16"/>
        <v>0</v>
      </c>
      <c r="G206" s="7">
        <f t="shared" si="17"/>
        <v>0</v>
      </c>
      <c r="H206" s="8">
        <f t="shared" si="18"/>
        <v>0</v>
      </c>
      <c r="I206" s="9">
        <f t="shared" si="19"/>
        <v>0</v>
      </c>
    </row>
    <row r="207" spans="1:9" x14ac:dyDescent="0.35">
      <c r="A207" s="18" t="s">
        <v>2847</v>
      </c>
      <c r="B207" s="18" t="s">
        <v>2254</v>
      </c>
      <c r="C207" s="20">
        <v>45488</v>
      </c>
      <c r="D207" s="11">
        <v>2021.2757160250887</v>
      </c>
      <c r="E207" s="27">
        <f t="shared" si="15"/>
        <v>2250.0841270791288</v>
      </c>
      <c r="F207" s="6">
        <f t="shared" si="16"/>
        <v>2925.1093652028676</v>
      </c>
      <c r="G207" s="7">
        <f t="shared" si="17"/>
        <v>3150.1177779107802</v>
      </c>
      <c r="H207" s="8">
        <f t="shared" si="18"/>
        <v>3375.1261906186933</v>
      </c>
      <c r="I207" s="9">
        <f t="shared" si="19"/>
        <v>3600.1346033266063</v>
      </c>
    </row>
    <row r="208" spans="1:9" x14ac:dyDescent="0.35">
      <c r="A208" s="18" t="s">
        <v>2848</v>
      </c>
      <c r="B208" s="18" t="s">
        <v>2255</v>
      </c>
      <c r="C208" s="20">
        <v>45488</v>
      </c>
      <c r="D208" s="11">
        <v>1571.2558396270501</v>
      </c>
      <c r="E208" s="27">
        <f t="shared" si="15"/>
        <v>1749.1220006728322</v>
      </c>
      <c r="F208" s="6">
        <f t="shared" si="16"/>
        <v>2273.858600874682</v>
      </c>
      <c r="G208" s="7">
        <f t="shared" si="17"/>
        <v>2448.7708009419648</v>
      </c>
      <c r="H208" s="8">
        <f t="shared" si="18"/>
        <v>2623.6830010092481</v>
      </c>
      <c r="I208" s="9">
        <f t="shared" si="19"/>
        <v>2798.5952010765318</v>
      </c>
    </row>
    <row r="209" spans="1:9" x14ac:dyDescent="0.35">
      <c r="A209" s="18" t="s">
        <v>2849</v>
      </c>
      <c r="B209" s="18" t="s">
        <v>2256</v>
      </c>
      <c r="C209" s="20">
        <v>45488</v>
      </c>
      <c r="D209" s="11">
        <v>1357.6870847262865</v>
      </c>
      <c r="E209" s="27">
        <f t="shared" si="15"/>
        <v>1511.3772627173021</v>
      </c>
      <c r="F209" s="6">
        <f t="shared" si="16"/>
        <v>1964.7904415324927</v>
      </c>
      <c r="G209" s="7">
        <f t="shared" si="17"/>
        <v>2115.928167804223</v>
      </c>
      <c r="H209" s="8">
        <f t="shared" si="18"/>
        <v>2267.0658940759531</v>
      </c>
      <c r="I209" s="9">
        <f t="shared" si="19"/>
        <v>2418.2036203476832</v>
      </c>
    </row>
    <row r="210" spans="1:9" x14ac:dyDescent="0.35">
      <c r="C210" s="20">
        <v>45488</v>
      </c>
      <c r="D210" s="11">
        <v>0</v>
      </c>
      <c r="E210" s="27">
        <f t="shared" si="15"/>
        <v>0</v>
      </c>
      <c r="F210" s="6">
        <f t="shared" si="16"/>
        <v>0</v>
      </c>
      <c r="G210" s="7">
        <f t="shared" si="17"/>
        <v>0</v>
      </c>
      <c r="H210" s="8">
        <f t="shared" si="18"/>
        <v>0</v>
      </c>
      <c r="I210" s="9">
        <f t="shared" si="19"/>
        <v>0</v>
      </c>
    </row>
    <row r="211" spans="1:9" x14ac:dyDescent="0.35">
      <c r="A211" s="18" t="s">
        <v>2850</v>
      </c>
      <c r="B211" s="18" t="s">
        <v>2257</v>
      </c>
      <c r="C211" s="20">
        <v>45488</v>
      </c>
      <c r="D211" s="11">
        <v>1058.4975000000002</v>
      </c>
      <c r="E211" s="27">
        <f t="shared" si="15"/>
        <v>1178.3194170000002</v>
      </c>
      <c r="F211" s="6">
        <f t="shared" si="16"/>
        <v>1531.8152421000002</v>
      </c>
      <c r="G211" s="7">
        <f t="shared" si="17"/>
        <v>1649.6471838000002</v>
      </c>
      <c r="H211" s="8">
        <f t="shared" si="18"/>
        <v>1767.4791255000002</v>
      </c>
      <c r="I211" s="9">
        <f t="shared" si="19"/>
        <v>1885.3110672000003</v>
      </c>
    </row>
    <row r="212" spans="1:9" x14ac:dyDescent="0.35">
      <c r="A212" s="18" t="s">
        <v>2851</v>
      </c>
      <c r="B212" s="18" t="s">
        <v>2258</v>
      </c>
      <c r="C212" s="20">
        <v>45488</v>
      </c>
      <c r="D212" s="11">
        <v>836.95875630415412</v>
      </c>
      <c r="E212" s="27">
        <f t="shared" si="15"/>
        <v>931.70248751778433</v>
      </c>
      <c r="F212" s="6">
        <f t="shared" si="16"/>
        <v>1211.2132337731198</v>
      </c>
      <c r="G212" s="7">
        <f t="shared" si="17"/>
        <v>1304.383482524898</v>
      </c>
      <c r="H212" s="8">
        <f t="shared" si="18"/>
        <v>1397.5537312766764</v>
      </c>
      <c r="I212" s="9">
        <f t="shared" si="19"/>
        <v>1490.7239800284551</v>
      </c>
    </row>
    <row r="213" spans="1:9" x14ac:dyDescent="0.35">
      <c r="A213" s="18" t="s">
        <v>2852</v>
      </c>
      <c r="B213" s="18" t="s">
        <v>2259</v>
      </c>
      <c r="C213" s="20">
        <v>45488</v>
      </c>
      <c r="D213" s="11">
        <v>652.70000000000005</v>
      </c>
      <c r="E213" s="27">
        <f t="shared" si="15"/>
        <v>726.58564000000013</v>
      </c>
      <c r="F213" s="6">
        <f t="shared" si="16"/>
        <v>944.56133200000022</v>
      </c>
      <c r="G213" s="7">
        <f t="shared" si="17"/>
        <v>1017.2198960000001</v>
      </c>
      <c r="H213" s="8">
        <f t="shared" si="18"/>
        <v>1089.8784600000001</v>
      </c>
      <c r="I213" s="9">
        <f t="shared" si="19"/>
        <v>1162.5370240000002</v>
      </c>
    </row>
    <row r="214" spans="1:9" x14ac:dyDescent="0.35">
      <c r="A214" s="18" t="s">
        <v>2853</v>
      </c>
      <c r="B214" s="18" t="s">
        <v>2260</v>
      </c>
      <c r="C214" s="20">
        <v>45488</v>
      </c>
      <c r="D214" s="11">
        <v>533</v>
      </c>
      <c r="E214" s="27">
        <f t="shared" si="15"/>
        <v>593.3356</v>
      </c>
      <c r="F214" s="6">
        <f t="shared" si="16"/>
        <v>771.33627999999999</v>
      </c>
      <c r="G214" s="7">
        <f t="shared" si="17"/>
        <v>830.66983999999991</v>
      </c>
      <c r="H214" s="8">
        <f t="shared" si="18"/>
        <v>890.00340000000006</v>
      </c>
      <c r="I214" s="9">
        <f t="shared" si="19"/>
        <v>949.33696000000009</v>
      </c>
    </row>
    <row r="215" spans="1:9" x14ac:dyDescent="0.35">
      <c r="C215" s="20">
        <v>45488</v>
      </c>
      <c r="D215" s="11">
        <v>0</v>
      </c>
      <c r="E215" s="27">
        <f t="shared" si="15"/>
        <v>0</v>
      </c>
      <c r="F215" s="6">
        <f t="shared" si="16"/>
        <v>0</v>
      </c>
      <c r="G215" s="7">
        <f t="shared" si="17"/>
        <v>0</v>
      </c>
      <c r="H215" s="8">
        <f t="shared" si="18"/>
        <v>0</v>
      </c>
      <c r="I215" s="9">
        <f t="shared" si="19"/>
        <v>0</v>
      </c>
    </row>
    <row r="216" spans="1:9" x14ac:dyDescent="0.35">
      <c r="A216" s="18" t="s">
        <v>2854</v>
      </c>
      <c r="B216" s="18" t="s">
        <v>2261</v>
      </c>
      <c r="C216" s="20">
        <v>45488</v>
      </c>
      <c r="D216" s="11">
        <v>921.59100000000012</v>
      </c>
      <c r="E216" s="27">
        <f t="shared" si="15"/>
        <v>1025.9151012000002</v>
      </c>
      <c r="F216" s="6">
        <f t="shared" si="16"/>
        <v>1333.6896315600004</v>
      </c>
      <c r="G216" s="7">
        <f t="shared" si="17"/>
        <v>1436.2811416800002</v>
      </c>
      <c r="H216" s="8">
        <f t="shared" si="18"/>
        <v>1538.8726518000003</v>
      </c>
      <c r="I216" s="9">
        <f t="shared" si="19"/>
        <v>1641.4641619200004</v>
      </c>
    </row>
    <row r="217" spans="1:9" x14ac:dyDescent="0.35">
      <c r="A217" s="18" t="s">
        <v>2855</v>
      </c>
      <c r="B217" s="18" t="s">
        <v>2262</v>
      </c>
      <c r="C217" s="20">
        <v>45488</v>
      </c>
      <c r="D217" s="11">
        <v>752</v>
      </c>
      <c r="E217" s="27">
        <f t="shared" si="15"/>
        <v>837.12639999999999</v>
      </c>
      <c r="F217" s="6">
        <f t="shared" si="16"/>
        <v>1088.26432</v>
      </c>
      <c r="G217" s="7">
        <f t="shared" si="17"/>
        <v>1171.97696</v>
      </c>
      <c r="H217" s="8">
        <f t="shared" si="18"/>
        <v>1255.6895999999999</v>
      </c>
      <c r="I217" s="9">
        <f t="shared" si="19"/>
        <v>1339.4022400000001</v>
      </c>
    </row>
    <row r="218" spans="1:9" x14ac:dyDescent="0.35">
      <c r="A218" s="18" t="s">
        <v>2856</v>
      </c>
      <c r="B218" s="18" t="s">
        <v>2263</v>
      </c>
      <c r="C218" s="20">
        <v>45488</v>
      </c>
      <c r="D218" s="11">
        <v>558.68877185899908</v>
      </c>
      <c r="E218" s="27">
        <f t="shared" si="15"/>
        <v>621.93234083343782</v>
      </c>
      <c r="F218" s="6">
        <f t="shared" si="16"/>
        <v>808.51204308346917</v>
      </c>
      <c r="G218" s="7">
        <f t="shared" si="17"/>
        <v>870.70527716681295</v>
      </c>
      <c r="H218" s="8">
        <f t="shared" si="18"/>
        <v>932.89851125015673</v>
      </c>
      <c r="I218" s="9">
        <f t="shared" si="19"/>
        <v>995.09174533350051</v>
      </c>
    </row>
    <row r="219" spans="1:9" x14ac:dyDescent="0.35">
      <c r="A219" s="18" t="s">
        <v>2857</v>
      </c>
      <c r="B219" s="18" t="s">
        <v>2264</v>
      </c>
      <c r="C219" s="20">
        <v>45488</v>
      </c>
      <c r="D219" s="11">
        <v>503.97</v>
      </c>
      <c r="E219" s="27">
        <f t="shared" si="15"/>
        <v>561.01940400000012</v>
      </c>
      <c r="F219" s="6">
        <f t="shared" si="16"/>
        <v>729.3252252000002</v>
      </c>
      <c r="G219" s="7">
        <f t="shared" si="17"/>
        <v>785.42716560000008</v>
      </c>
      <c r="H219" s="8">
        <f t="shared" si="18"/>
        <v>841.52910600000018</v>
      </c>
      <c r="I219" s="9">
        <f t="shared" si="19"/>
        <v>897.63104640000029</v>
      </c>
    </row>
    <row r="220" spans="1:9" x14ac:dyDescent="0.35">
      <c r="C220" s="20">
        <v>45488</v>
      </c>
      <c r="D220" s="11">
        <v>0</v>
      </c>
      <c r="E220" s="27">
        <f t="shared" si="15"/>
        <v>0</v>
      </c>
      <c r="F220" s="6">
        <f t="shared" si="16"/>
        <v>0</v>
      </c>
      <c r="G220" s="7">
        <f t="shared" si="17"/>
        <v>0</v>
      </c>
      <c r="H220" s="8">
        <f t="shared" si="18"/>
        <v>0</v>
      </c>
      <c r="I220" s="9">
        <f t="shared" si="19"/>
        <v>0</v>
      </c>
    </row>
    <row r="221" spans="1:9" x14ac:dyDescent="0.35">
      <c r="A221" s="18" t="s">
        <v>2858</v>
      </c>
      <c r="B221" s="18" t="s">
        <v>2265</v>
      </c>
      <c r="C221" s="20">
        <v>45488</v>
      </c>
      <c r="D221" s="11">
        <v>1342.4321736619463</v>
      </c>
      <c r="E221" s="27">
        <f t="shared" si="15"/>
        <v>1494.3954957204787</v>
      </c>
      <c r="F221" s="6">
        <f t="shared" si="16"/>
        <v>1942.7141444366223</v>
      </c>
      <c r="G221" s="7">
        <f t="shared" si="17"/>
        <v>2092.1536940086703</v>
      </c>
      <c r="H221" s="8">
        <f t="shared" si="18"/>
        <v>2241.5932435807181</v>
      </c>
      <c r="I221" s="9">
        <f t="shared" si="19"/>
        <v>2391.0327931527659</v>
      </c>
    </row>
    <row r="222" spans="1:9" x14ac:dyDescent="0.35">
      <c r="A222" s="18" t="s">
        <v>2859</v>
      </c>
      <c r="B222" s="18" t="s">
        <v>2266</v>
      </c>
      <c r="C222" s="20">
        <v>45488</v>
      </c>
      <c r="D222" s="11">
        <v>1342.4321736619463</v>
      </c>
      <c r="E222" s="27">
        <f t="shared" si="15"/>
        <v>1494.3954957204787</v>
      </c>
      <c r="F222" s="6">
        <f t="shared" si="16"/>
        <v>1942.7141444366223</v>
      </c>
      <c r="G222" s="7">
        <f t="shared" si="17"/>
        <v>2092.1536940086703</v>
      </c>
      <c r="H222" s="8">
        <f t="shared" si="18"/>
        <v>2241.5932435807181</v>
      </c>
      <c r="I222" s="9">
        <f t="shared" si="19"/>
        <v>2391.0327931527659</v>
      </c>
    </row>
    <row r="223" spans="1:9" x14ac:dyDescent="0.35">
      <c r="C223" s="20">
        <v>45488</v>
      </c>
      <c r="D223" s="11">
        <v>0</v>
      </c>
      <c r="E223" s="27">
        <f t="shared" si="15"/>
        <v>0</v>
      </c>
      <c r="F223" s="6">
        <f t="shared" si="16"/>
        <v>0</v>
      </c>
      <c r="G223" s="7">
        <f t="shared" si="17"/>
        <v>0</v>
      </c>
      <c r="H223" s="8">
        <f t="shared" si="18"/>
        <v>0</v>
      </c>
      <c r="I223" s="9">
        <f t="shared" si="19"/>
        <v>0</v>
      </c>
    </row>
    <row r="224" spans="1:9" x14ac:dyDescent="0.35">
      <c r="A224" s="18" t="s">
        <v>2860</v>
      </c>
      <c r="B224" s="18" t="s">
        <v>2267</v>
      </c>
      <c r="C224" s="20">
        <v>45488</v>
      </c>
      <c r="D224" s="11">
        <v>721.28152982309211</v>
      </c>
      <c r="E224" s="27">
        <f t="shared" si="15"/>
        <v>802.93059899906609</v>
      </c>
      <c r="F224" s="6">
        <f t="shared" si="16"/>
        <v>1043.809778698786</v>
      </c>
      <c r="G224" s="7">
        <f t="shared" si="17"/>
        <v>1124.1028385986924</v>
      </c>
      <c r="H224" s="8">
        <f t="shared" si="18"/>
        <v>1204.3958984985991</v>
      </c>
      <c r="I224" s="9">
        <f t="shared" si="19"/>
        <v>1284.6889583985057</v>
      </c>
    </row>
    <row r="225" spans="1:9" x14ac:dyDescent="0.35">
      <c r="A225" s="18" t="s">
        <v>2861</v>
      </c>
      <c r="B225" s="18" t="s">
        <v>2268</v>
      </c>
      <c r="C225" s="20">
        <v>45488</v>
      </c>
      <c r="D225" s="11">
        <v>346.68</v>
      </c>
      <c r="E225" s="27">
        <f t="shared" si="15"/>
        <v>385.92417599999999</v>
      </c>
      <c r="F225" s="6">
        <f t="shared" si="16"/>
        <v>501.70142880000003</v>
      </c>
      <c r="G225" s="7">
        <f t="shared" si="17"/>
        <v>540.29384639999989</v>
      </c>
      <c r="H225" s="8">
        <f t="shared" si="18"/>
        <v>578.88626399999998</v>
      </c>
      <c r="I225" s="9">
        <f t="shared" si="19"/>
        <v>617.47868160000007</v>
      </c>
    </row>
    <row r="226" spans="1:9" x14ac:dyDescent="0.35">
      <c r="A226" s="18" t="s">
        <v>2862</v>
      </c>
      <c r="B226" s="18" t="s">
        <v>665</v>
      </c>
      <c r="C226" s="20">
        <v>45488</v>
      </c>
      <c r="D226" s="11">
        <v>274.66368706046734</v>
      </c>
      <c r="E226" s="27">
        <f t="shared" si="15"/>
        <v>305.75561643571223</v>
      </c>
      <c r="F226" s="6">
        <f t="shared" si="16"/>
        <v>397.48230136642593</v>
      </c>
      <c r="G226" s="7">
        <f t="shared" si="17"/>
        <v>428.05786300999711</v>
      </c>
      <c r="H226" s="8">
        <f t="shared" si="18"/>
        <v>458.63342465356834</v>
      </c>
      <c r="I226" s="9">
        <f t="shared" si="19"/>
        <v>489.20898629713957</v>
      </c>
    </row>
    <row r="227" spans="1:9" x14ac:dyDescent="0.35">
      <c r="A227" s="18" t="s">
        <v>2863</v>
      </c>
      <c r="B227" s="18" t="s">
        <v>666</v>
      </c>
      <c r="C227" s="20">
        <v>45488</v>
      </c>
      <c r="D227" s="11">
        <v>248.3</v>
      </c>
      <c r="E227" s="27">
        <f t="shared" si="15"/>
        <v>276.40755999999999</v>
      </c>
      <c r="F227" s="6">
        <f t="shared" si="16"/>
        <v>359.32982800000002</v>
      </c>
      <c r="G227" s="7">
        <f t="shared" si="17"/>
        <v>386.97058399999997</v>
      </c>
      <c r="H227" s="8">
        <f t="shared" si="18"/>
        <v>414.61133999999998</v>
      </c>
      <c r="I227" s="9">
        <f t="shared" si="19"/>
        <v>442.25209599999999</v>
      </c>
    </row>
    <row r="228" spans="1:9" x14ac:dyDescent="0.35">
      <c r="C228" s="20">
        <v>45488</v>
      </c>
      <c r="D228" s="11">
        <v>0</v>
      </c>
      <c r="E228" s="27">
        <f t="shared" si="15"/>
        <v>0</v>
      </c>
      <c r="F228" s="6">
        <f t="shared" si="16"/>
        <v>0</v>
      </c>
      <c r="G228" s="7">
        <f t="shared" si="17"/>
        <v>0</v>
      </c>
      <c r="H228" s="8">
        <f t="shared" si="18"/>
        <v>0</v>
      </c>
      <c r="I228" s="9">
        <f t="shared" si="19"/>
        <v>0</v>
      </c>
    </row>
    <row r="229" spans="1:9" x14ac:dyDescent="0.35">
      <c r="C229" s="20">
        <v>45488</v>
      </c>
      <c r="D229" s="11">
        <v>0</v>
      </c>
      <c r="E229" s="27">
        <f t="shared" si="15"/>
        <v>0</v>
      </c>
      <c r="F229" s="6">
        <f t="shared" si="16"/>
        <v>0</v>
      </c>
      <c r="G229" s="7">
        <f t="shared" si="17"/>
        <v>0</v>
      </c>
      <c r="H229" s="8">
        <f t="shared" si="18"/>
        <v>0</v>
      </c>
      <c r="I229" s="9">
        <f t="shared" si="19"/>
        <v>0</v>
      </c>
    </row>
    <row r="230" spans="1:9" x14ac:dyDescent="0.35">
      <c r="A230" s="18" t="s">
        <v>2864</v>
      </c>
      <c r="B230" s="18" t="s">
        <v>667</v>
      </c>
      <c r="C230" s="20">
        <v>45488</v>
      </c>
      <c r="D230" s="11">
        <v>493.43049999999999</v>
      </c>
      <c r="E230" s="27">
        <f t="shared" si="15"/>
        <v>549.28683260000003</v>
      </c>
      <c r="F230" s="6">
        <f t="shared" si="16"/>
        <v>714.07288238000001</v>
      </c>
      <c r="G230" s="7">
        <f t="shared" si="17"/>
        <v>769.00156563999997</v>
      </c>
      <c r="H230" s="8">
        <f t="shared" si="18"/>
        <v>823.93024890000004</v>
      </c>
      <c r="I230" s="9">
        <f t="shared" si="19"/>
        <v>878.85893216000011</v>
      </c>
    </row>
    <row r="231" spans="1:9" x14ac:dyDescent="0.35">
      <c r="A231" s="18" t="s">
        <v>2865</v>
      </c>
      <c r="B231" s="18" t="s">
        <v>668</v>
      </c>
      <c r="C231" s="20">
        <v>45488</v>
      </c>
      <c r="D231" s="11">
        <v>327.42800921324653</v>
      </c>
      <c r="E231" s="27">
        <f t="shared" si="15"/>
        <v>364.49285985618599</v>
      </c>
      <c r="F231" s="6">
        <f t="shared" si="16"/>
        <v>473.84071781304181</v>
      </c>
      <c r="G231" s="7">
        <f t="shared" si="17"/>
        <v>510.29000379866034</v>
      </c>
      <c r="H231" s="8">
        <f t="shared" si="18"/>
        <v>546.73928978427898</v>
      </c>
      <c r="I231" s="9">
        <f t="shared" si="19"/>
        <v>583.18857576989762</v>
      </c>
    </row>
    <row r="232" spans="1:9" x14ac:dyDescent="0.35">
      <c r="A232" s="18" t="s">
        <v>2866</v>
      </c>
      <c r="B232" s="18" t="s">
        <v>669</v>
      </c>
      <c r="C232" s="20">
        <v>45488</v>
      </c>
      <c r="D232" s="11">
        <v>358.5</v>
      </c>
      <c r="E232" s="27">
        <f t="shared" si="15"/>
        <v>399.0822</v>
      </c>
      <c r="F232" s="6">
        <f t="shared" si="16"/>
        <v>518.80686000000003</v>
      </c>
      <c r="G232" s="7">
        <f t="shared" si="17"/>
        <v>558.71507999999994</v>
      </c>
      <c r="H232" s="8">
        <f t="shared" si="18"/>
        <v>598.62329999999997</v>
      </c>
      <c r="I232" s="9">
        <f t="shared" si="19"/>
        <v>638.53152</v>
      </c>
    </row>
    <row r="233" spans="1:9" x14ac:dyDescent="0.35">
      <c r="C233" s="20">
        <v>45488</v>
      </c>
      <c r="D233" s="11">
        <v>0</v>
      </c>
      <c r="E233" s="27">
        <f t="shared" si="15"/>
        <v>0</v>
      </c>
      <c r="F233" s="6">
        <f t="shared" si="16"/>
        <v>0</v>
      </c>
      <c r="G233" s="7">
        <f t="shared" si="17"/>
        <v>0</v>
      </c>
      <c r="H233" s="8">
        <f t="shared" si="18"/>
        <v>0</v>
      </c>
      <c r="I233" s="9">
        <f t="shared" si="19"/>
        <v>0</v>
      </c>
    </row>
    <row r="234" spans="1:9" x14ac:dyDescent="0.35">
      <c r="A234" s="18" t="s">
        <v>2867</v>
      </c>
      <c r="B234" s="18" t="s">
        <v>670</v>
      </c>
      <c r="C234" s="20">
        <v>45488</v>
      </c>
      <c r="D234" s="11">
        <v>457.53200000000004</v>
      </c>
      <c r="E234" s="27">
        <f t="shared" si="15"/>
        <v>509.32462240000007</v>
      </c>
      <c r="F234" s="6">
        <f t="shared" si="16"/>
        <v>662.12200912000014</v>
      </c>
      <c r="G234" s="7">
        <f t="shared" si="17"/>
        <v>713.05447136000009</v>
      </c>
      <c r="H234" s="8">
        <f t="shared" si="18"/>
        <v>763.98693360000016</v>
      </c>
      <c r="I234" s="9">
        <f t="shared" si="19"/>
        <v>814.91939584000011</v>
      </c>
    </row>
    <row r="235" spans="1:9" x14ac:dyDescent="0.35">
      <c r="A235" s="18" t="s">
        <v>2868</v>
      </c>
      <c r="B235" s="18" t="s">
        <v>671</v>
      </c>
      <c r="C235" s="20">
        <v>45488</v>
      </c>
      <c r="D235" s="11">
        <v>337.37100000000004</v>
      </c>
      <c r="E235" s="27">
        <f t="shared" si="15"/>
        <v>375.56139720000004</v>
      </c>
      <c r="F235" s="6">
        <f t="shared" si="16"/>
        <v>488.22981636000009</v>
      </c>
      <c r="G235" s="7">
        <f t="shared" si="17"/>
        <v>525.78595608000001</v>
      </c>
      <c r="H235" s="8">
        <f t="shared" si="18"/>
        <v>563.34209580000004</v>
      </c>
      <c r="I235" s="9">
        <f t="shared" si="19"/>
        <v>600.89823552000007</v>
      </c>
    </row>
    <row r="236" spans="1:9" x14ac:dyDescent="0.35">
      <c r="A236" s="18" t="s">
        <v>2869</v>
      </c>
      <c r="B236" s="18" t="s">
        <v>672</v>
      </c>
      <c r="C236" s="20">
        <v>45488</v>
      </c>
      <c r="D236" s="11">
        <v>367.95727462067083</v>
      </c>
      <c r="E236" s="27">
        <f t="shared" si="15"/>
        <v>409.61003810773076</v>
      </c>
      <c r="F236" s="6">
        <f t="shared" si="16"/>
        <v>532.49304954005004</v>
      </c>
      <c r="G236" s="7">
        <f t="shared" si="17"/>
        <v>573.45405335082307</v>
      </c>
      <c r="H236" s="8">
        <f t="shared" si="18"/>
        <v>614.41505716159611</v>
      </c>
      <c r="I236" s="9">
        <f t="shared" si="19"/>
        <v>655.37606097236926</v>
      </c>
    </row>
    <row r="237" spans="1:9" x14ac:dyDescent="0.35">
      <c r="C237" s="20">
        <v>45488</v>
      </c>
      <c r="D237" s="11">
        <v>0</v>
      </c>
      <c r="E237" s="27">
        <f t="shared" si="15"/>
        <v>0</v>
      </c>
      <c r="F237" s="6">
        <f t="shared" si="16"/>
        <v>0</v>
      </c>
      <c r="G237" s="7">
        <f t="shared" si="17"/>
        <v>0</v>
      </c>
      <c r="H237" s="8">
        <f t="shared" si="18"/>
        <v>0</v>
      </c>
      <c r="I237" s="9">
        <f t="shared" si="19"/>
        <v>0</v>
      </c>
    </row>
    <row r="238" spans="1:9" x14ac:dyDescent="0.35">
      <c r="A238" s="18" t="s">
        <v>2870</v>
      </c>
      <c r="B238" s="18" t="s">
        <v>673</v>
      </c>
      <c r="C238" s="20">
        <v>45488</v>
      </c>
      <c r="D238" s="11">
        <v>1360.6</v>
      </c>
      <c r="E238" s="27">
        <f t="shared" si="15"/>
        <v>1514.6199199999999</v>
      </c>
      <c r="F238" s="6">
        <f t="shared" si="16"/>
        <v>1969.0058959999999</v>
      </c>
      <c r="G238" s="7">
        <f t="shared" si="17"/>
        <v>2120.4678879999997</v>
      </c>
      <c r="H238" s="8">
        <f t="shared" si="18"/>
        <v>2271.9298799999997</v>
      </c>
      <c r="I238" s="9">
        <f t="shared" si="19"/>
        <v>2423.3918719999997</v>
      </c>
    </row>
    <row r="239" spans="1:9" x14ac:dyDescent="0.35">
      <c r="C239" s="20">
        <v>45488</v>
      </c>
      <c r="D239" s="11">
        <v>0</v>
      </c>
      <c r="E239" s="27">
        <f t="shared" si="15"/>
        <v>0</v>
      </c>
      <c r="F239" s="6">
        <f t="shared" si="16"/>
        <v>0</v>
      </c>
      <c r="G239" s="7">
        <f t="shared" si="17"/>
        <v>0</v>
      </c>
      <c r="H239" s="8">
        <f t="shared" si="18"/>
        <v>0</v>
      </c>
      <c r="I239" s="9">
        <f t="shared" si="19"/>
        <v>0</v>
      </c>
    </row>
    <row r="240" spans="1:9" x14ac:dyDescent="0.35">
      <c r="A240" s="18" t="s">
        <v>2871</v>
      </c>
      <c r="B240" s="18" t="s">
        <v>674</v>
      </c>
      <c r="C240" s="20">
        <v>45488</v>
      </c>
      <c r="D240" s="11">
        <v>591.20000000000005</v>
      </c>
      <c r="E240" s="27">
        <f t="shared" si="15"/>
        <v>658.12384000000009</v>
      </c>
      <c r="F240" s="6">
        <f t="shared" si="16"/>
        <v>855.56099200000017</v>
      </c>
      <c r="G240" s="7">
        <f t="shared" si="17"/>
        <v>921.37337600000001</v>
      </c>
      <c r="H240" s="8">
        <f t="shared" si="18"/>
        <v>987.18576000000007</v>
      </c>
      <c r="I240" s="9">
        <f t="shared" si="19"/>
        <v>1052.9981440000001</v>
      </c>
    </row>
    <row r="241" spans="1:9" x14ac:dyDescent="0.35">
      <c r="C241" s="20">
        <v>45488</v>
      </c>
      <c r="D241" s="11">
        <v>0</v>
      </c>
      <c r="E241" s="27">
        <f t="shared" si="15"/>
        <v>0</v>
      </c>
      <c r="F241" s="6">
        <f t="shared" si="16"/>
        <v>0</v>
      </c>
      <c r="G241" s="7">
        <f t="shared" si="17"/>
        <v>0</v>
      </c>
      <c r="H241" s="8">
        <f t="shared" si="18"/>
        <v>0</v>
      </c>
      <c r="I241" s="9">
        <f t="shared" si="19"/>
        <v>0</v>
      </c>
    </row>
    <row r="242" spans="1:9" x14ac:dyDescent="0.35">
      <c r="A242" s="18" t="s">
        <v>2872</v>
      </c>
      <c r="B242" s="18" t="s">
        <v>675</v>
      </c>
      <c r="C242" s="20">
        <v>45488</v>
      </c>
      <c r="D242" s="11">
        <v>133.85</v>
      </c>
      <c r="E242" s="27">
        <f t="shared" si="15"/>
        <v>149.00181999999998</v>
      </c>
      <c r="F242" s="6">
        <f t="shared" si="16"/>
        <v>193.70236599999998</v>
      </c>
      <c r="G242" s="7">
        <f t="shared" si="17"/>
        <v>208.60254799999996</v>
      </c>
      <c r="H242" s="8">
        <f t="shared" si="18"/>
        <v>223.50272999999999</v>
      </c>
      <c r="I242" s="9">
        <f t="shared" si="19"/>
        <v>238.40291199999999</v>
      </c>
    </row>
    <row r="243" spans="1:9" x14ac:dyDescent="0.35">
      <c r="A243" s="18" t="s">
        <v>2873</v>
      </c>
      <c r="B243" s="18" t="s">
        <v>676</v>
      </c>
      <c r="C243" s="20">
        <v>45488</v>
      </c>
      <c r="D243" s="11">
        <v>95.35</v>
      </c>
      <c r="E243" s="27">
        <f t="shared" si="15"/>
        <v>106.14362</v>
      </c>
      <c r="F243" s="6">
        <f t="shared" si="16"/>
        <v>137.986706</v>
      </c>
      <c r="G243" s="7">
        <f t="shared" si="17"/>
        <v>148.601068</v>
      </c>
      <c r="H243" s="8">
        <f t="shared" si="18"/>
        <v>159.21543</v>
      </c>
      <c r="I243" s="9">
        <f t="shared" si="19"/>
        <v>169.829792</v>
      </c>
    </row>
    <row r="244" spans="1:9" x14ac:dyDescent="0.35">
      <c r="A244" s="18" t="s">
        <v>2874</v>
      </c>
      <c r="B244" s="18" t="s">
        <v>677</v>
      </c>
      <c r="C244" s="20">
        <v>45488</v>
      </c>
      <c r="D244" s="11">
        <v>86.4</v>
      </c>
      <c r="E244" s="27">
        <f t="shared" si="15"/>
        <v>96.180480000000003</v>
      </c>
      <c r="F244" s="6">
        <f t="shared" si="16"/>
        <v>125.03462400000001</v>
      </c>
      <c r="G244" s="7">
        <f t="shared" si="17"/>
        <v>134.652672</v>
      </c>
      <c r="H244" s="8">
        <f t="shared" si="18"/>
        <v>144.27072000000001</v>
      </c>
      <c r="I244" s="9">
        <f t="shared" si="19"/>
        <v>153.88876800000003</v>
      </c>
    </row>
    <row r="245" spans="1:9" x14ac:dyDescent="0.35">
      <c r="A245" s="18" t="s">
        <v>2875</v>
      </c>
      <c r="B245" s="18" t="s">
        <v>678</v>
      </c>
      <c r="C245" s="20">
        <v>45488</v>
      </c>
      <c r="D245" s="11">
        <v>86.4</v>
      </c>
      <c r="E245" s="27">
        <f t="shared" si="15"/>
        <v>96.180480000000003</v>
      </c>
      <c r="F245" s="6">
        <f t="shared" si="16"/>
        <v>125.03462400000001</v>
      </c>
      <c r="G245" s="7">
        <f t="shared" si="17"/>
        <v>134.652672</v>
      </c>
      <c r="H245" s="8">
        <f t="shared" si="18"/>
        <v>144.27072000000001</v>
      </c>
      <c r="I245" s="9">
        <f t="shared" si="19"/>
        <v>153.88876800000003</v>
      </c>
    </row>
    <row r="246" spans="1:9" x14ac:dyDescent="0.35">
      <c r="C246" s="20">
        <v>45488</v>
      </c>
      <c r="D246" s="11">
        <v>0</v>
      </c>
      <c r="E246" s="27">
        <f t="shared" si="15"/>
        <v>0</v>
      </c>
      <c r="F246" s="6">
        <f t="shared" si="16"/>
        <v>0</v>
      </c>
      <c r="G246" s="7">
        <f t="shared" si="17"/>
        <v>0</v>
      </c>
      <c r="H246" s="8">
        <f t="shared" si="18"/>
        <v>0</v>
      </c>
      <c r="I246" s="9">
        <f t="shared" si="19"/>
        <v>0</v>
      </c>
    </row>
    <row r="247" spans="1:9" x14ac:dyDescent="0.35">
      <c r="A247" s="18" t="s">
        <v>2876</v>
      </c>
      <c r="B247" s="18" t="s">
        <v>197</v>
      </c>
      <c r="C247" s="20">
        <v>45488</v>
      </c>
      <c r="D247" s="11">
        <v>1224.47833672767</v>
      </c>
      <c r="E247" s="27">
        <f t="shared" si="15"/>
        <v>1363.0892844452424</v>
      </c>
      <c r="F247" s="6">
        <f t="shared" si="16"/>
        <v>1772.0160697788151</v>
      </c>
      <c r="G247" s="7">
        <f t="shared" si="17"/>
        <v>1908.3249982233392</v>
      </c>
      <c r="H247" s="8">
        <f t="shared" si="18"/>
        <v>2044.6339266678635</v>
      </c>
      <c r="I247" s="9">
        <f t="shared" si="19"/>
        <v>2180.9428551123879</v>
      </c>
    </row>
    <row r="248" spans="1:9" x14ac:dyDescent="0.35">
      <c r="A248" s="18" t="s">
        <v>2877</v>
      </c>
      <c r="B248" s="18" t="s">
        <v>198</v>
      </c>
      <c r="C248" s="20">
        <v>45488</v>
      </c>
      <c r="D248" s="11">
        <v>1799.8517635533428</v>
      </c>
      <c r="E248" s="27">
        <f t="shared" si="15"/>
        <v>2003.5949831875812</v>
      </c>
      <c r="F248" s="6">
        <f t="shared" si="16"/>
        <v>2604.6734781438558</v>
      </c>
      <c r="G248" s="7">
        <f t="shared" si="17"/>
        <v>2805.0329764626135</v>
      </c>
      <c r="H248" s="8">
        <f t="shared" si="18"/>
        <v>3005.3924747813717</v>
      </c>
      <c r="I248" s="9">
        <f t="shared" si="19"/>
        <v>3205.7519731001303</v>
      </c>
    </row>
    <row r="249" spans="1:9" x14ac:dyDescent="0.35">
      <c r="A249" s="18" t="s">
        <v>2878</v>
      </c>
      <c r="B249" s="18" t="s">
        <v>199</v>
      </c>
      <c r="C249" s="20">
        <v>45488</v>
      </c>
      <c r="D249" s="11">
        <v>2450</v>
      </c>
      <c r="E249" s="27">
        <f t="shared" si="15"/>
        <v>2727.34</v>
      </c>
      <c r="F249" s="6">
        <f t="shared" si="16"/>
        <v>3545.5420000000004</v>
      </c>
      <c r="G249" s="7">
        <f t="shared" si="17"/>
        <v>3818.2759999999998</v>
      </c>
      <c r="H249" s="8">
        <f t="shared" si="18"/>
        <v>4091.01</v>
      </c>
      <c r="I249" s="9">
        <f t="shared" si="19"/>
        <v>4363.7440000000006</v>
      </c>
    </row>
    <row r="250" spans="1:9" x14ac:dyDescent="0.35">
      <c r="C250" s="20">
        <v>45488</v>
      </c>
      <c r="D250" s="11">
        <v>0</v>
      </c>
      <c r="E250" s="27">
        <f t="shared" si="15"/>
        <v>0</v>
      </c>
      <c r="F250" s="6">
        <f t="shared" si="16"/>
        <v>0</v>
      </c>
      <c r="G250" s="7">
        <f t="shared" si="17"/>
        <v>0</v>
      </c>
      <c r="H250" s="8">
        <f t="shared" si="18"/>
        <v>0</v>
      </c>
      <c r="I250" s="9">
        <f t="shared" si="19"/>
        <v>0</v>
      </c>
    </row>
    <row r="251" spans="1:9" x14ac:dyDescent="0.35">
      <c r="A251" s="18" t="s">
        <v>4549</v>
      </c>
      <c r="B251" s="18" t="s">
        <v>4550</v>
      </c>
      <c r="C251" s="20">
        <v>45488</v>
      </c>
      <c r="D251" s="11">
        <v>6755.4</v>
      </c>
      <c r="E251" s="27">
        <f t="shared" si="15"/>
        <v>7520.1112800000001</v>
      </c>
      <c r="F251" s="6">
        <f t="shared" si="16"/>
        <v>9776.1446640000013</v>
      </c>
      <c r="G251" s="7">
        <f t="shared" si="17"/>
        <v>10528.155792</v>
      </c>
      <c r="H251" s="8">
        <f t="shared" si="18"/>
        <v>11280.16692</v>
      </c>
      <c r="I251" s="9">
        <f t="shared" si="19"/>
        <v>12032.178048000002</v>
      </c>
    </row>
    <row r="252" spans="1:9" ht="15.75" customHeight="1" x14ac:dyDescent="0.4">
      <c r="A252" s="21"/>
      <c r="B252" s="19" t="s">
        <v>476</v>
      </c>
      <c r="D252" s="11">
        <v>0</v>
      </c>
      <c r="E252" s="27">
        <f t="shared" si="15"/>
        <v>0</v>
      </c>
      <c r="F252" s="6">
        <f t="shared" si="16"/>
        <v>0</v>
      </c>
      <c r="G252" s="7">
        <f t="shared" si="17"/>
        <v>0</v>
      </c>
      <c r="H252" s="8">
        <f t="shared" si="18"/>
        <v>0</v>
      </c>
      <c r="I252" s="9">
        <f t="shared" si="19"/>
        <v>0</v>
      </c>
    </row>
    <row r="253" spans="1:9" x14ac:dyDescent="0.35">
      <c r="A253" s="18" t="s">
        <v>2879</v>
      </c>
      <c r="B253" s="18" t="s">
        <v>1386</v>
      </c>
      <c r="C253" s="20">
        <v>45716</v>
      </c>
      <c r="D253" s="11">
        <v>1827.6100885550029</v>
      </c>
      <c r="E253" s="27">
        <f t="shared" si="15"/>
        <v>2034.4955505794294</v>
      </c>
      <c r="F253" s="6">
        <f t="shared" si="16"/>
        <v>2644.8442157532581</v>
      </c>
      <c r="G253" s="7">
        <f t="shared" si="17"/>
        <v>2848.2937708112008</v>
      </c>
      <c r="H253" s="8">
        <f t="shared" si="18"/>
        <v>3051.743325869144</v>
      </c>
      <c r="I253" s="9">
        <f t="shared" si="19"/>
        <v>3255.1928809270871</v>
      </c>
    </row>
    <row r="254" spans="1:9" x14ac:dyDescent="0.35">
      <c r="A254" s="18" t="s">
        <v>2880</v>
      </c>
      <c r="B254" s="18" t="s">
        <v>1387</v>
      </c>
      <c r="C254" s="20">
        <v>45716</v>
      </c>
      <c r="D254" s="11">
        <v>2553.0872677347461</v>
      </c>
      <c r="E254" s="27">
        <f t="shared" si="15"/>
        <v>2842.0967464423193</v>
      </c>
      <c r="F254" s="6">
        <f t="shared" si="16"/>
        <v>3694.7257703750151</v>
      </c>
      <c r="G254" s="7">
        <f t="shared" si="17"/>
        <v>3978.9354450192468</v>
      </c>
      <c r="H254" s="8">
        <f t="shared" si="18"/>
        <v>4263.1451196634789</v>
      </c>
      <c r="I254" s="9">
        <f t="shared" si="19"/>
        <v>4547.354794307711</v>
      </c>
    </row>
    <row r="255" spans="1:9" x14ac:dyDescent="0.35">
      <c r="A255" s="18" t="s">
        <v>2881</v>
      </c>
      <c r="B255" s="18" t="s">
        <v>1388</v>
      </c>
      <c r="C255" s="20">
        <v>45716</v>
      </c>
      <c r="D255" s="11">
        <v>4698.6960518738779</v>
      </c>
      <c r="E255" s="27">
        <f t="shared" si="15"/>
        <v>5230.5884449460009</v>
      </c>
      <c r="F255" s="6">
        <f t="shared" si="16"/>
        <v>6799.764978429801</v>
      </c>
      <c r="G255" s="7">
        <f t="shared" si="17"/>
        <v>7322.8238229244007</v>
      </c>
      <c r="H255" s="8">
        <f t="shared" si="18"/>
        <v>7845.8826674190013</v>
      </c>
      <c r="I255" s="9">
        <f t="shared" si="19"/>
        <v>8368.9415119136011</v>
      </c>
    </row>
    <row r="256" spans="1:9" x14ac:dyDescent="0.35">
      <c r="C256" s="20">
        <v>45716</v>
      </c>
      <c r="D256" s="11">
        <v>0</v>
      </c>
      <c r="E256" s="27">
        <f t="shared" si="15"/>
        <v>0</v>
      </c>
      <c r="F256" s="6">
        <f t="shared" si="16"/>
        <v>0</v>
      </c>
      <c r="G256" s="7">
        <f t="shared" si="17"/>
        <v>0</v>
      </c>
      <c r="H256" s="8">
        <f t="shared" si="18"/>
        <v>0</v>
      </c>
      <c r="I256" s="9">
        <f t="shared" si="19"/>
        <v>0</v>
      </c>
    </row>
    <row r="257" spans="1:9" x14ac:dyDescent="0.35">
      <c r="A257" s="18" t="s">
        <v>2882</v>
      </c>
      <c r="B257" s="18" t="s">
        <v>1389</v>
      </c>
      <c r="C257" s="20">
        <v>45716</v>
      </c>
      <c r="D257" s="11">
        <v>1848.9142273174982</v>
      </c>
      <c r="E257" s="27">
        <f t="shared" si="15"/>
        <v>2058.2113178498389</v>
      </c>
      <c r="F257" s="6">
        <f t="shared" si="16"/>
        <v>2675.6747132047908</v>
      </c>
      <c r="G257" s="7">
        <f t="shared" si="17"/>
        <v>2881.4958449897745</v>
      </c>
      <c r="H257" s="8">
        <f t="shared" si="18"/>
        <v>3087.3169767747586</v>
      </c>
      <c r="I257" s="9">
        <f t="shared" si="19"/>
        <v>3293.1381085597422</v>
      </c>
    </row>
    <row r="258" spans="1:9" x14ac:dyDescent="0.35">
      <c r="A258" s="18" t="s">
        <v>2883</v>
      </c>
      <c r="B258" s="18" t="s">
        <v>1390</v>
      </c>
      <c r="C258" s="20">
        <v>45716</v>
      </c>
      <c r="D258" s="11">
        <v>2683.2331269996216</v>
      </c>
      <c r="E258" s="27">
        <f t="shared" si="15"/>
        <v>2986.9751169759788</v>
      </c>
      <c r="F258" s="6">
        <f t="shared" si="16"/>
        <v>3883.0676520687725</v>
      </c>
      <c r="G258" s="7">
        <f t="shared" si="17"/>
        <v>4181.7651637663703</v>
      </c>
      <c r="H258" s="8">
        <f t="shared" si="18"/>
        <v>4480.4626754639685</v>
      </c>
      <c r="I258" s="9">
        <f t="shared" si="19"/>
        <v>4779.1601871615667</v>
      </c>
    </row>
    <row r="259" spans="1:9" x14ac:dyDescent="0.35">
      <c r="A259" s="18" t="s">
        <v>2884</v>
      </c>
      <c r="B259" s="18" t="s">
        <v>1391</v>
      </c>
      <c r="C259" s="20">
        <v>45716</v>
      </c>
      <c r="D259" s="11">
        <v>4168.0287760605825</v>
      </c>
      <c r="E259" s="27">
        <f t="shared" si="15"/>
        <v>4639.8496335106411</v>
      </c>
      <c r="F259" s="6">
        <f t="shared" si="16"/>
        <v>6031.8045235638338</v>
      </c>
      <c r="G259" s="7">
        <f t="shared" si="17"/>
        <v>6495.7894869148968</v>
      </c>
      <c r="H259" s="8">
        <f t="shared" si="18"/>
        <v>6959.7744502659616</v>
      </c>
      <c r="I259" s="9">
        <f t="shared" si="19"/>
        <v>7423.7594136170264</v>
      </c>
    </row>
    <row r="260" spans="1:9" x14ac:dyDescent="0.35">
      <c r="C260" s="20">
        <v>45716</v>
      </c>
      <c r="D260" s="11">
        <v>0</v>
      </c>
      <c r="E260" s="27">
        <f t="shared" si="15"/>
        <v>0</v>
      </c>
      <c r="F260" s="6">
        <f t="shared" si="16"/>
        <v>0</v>
      </c>
      <c r="G260" s="7">
        <f t="shared" si="17"/>
        <v>0</v>
      </c>
      <c r="H260" s="8">
        <f t="shared" si="18"/>
        <v>0</v>
      </c>
      <c r="I260" s="9">
        <f t="shared" si="19"/>
        <v>0</v>
      </c>
    </row>
    <row r="261" spans="1:9" x14ac:dyDescent="0.35">
      <c r="A261" s="18" t="s">
        <v>2885</v>
      </c>
      <c r="B261" s="18" t="s">
        <v>1392</v>
      </c>
      <c r="C261" s="20">
        <v>45716</v>
      </c>
      <c r="D261" s="11">
        <v>1848.9142273174982</v>
      </c>
      <c r="E261" s="27">
        <f t="shared" si="15"/>
        <v>2058.2113178498389</v>
      </c>
      <c r="F261" s="6">
        <f t="shared" si="16"/>
        <v>2675.6747132047908</v>
      </c>
      <c r="G261" s="7">
        <f t="shared" si="17"/>
        <v>2881.4958449897745</v>
      </c>
      <c r="H261" s="8">
        <f t="shared" si="18"/>
        <v>3087.3169767747586</v>
      </c>
      <c r="I261" s="9">
        <f t="shared" si="19"/>
        <v>3293.1381085597422</v>
      </c>
    </row>
    <row r="262" spans="1:9" x14ac:dyDescent="0.35">
      <c r="A262" s="18" t="s">
        <v>2886</v>
      </c>
      <c r="B262" s="18" t="s">
        <v>1393</v>
      </c>
      <c r="C262" s="20">
        <v>45716</v>
      </c>
      <c r="D262" s="11">
        <v>2702.0538874643721</v>
      </c>
      <c r="E262" s="27">
        <f t="shared" si="15"/>
        <v>3007.9263875253391</v>
      </c>
      <c r="F262" s="6">
        <f t="shared" si="16"/>
        <v>3910.3043037829411</v>
      </c>
      <c r="G262" s="7">
        <f t="shared" si="17"/>
        <v>4211.0969425354742</v>
      </c>
      <c r="H262" s="8">
        <f t="shared" si="18"/>
        <v>4511.8895812880091</v>
      </c>
      <c r="I262" s="9">
        <f t="shared" si="19"/>
        <v>4812.6822200405431</v>
      </c>
    </row>
    <row r="263" spans="1:9" x14ac:dyDescent="0.35">
      <c r="A263" s="18" t="s">
        <v>2887</v>
      </c>
      <c r="B263" s="18" t="s">
        <v>1494</v>
      </c>
      <c r="C263" s="20">
        <v>45716</v>
      </c>
      <c r="D263" s="11">
        <v>3699.0611242500995</v>
      </c>
      <c r="E263" s="27">
        <f t="shared" si="15"/>
        <v>4117.7948435152102</v>
      </c>
      <c r="F263" s="6">
        <f t="shared" si="16"/>
        <v>5353.1332965697738</v>
      </c>
      <c r="G263" s="7">
        <f t="shared" si="17"/>
        <v>5764.9127809212941</v>
      </c>
      <c r="H263" s="8">
        <f t="shared" si="18"/>
        <v>6176.6922652728153</v>
      </c>
      <c r="I263" s="9">
        <f t="shared" si="19"/>
        <v>6588.4717496243366</v>
      </c>
    </row>
    <row r="264" spans="1:9" x14ac:dyDescent="0.35">
      <c r="C264" s="20">
        <v>45716</v>
      </c>
      <c r="D264" s="11">
        <v>0</v>
      </c>
      <c r="E264" s="27">
        <f t="shared" si="15"/>
        <v>0</v>
      </c>
      <c r="F264" s="6">
        <f t="shared" si="16"/>
        <v>0</v>
      </c>
      <c r="G264" s="7">
        <f t="shared" si="17"/>
        <v>0</v>
      </c>
      <c r="H264" s="8">
        <f t="shared" si="18"/>
        <v>0</v>
      </c>
      <c r="I264" s="9">
        <f t="shared" si="19"/>
        <v>0</v>
      </c>
    </row>
    <row r="265" spans="1:9" x14ac:dyDescent="0.35">
      <c r="A265" s="18" t="s">
        <v>2888</v>
      </c>
      <c r="B265" s="18" t="s">
        <v>1394</v>
      </c>
      <c r="C265" s="20">
        <v>45716</v>
      </c>
      <c r="D265" s="11">
        <v>1848.9142273174982</v>
      </c>
      <c r="E265" s="27">
        <f t="shared" si="15"/>
        <v>2058.2113178498389</v>
      </c>
      <c r="F265" s="6">
        <f t="shared" si="16"/>
        <v>2675.6747132047908</v>
      </c>
      <c r="G265" s="7">
        <f t="shared" si="17"/>
        <v>2881.4958449897745</v>
      </c>
      <c r="H265" s="8">
        <f t="shared" si="18"/>
        <v>3087.3169767747586</v>
      </c>
      <c r="I265" s="9">
        <f t="shared" si="19"/>
        <v>3293.1381085597422</v>
      </c>
    </row>
    <row r="266" spans="1:9" x14ac:dyDescent="0.35">
      <c r="A266" s="18" t="s">
        <v>2889</v>
      </c>
      <c r="B266" s="18" t="s">
        <v>1395</v>
      </c>
      <c r="C266" s="20">
        <v>45716</v>
      </c>
      <c r="D266" s="11">
        <v>2543.4363666018635</v>
      </c>
      <c r="E266" s="27">
        <f t="shared" si="15"/>
        <v>2831.3533633011948</v>
      </c>
      <c r="F266" s="6">
        <f t="shared" si="16"/>
        <v>3680.7593722915535</v>
      </c>
      <c r="G266" s="7">
        <f t="shared" si="17"/>
        <v>3963.8947086216726</v>
      </c>
      <c r="H266" s="8">
        <f t="shared" si="18"/>
        <v>4247.0300449517927</v>
      </c>
      <c r="I266" s="9">
        <f t="shared" si="19"/>
        <v>4530.1653812819122</v>
      </c>
    </row>
    <row r="267" spans="1:9" x14ac:dyDescent="0.35">
      <c r="A267" s="18" t="s">
        <v>2890</v>
      </c>
      <c r="B267" s="18" t="s">
        <v>1396</v>
      </c>
      <c r="C267" s="20">
        <v>45716</v>
      </c>
      <c r="D267" s="11">
        <v>3928.5481284472876</v>
      </c>
      <c r="E267" s="27">
        <f t="shared" si="15"/>
        <v>4373.2597765875207</v>
      </c>
      <c r="F267" s="6">
        <f t="shared" si="16"/>
        <v>5685.2377095637776</v>
      </c>
      <c r="G267" s="7">
        <f t="shared" si="17"/>
        <v>6122.5636872225286</v>
      </c>
      <c r="H267" s="8">
        <f t="shared" si="18"/>
        <v>6559.8896648812806</v>
      </c>
      <c r="I267" s="9">
        <f t="shared" si="19"/>
        <v>6997.2156425400335</v>
      </c>
    </row>
    <row r="268" spans="1:9" x14ac:dyDescent="0.35">
      <c r="C268" s="20">
        <v>45716</v>
      </c>
      <c r="D268" s="11">
        <v>0</v>
      </c>
      <c r="E268" s="27">
        <f t="shared" ref="E268:E331" si="20">D268*1.21*0.92</f>
        <v>0</v>
      </c>
      <c r="F268" s="6">
        <f t="shared" ref="F268:F331" si="21">E268*1.3</f>
        <v>0</v>
      </c>
      <c r="G268" s="7">
        <f t="shared" ref="G268:G331" si="22">E268*1.4</f>
        <v>0</v>
      </c>
      <c r="H268" s="8">
        <f t="shared" ref="H268:H331" si="23">E268*1.5</f>
        <v>0</v>
      </c>
      <c r="I268" s="9">
        <f t="shared" ref="I268:I331" si="24">E268*1.6</f>
        <v>0</v>
      </c>
    </row>
    <row r="269" spans="1:9" x14ac:dyDescent="0.35">
      <c r="A269" s="18" t="s">
        <v>2891</v>
      </c>
      <c r="B269" s="18" t="s">
        <v>1397</v>
      </c>
      <c r="C269" s="20">
        <v>45716</v>
      </c>
      <c r="D269" s="11">
        <v>991.49329514158273</v>
      </c>
      <c r="E269" s="27">
        <f t="shared" si="20"/>
        <v>1103.7303361516099</v>
      </c>
      <c r="F269" s="6">
        <f t="shared" si="21"/>
        <v>1434.8494369970929</v>
      </c>
      <c r="G269" s="7">
        <f t="shared" si="22"/>
        <v>1545.2224706122538</v>
      </c>
      <c r="H269" s="8">
        <f t="shared" si="23"/>
        <v>1655.5955042274149</v>
      </c>
      <c r="I269" s="9">
        <f t="shared" si="24"/>
        <v>1765.9685378425759</v>
      </c>
    </row>
    <row r="270" spans="1:9" x14ac:dyDescent="0.35">
      <c r="A270" s="18" t="s">
        <v>2892</v>
      </c>
      <c r="B270" s="18" t="s">
        <v>1398</v>
      </c>
      <c r="C270" s="20">
        <v>45716</v>
      </c>
      <c r="D270" s="11">
        <v>1292.1925249566741</v>
      </c>
      <c r="E270" s="27">
        <f t="shared" si="20"/>
        <v>1438.4687187817697</v>
      </c>
      <c r="F270" s="6">
        <f t="shared" si="21"/>
        <v>1870.0093344163006</v>
      </c>
      <c r="G270" s="7">
        <f t="shared" si="22"/>
        <v>2013.8562062944775</v>
      </c>
      <c r="H270" s="8">
        <f t="shared" si="23"/>
        <v>2157.7030781726544</v>
      </c>
      <c r="I270" s="9">
        <f t="shared" si="24"/>
        <v>2301.5499500508317</v>
      </c>
    </row>
    <row r="271" spans="1:9" x14ac:dyDescent="0.35">
      <c r="A271" s="18" t="s">
        <v>2893</v>
      </c>
      <c r="B271" s="18" t="s">
        <v>1399</v>
      </c>
      <c r="C271" s="20">
        <v>45716</v>
      </c>
      <c r="D271" s="11">
        <v>2502.0727847370013</v>
      </c>
      <c r="E271" s="27">
        <f t="shared" si="20"/>
        <v>2785.3074239692301</v>
      </c>
      <c r="F271" s="6">
        <f t="shared" si="21"/>
        <v>3620.8996511599994</v>
      </c>
      <c r="G271" s="7">
        <f t="shared" si="22"/>
        <v>3899.4303935569219</v>
      </c>
      <c r="H271" s="8">
        <f t="shared" si="23"/>
        <v>4177.9611359538449</v>
      </c>
      <c r="I271" s="9">
        <f t="shared" si="24"/>
        <v>4456.4918783507683</v>
      </c>
    </row>
    <row r="272" spans="1:9" x14ac:dyDescent="0.35">
      <c r="A272" s="18" t="s">
        <v>5027</v>
      </c>
      <c r="B272" s="18" t="s">
        <v>5028</v>
      </c>
      <c r="C272" s="20">
        <v>45716</v>
      </c>
      <c r="D272" s="11">
        <v>3464.823832267879</v>
      </c>
      <c r="E272" s="27">
        <f t="shared" si="20"/>
        <v>3857.041890080603</v>
      </c>
      <c r="F272" s="6">
        <f t="shared" si="21"/>
        <v>5014.1544571047843</v>
      </c>
      <c r="G272" s="7">
        <f t="shared" si="22"/>
        <v>5399.8586461128443</v>
      </c>
      <c r="H272" s="8">
        <f t="shared" si="23"/>
        <v>5785.5628351209043</v>
      </c>
      <c r="I272" s="9">
        <f t="shared" si="24"/>
        <v>6171.2670241289652</v>
      </c>
    </row>
    <row r="273" spans="1:9" x14ac:dyDescent="0.35">
      <c r="C273" s="20">
        <v>45716</v>
      </c>
      <c r="D273" s="11">
        <v>0</v>
      </c>
      <c r="E273" s="27">
        <f t="shared" si="20"/>
        <v>0</v>
      </c>
      <c r="F273" s="6">
        <f t="shared" si="21"/>
        <v>0</v>
      </c>
      <c r="G273" s="7">
        <f t="shared" si="22"/>
        <v>0</v>
      </c>
      <c r="H273" s="8">
        <f t="shared" si="23"/>
        <v>0</v>
      </c>
      <c r="I273" s="9">
        <f t="shared" si="24"/>
        <v>0</v>
      </c>
    </row>
    <row r="274" spans="1:9" x14ac:dyDescent="0.35">
      <c r="A274" s="18" t="s">
        <v>2894</v>
      </c>
      <c r="B274" s="18" t="s">
        <v>1400</v>
      </c>
      <c r="C274" s="20">
        <v>45716</v>
      </c>
      <c r="D274" s="11">
        <v>1387.5951401431694</v>
      </c>
      <c r="E274" s="27">
        <f t="shared" si="20"/>
        <v>1544.6709100073763</v>
      </c>
      <c r="F274" s="6">
        <f t="shared" si="21"/>
        <v>2008.0721830095893</v>
      </c>
      <c r="G274" s="7">
        <f t="shared" si="22"/>
        <v>2162.5392740103266</v>
      </c>
      <c r="H274" s="8">
        <f t="shared" si="23"/>
        <v>2317.0063650110642</v>
      </c>
      <c r="I274" s="9">
        <f t="shared" si="24"/>
        <v>2471.4734560118022</v>
      </c>
    </row>
    <row r="275" spans="1:9" x14ac:dyDescent="0.35">
      <c r="A275" s="18" t="s">
        <v>2895</v>
      </c>
      <c r="B275" s="18" t="s">
        <v>1401</v>
      </c>
      <c r="C275" s="20">
        <v>45716</v>
      </c>
      <c r="D275" s="11">
        <v>1480.0393482534159</v>
      </c>
      <c r="E275" s="27">
        <f t="shared" si="20"/>
        <v>1647.5798024757025</v>
      </c>
      <c r="F275" s="6">
        <f t="shared" si="21"/>
        <v>2141.8537432184135</v>
      </c>
      <c r="G275" s="7">
        <f t="shared" si="22"/>
        <v>2306.6117234659832</v>
      </c>
      <c r="H275" s="8">
        <f t="shared" si="23"/>
        <v>2471.3697037135539</v>
      </c>
      <c r="I275" s="9">
        <f t="shared" si="24"/>
        <v>2636.1276839611241</v>
      </c>
    </row>
    <row r="276" spans="1:9" x14ac:dyDescent="0.35">
      <c r="A276" s="18" t="s">
        <v>2896</v>
      </c>
      <c r="B276" s="18" t="s">
        <v>1402</v>
      </c>
      <c r="C276" s="20">
        <v>45716</v>
      </c>
      <c r="D276" s="11">
        <v>2497.3164839294554</v>
      </c>
      <c r="E276" s="27">
        <f t="shared" si="20"/>
        <v>2780.0127099102697</v>
      </c>
      <c r="F276" s="6">
        <f t="shared" si="21"/>
        <v>3614.0165228833507</v>
      </c>
      <c r="G276" s="7">
        <f t="shared" si="22"/>
        <v>3892.0177938743773</v>
      </c>
      <c r="H276" s="8">
        <f t="shared" si="23"/>
        <v>4170.0190648654043</v>
      </c>
      <c r="I276" s="9">
        <f t="shared" si="24"/>
        <v>4448.0203358564313</v>
      </c>
    </row>
    <row r="277" spans="1:9" x14ac:dyDescent="0.35">
      <c r="A277" s="18" t="s">
        <v>5034</v>
      </c>
      <c r="B277" s="18" t="s">
        <v>5033</v>
      </c>
      <c r="C277" s="20">
        <v>45716</v>
      </c>
      <c r="D277" s="11">
        <v>4459.0049484726405</v>
      </c>
      <c r="E277" s="27">
        <f t="shared" si="20"/>
        <v>4963.7643086397438</v>
      </c>
      <c r="F277" s="6">
        <f t="shared" si="21"/>
        <v>6452.8936012316672</v>
      </c>
      <c r="G277" s="7">
        <f t="shared" si="22"/>
        <v>6949.270032095641</v>
      </c>
      <c r="H277" s="8">
        <f t="shared" si="23"/>
        <v>7445.6464629596157</v>
      </c>
      <c r="I277" s="9">
        <f t="shared" si="24"/>
        <v>7942.0228938235905</v>
      </c>
    </row>
    <row r="278" spans="1:9" x14ac:dyDescent="0.35">
      <c r="C278" s="20">
        <v>45716</v>
      </c>
      <c r="D278" s="11">
        <v>0</v>
      </c>
      <c r="E278" s="27">
        <f t="shared" si="20"/>
        <v>0</v>
      </c>
      <c r="F278" s="6">
        <f t="shared" si="21"/>
        <v>0</v>
      </c>
      <c r="G278" s="7">
        <f t="shared" si="22"/>
        <v>0</v>
      </c>
      <c r="H278" s="8">
        <f t="shared" si="23"/>
        <v>0</v>
      </c>
      <c r="I278" s="9">
        <f t="shared" si="24"/>
        <v>0</v>
      </c>
    </row>
    <row r="279" spans="1:9" x14ac:dyDescent="0.35">
      <c r="A279" s="18" t="s">
        <v>2897</v>
      </c>
      <c r="B279" s="18" t="s">
        <v>2302</v>
      </c>
      <c r="C279" s="20">
        <v>45716</v>
      </c>
      <c r="D279" s="11">
        <v>1460.2625172091468</v>
      </c>
      <c r="E279" s="27">
        <f t="shared" si="20"/>
        <v>1625.5642341572222</v>
      </c>
      <c r="F279" s="6">
        <f t="shared" si="21"/>
        <v>2113.2335044043889</v>
      </c>
      <c r="G279" s="7">
        <f t="shared" si="22"/>
        <v>2275.7899278201112</v>
      </c>
      <c r="H279" s="8">
        <f t="shared" si="23"/>
        <v>2438.3463512358335</v>
      </c>
      <c r="I279" s="9">
        <f t="shared" si="24"/>
        <v>2600.9027746515558</v>
      </c>
    </row>
    <row r="280" spans="1:9" x14ac:dyDescent="0.35">
      <c r="A280" s="18" t="s">
        <v>2898</v>
      </c>
      <c r="B280" s="18" t="s">
        <v>2303</v>
      </c>
      <c r="C280" s="20">
        <v>45716</v>
      </c>
      <c r="D280" s="11">
        <v>2076.9460800666125</v>
      </c>
      <c r="E280" s="27">
        <f t="shared" si="20"/>
        <v>2312.0563763301529</v>
      </c>
      <c r="F280" s="6">
        <f t="shared" si="21"/>
        <v>3005.6732892291989</v>
      </c>
      <c r="G280" s="7">
        <f t="shared" si="22"/>
        <v>3236.878926862214</v>
      </c>
      <c r="H280" s="8">
        <f t="shared" si="23"/>
        <v>3468.0845644952296</v>
      </c>
      <c r="I280" s="9">
        <f t="shared" si="24"/>
        <v>3699.2902021282448</v>
      </c>
    </row>
    <row r="281" spans="1:9" x14ac:dyDescent="0.35">
      <c r="C281" s="20">
        <v>45716</v>
      </c>
      <c r="D281" s="11">
        <v>0</v>
      </c>
      <c r="E281" s="27">
        <f t="shared" si="20"/>
        <v>0</v>
      </c>
      <c r="F281" s="6">
        <f t="shared" si="21"/>
        <v>0</v>
      </c>
      <c r="G281" s="7">
        <f t="shared" si="22"/>
        <v>0</v>
      </c>
      <c r="H281" s="8">
        <f t="shared" si="23"/>
        <v>0</v>
      </c>
      <c r="I281" s="9">
        <f t="shared" si="24"/>
        <v>0</v>
      </c>
    </row>
    <row r="282" spans="1:9" x14ac:dyDescent="0.35">
      <c r="A282" s="18" t="s">
        <v>2899</v>
      </c>
      <c r="B282" s="18" t="s">
        <v>2304</v>
      </c>
      <c r="C282" s="20">
        <v>45716</v>
      </c>
      <c r="D282" s="11">
        <v>1120.8875265923698</v>
      </c>
      <c r="E282" s="27">
        <f t="shared" si="20"/>
        <v>1247.7719946026259</v>
      </c>
      <c r="F282" s="6">
        <f t="shared" si="21"/>
        <v>1622.1035929834138</v>
      </c>
      <c r="G282" s="7">
        <f t="shared" si="22"/>
        <v>1746.8807924436762</v>
      </c>
      <c r="H282" s="8">
        <f t="shared" si="23"/>
        <v>1871.6579919039389</v>
      </c>
      <c r="I282" s="9">
        <f t="shared" si="24"/>
        <v>1996.4351913642015</v>
      </c>
    </row>
    <row r="283" spans="1:9" x14ac:dyDescent="0.35">
      <c r="A283" s="18" t="s">
        <v>2900</v>
      </c>
      <c r="B283" s="18" t="s">
        <v>2305</v>
      </c>
      <c r="C283" s="20">
        <v>45716</v>
      </c>
      <c r="D283" s="11">
        <v>1251.0393988797573</v>
      </c>
      <c r="E283" s="27">
        <f t="shared" si="20"/>
        <v>1392.6570588329459</v>
      </c>
      <c r="F283" s="6">
        <f t="shared" si="21"/>
        <v>1810.4541764828298</v>
      </c>
      <c r="G283" s="7">
        <f t="shared" si="22"/>
        <v>1949.7198823661242</v>
      </c>
      <c r="H283" s="8">
        <f t="shared" si="23"/>
        <v>2088.9855882494189</v>
      </c>
      <c r="I283" s="9">
        <f t="shared" si="24"/>
        <v>2228.2512941327136</v>
      </c>
    </row>
    <row r="284" spans="1:9" x14ac:dyDescent="0.35">
      <c r="A284" s="18" t="s">
        <v>2901</v>
      </c>
      <c r="B284" s="18" t="s">
        <v>2306</v>
      </c>
      <c r="C284" s="20">
        <v>45716</v>
      </c>
      <c r="D284" s="11">
        <v>1848.9142273174982</v>
      </c>
      <c r="E284" s="27">
        <f t="shared" si="20"/>
        <v>2058.2113178498389</v>
      </c>
      <c r="F284" s="6">
        <f t="shared" si="21"/>
        <v>2675.6747132047908</v>
      </c>
      <c r="G284" s="7">
        <f t="shared" si="22"/>
        <v>2881.4958449897745</v>
      </c>
      <c r="H284" s="8">
        <f t="shared" si="23"/>
        <v>3087.3169767747586</v>
      </c>
      <c r="I284" s="9">
        <f t="shared" si="24"/>
        <v>3293.1381085597422</v>
      </c>
    </row>
    <row r="285" spans="1:9" x14ac:dyDescent="0.35">
      <c r="A285" s="18" t="s">
        <v>5029</v>
      </c>
      <c r="B285" s="18" t="s">
        <v>5030</v>
      </c>
      <c r="C285" s="20">
        <v>45716</v>
      </c>
      <c r="D285" s="11">
        <v>3058.9989298632572</v>
      </c>
      <c r="E285" s="27">
        <f t="shared" si="20"/>
        <v>3405.277608723778</v>
      </c>
      <c r="F285" s="6">
        <f t="shared" si="21"/>
        <v>4426.8608913409116</v>
      </c>
      <c r="G285" s="7">
        <f t="shared" si="22"/>
        <v>4767.3886522132889</v>
      </c>
      <c r="H285" s="8">
        <f t="shared" si="23"/>
        <v>5107.916413085667</v>
      </c>
      <c r="I285" s="9">
        <f t="shared" si="24"/>
        <v>5448.4441739580452</v>
      </c>
    </row>
    <row r="286" spans="1:9" x14ac:dyDescent="0.35">
      <c r="C286" s="20">
        <v>45716</v>
      </c>
      <c r="D286" s="11">
        <v>0</v>
      </c>
      <c r="E286" s="27">
        <f t="shared" si="20"/>
        <v>0</v>
      </c>
      <c r="F286" s="6">
        <f t="shared" si="21"/>
        <v>0</v>
      </c>
      <c r="G286" s="7">
        <f t="shared" si="22"/>
        <v>0</v>
      </c>
      <c r="H286" s="8">
        <f t="shared" si="23"/>
        <v>0</v>
      </c>
      <c r="I286" s="9">
        <f t="shared" si="24"/>
        <v>0</v>
      </c>
    </row>
    <row r="287" spans="1:9" x14ac:dyDescent="0.35">
      <c r="A287" s="18" t="s">
        <v>2902</v>
      </c>
      <c r="B287" s="18" t="s">
        <v>2307</v>
      </c>
      <c r="C287" s="20">
        <v>45716</v>
      </c>
      <c r="D287" s="11">
        <v>576.57068967524583</v>
      </c>
      <c r="E287" s="27">
        <f t="shared" si="20"/>
        <v>641.83849174648367</v>
      </c>
      <c r="F287" s="6">
        <f t="shared" si="21"/>
        <v>834.39003927042882</v>
      </c>
      <c r="G287" s="7">
        <f t="shared" si="22"/>
        <v>898.57388844507705</v>
      </c>
      <c r="H287" s="8">
        <f t="shared" si="23"/>
        <v>962.7577376197255</v>
      </c>
      <c r="I287" s="9">
        <f t="shared" si="24"/>
        <v>1026.941586794374</v>
      </c>
    </row>
    <row r="288" spans="1:9" x14ac:dyDescent="0.35">
      <c r="A288" s="18" t="s">
        <v>3244</v>
      </c>
      <c r="B288" s="18" t="s">
        <v>3245</v>
      </c>
      <c r="C288" s="20">
        <v>45716</v>
      </c>
      <c r="D288" s="11">
        <v>901.74292111702573</v>
      </c>
      <c r="E288" s="27">
        <f t="shared" si="20"/>
        <v>1003.8202197874731</v>
      </c>
      <c r="F288" s="6">
        <f t="shared" si="21"/>
        <v>1304.9662857237151</v>
      </c>
      <c r="G288" s="7">
        <f t="shared" si="22"/>
        <v>1405.3483077024623</v>
      </c>
      <c r="H288" s="8">
        <f t="shared" si="23"/>
        <v>1505.7303296812097</v>
      </c>
      <c r="I288" s="9">
        <f t="shared" si="24"/>
        <v>1606.1123516599571</v>
      </c>
    </row>
    <row r="289" spans="1:9" x14ac:dyDescent="0.35">
      <c r="A289" s="18" t="s">
        <v>2903</v>
      </c>
      <c r="B289" s="18" t="s">
        <v>2308</v>
      </c>
      <c r="C289" s="20">
        <v>45716</v>
      </c>
      <c r="D289" s="11">
        <v>1120.8875265923698</v>
      </c>
      <c r="E289" s="27">
        <f t="shared" si="20"/>
        <v>1247.7719946026259</v>
      </c>
      <c r="F289" s="6">
        <f t="shared" si="21"/>
        <v>1622.1035929834138</v>
      </c>
      <c r="G289" s="7">
        <f t="shared" si="22"/>
        <v>1746.8807924436762</v>
      </c>
      <c r="H289" s="8">
        <f t="shared" si="23"/>
        <v>1871.6579919039389</v>
      </c>
      <c r="I289" s="9">
        <f t="shared" si="24"/>
        <v>1996.4351913642015</v>
      </c>
    </row>
    <row r="290" spans="1:9" x14ac:dyDescent="0.35">
      <c r="A290" s="18" t="s">
        <v>5038</v>
      </c>
      <c r="B290" s="18" t="s">
        <v>5037</v>
      </c>
      <c r="C290" s="20">
        <v>45716</v>
      </c>
      <c r="D290" s="11">
        <v>1641.4168464492532</v>
      </c>
      <c r="E290" s="27">
        <f t="shared" si="20"/>
        <v>1827.2252334673087</v>
      </c>
      <c r="F290" s="6">
        <f t="shared" si="21"/>
        <v>2375.3928035075014</v>
      </c>
      <c r="G290" s="7">
        <f t="shared" si="22"/>
        <v>2558.1153268542321</v>
      </c>
      <c r="H290" s="8">
        <f t="shared" si="23"/>
        <v>2740.8378502009632</v>
      </c>
      <c r="I290" s="9">
        <f t="shared" si="24"/>
        <v>2923.5603735476943</v>
      </c>
    </row>
    <row r="291" spans="1:9" x14ac:dyDescent="0.35">
      <c r="C291" s="20">
        <v>45716</v>
      </c>
      <c r="D291" s="11">
        <v>0</v>
      </c>
      <c r="E291" s="27">
        <f t="shared" si="20"/>
        <v>0</v>
      </c>
      <c r="F291" s="6">
        <f t="shared" si="21"/>
        <v>0</v>
      </c>
      <c r="G291" s="7">
        <f t="shared" si="22"/>
        <v>0</v>
      </c>
      <c r="H291" s="8">
        <f t="shared" si="23"/>
        <v>0</v>
      </c>
      <c r="I291" s="9">
        <f t="shared" si="24"/>
        <v>0</v>
      </c>
    </row>
    <row r="292" spans="1:9" x14ac:dyDescent="0.35">
      <c r="A292" s="18" t="s">
        <v>2904</v>
      </c>
      <c r="B292" s="18" t="s">
        <v>2309</v>
      </c>
      <c r="C292" s="20">
        <v>45716</v>
      </c>
      <c r="D292" s="11">
        <v>724.02804075418294</v>
      </c>
      <c r="E292" s="27">
        <f t="shared" si="20"/>
        <v>805.98801496755641</v>
      </c>
      <c r="F292" s="6">
        <f t="shared" si="21"/>
        <v>1047.7844194578233</v>
      </c>
      <c r="G292" s="7">
        <f t="shared" si="22"/>
        <v>1128.383220954579</v>
      </c>
      <c r="H292" s="8">
        <f t="shared" si="23"/>
        <v>1208.9820224513346</v>
      </c>
      <c r="I292" s="9">
        <f t="shared" si="24"/>
        <v>1289.5808239480903</v>
      </c>
    </row>
    <row r="293" spans="1:9" x14ac:dyDescent="0.35">
      <c r="A293" s="18" t="s">
        <v>2905</v>
      </c>
      <c r="B293" s="18" t="s">
        <v>2310</v>
      </c>
      <c r="C293" s="20">
        <v>45716</v>
      </c>
      <c r="D293" s="11">
        <v>934.76042773426025</v>
      </c>
      <c r="E293" s="27">
        <f t="shared" si="20"/>
        <v>1040.5753081537787</v>
      </c>
      <c r="F293" s="6">
        <f t="shared" si="21"/>
        <v>1352.7479005999123</v>
      </c>
      <c r="G293" s="7">
        <f t="shared" si="22"/>
        <v>1456.8054314152901</v>
      </c>
      <c r="H293" s="8">
        <f t="shared" si="23"/>
        <v>1560.862962230668</v>
      </c>
      <c r="I293" s="9">
        <f t="shared" si="24"/>
        <v>1664.920493046046</v>
      </c>
    </row>
    <row r="294" spans="1:9" x14ac:dyDescent="0.35">
      <c r="A294" s="18" t="s">
        <v>2906</v>
      </c>
      <c r="B294" s="18" t="s">
        <v>2311</v>
      </c>
      <c r="C294" s="20">
        <v>45716</v>
      </c>
      <c r="D294" s="11">
        <v>1251.0393988797573</v>
      </c>
      <c r="E294" s="27">
        <f t="shared" si="20"/>
        <v>1392.6570588329459</v>
      </c>
      <c r="F294" s="6">
        <f t="shared" si="21"/>
        <v>1810.4541764828298</v>
      </c>
      <c r="G294" s="7">
        <f t="shared" si="22"/>
        <v>1949.7198823661242</v>
      </c>
      <c r="H294" s="8">
        <f t="shared" si="23"/>
        <v>2088.9855882494189</v>
      </c>
      <c r="I294" s="9">
        <f t="shared" si="24"/>
        <v>2228.2512941327136</v>
      </c>
    </row>
    <row r="295" spans="1:9" x14ac:dyDescent="0.35">
      <c r="A295" s="18" t="s">
        <v>5040</v>
      </c>
      <c r="B295" s="18" t="s">
        <v>5039</v>
      </c>
      <c r="C295" s="20">
        <v>45716</v>
      </c>
      <c r="D295" s="11">
        <v>1965.897580302073</v>
      </c>
      <c r="E295" s="27">
        <f t="shared" si="20"/>
        <v>2188.4371863922674</v>
      </c>
      <c r="F295" s="6">
        <f t="shared" si="21"/>
        <v>2844.9683423099477</v>
      </c>
      <c r="G295" s="7">
        <f t="shared" si="22"/>
        <v>3063.8120609491743</v>
      </c>
      <c r="H295" s="8">
        <f t="shared" si="23"/>
        <v>3282.6557795884009</v>
      </c>
      <c r="I295" s="9">
        <f t="shared" si="24"/>
        <v>3501.499498227628</v>
      </c>
    </row>
    <row r="296" spans="1:9" x14ac:dyDescent="0.35">
      <c r="C296" s="20">
        <v>45716</v>
      </c>
      <c r="D296" s="11">
        <v>0</v>
      </c>
      <c r="E296" s="27">
        <f t="shared" si="20"/>
        <v>0</v>
      </c>
      <c r="F296" s="6">
        <f t="shared" si="21"/>
        <v>0</v>
      </c>
      <c r="G296" s="7">
        <f t="shared" si="22"/>
        <v>0</v>
      </c>
      <c r="H296" s="8">
        <f t="shared" si="23"/>
        <v>0</v>
      </c>
      <c r="I296" s="9">
        <f t="shared" si="24"/>
        <v>0</v>
      </c>
    </row>
    <row r="297" spans="1:9" x14ac:dyDescent="0.35">
      <c r="A297" s="18" t="s">
        <v>2907</v>
      </c>
      <c r="B297" s="18" t="s">
        <v>2312</v>
      </c>
      <c r="C297" s="20">
        <v>45716</v>
      </c>
      <c r="D297" s="11">
        <v>711.6171622879707</v>
      </c>
      <c r="E297" s="27">
        <f t="shared" si="20"/>
        <v>792.17222505896905</v>
      </c>
      <c r="F297" s="6">
        <f t="shared" si="21"/>
        <v>1029.8238925766598</v>
      </c>
      <c r="G297" s="7">
        <f t="shared" si="22"/>
        <v>1109.0411150825566</v>
      </c>
      <c r="H297" s="8">
        <f t="shared" si="23"/>
        <v>1188.2583375884535</v>
      </c>
      <c r="I297" s="9">
        <f t="shared" si="24"/>
        <v>1267.4755600943506</v>
      </c>
    </row>
    <row r="298" spans="1:9" x14ac:dyDescent="0.35">
      <c r="A298" s="18" t="s">
        <v>2908</v>
      </c>
      <c r="B298" s="18" t="s">
        <v>2313</v>
      </c>
      <c r="C298" s="20">
        <v>45716</v>
      </c>
      <c r="D298" s="11">
        <v>813.7784147787404</v>
      </c>
      <c r="E298" s="27">
        <f t="shared" si="20"/>
        <v>905.89813133169389</v>
      </c>
      <c r="F298" s="6">
        <f t="shared" si="21"/>
        <v>1177.6675707312022</v>
      </c>
      <c r="G298" s="7">
        <f t="shared" si="22"/>
        <v>1268.2573838643714</v>
      </c>
      <c r="H298" s="8">
        <f t="shared" si="23"/>
        <v>1358.8471969975408</v>
      </c>
      <c r="I298" s="9">
        <f t="shared" si="24"/>
        <v>1449.4370101307104</v>
      </c>
    </row>
    <row r="299" spans="1:9" x14ac:dyDescent="0.35">
      <c r="A299" s="18" t="s">
        <v>2909</v>
      </c>
      <c r="B299" s="18" t="s">
        <v>2314</v>
      </c>
      <c r="C299" s="20">
        <v>45716</v>
      </c>
      <c r="D299" s="11">
        <v>978.12033307333832</v>
      </c>
      <c r="E299" s="27">
        <f t="shared" si="20"/>
        <v>1088.8435547772401</v>
      </c>
      <c r="F299" s="6">
        <f t="shared" si="21"/>
        <v>1415.4966212104123</v>
      </c>
      <c r="G299" s="7">
        <f t="shared" si="22"/>
        <v>1524.3809766881361</v>
      </c>
      <c r="H299" s="8">
        <f t="shared" si="23"/>
        <v>1633.2653321658602</v>
      </c>
      <c r="I299" s="9">
        <f t="shared" si="24"/>
        <v>1742.1496876435842</v>
      </c>
    </row>
    <row r="300" spans="1:9" x14ac:dyDescent="0.35">
      <c r="C300" s="20">
        <v>45716</v>
      </c>
      <c r="D300" s="11">
        <v>0</v>
      </c>
      <c r="E300" s="27">
        <f t="shared" si="20"/>
        <v>0</v>
      </c>
      <c r="F300" s="6">
        <f t="shared" si="21"/>
        <v>0</v>
      </c>
      <c r="G300" s="7">
        <f t="shared" si="22"/>
        <v>0</v>
      </c>
      <c r="H300" s="8">
        <f t="shared" si="23"/>
        <v>0</v>
      </c>
      <c r="I300" s="9">
        <f t="shared" si="24"/>
        <v>0</v>
      </c>
    </row>
    <row r="301" spans="1:9" x14ac:dyDescent="0.35">
      <c r="A301" s="18" t="s">
        <v>2910</v>
      </c>
      <c r="B301" s="18" t="s">
        <v>2315</v>
      </c>
      <c r="C301" s="20">
        <v>45716</v>
      </c>
      <c r="D301" s="11">
        <v>2550.1228476359856</v>
      </c>
      <c r="E301" s="27">
        <f t="shared" si="20"/>
        <v>2838.7967539883789</v>
      </c>
      <c r="F301" s="6">
        <f t="shared" si="21"/>
        <v>3690.4357801848928</v>
      </c>
      <c r="G301" s="7">
        <f t="shared" si="22"/>
        <v>3974.31545558373</v>
      </c>
      <c r="H301" s="8">
        <f t="shared" si="23"/>
        <v>4258.1951309825681</v>
      </c>
      <c r="I301" s="9">
        <f t="shared" si="24"/>
        <v>4542.0748063814062</v>
      </c>
    </row>
    <row r="302" spans="1:9" x14ac:dyDescent="0.35">
      <c r="A302" s="18" t="s">
        <v>2911</v>
      </c>
      <c r="B302" s="18" t="s">
        <v>2316</v>
      </c>
      <c r="C302" s="20">
        <v>45716</v>
      </c>
      <c r="D302" s="11">
        <v>3125.454854673615</v>
      </c>
      <c r="E302" s="27">
        <f t="shared" si="20"/>
        <v>3479.2563442226683</v>
      </c>
      <c r="F302" s="6">
        <f t="shared" si="21"/>
        <v>4523.0332474894685</v>
      </c>
      <c r="G302" s="7">
        <f t="shared" si="22"/>
        <v>4870.9588819117353</v>
      </c>
      <c r="H302" s="8">
        <f t="shared" si="23"/>
        <v>5218.8845163340029</v>
      </c>
      <c r="I302" s="9">
        <f t="shared" si="24"/>
        <v>5566.8101507562696</v>
      </c>
    </row>
    <row r="303" spans="1:9" x14ac:dyDescent="0.35">
      <c r="A303" s="18" t="s">
        <v>2912</v>
      </c>
      <c r="B303" s="18" t="s">
        <v>2317</v>
      </c>
      <c r="C303" s="20">
        <v>45716</v>
      </c>
      <c r="D303" s="11">
        <v>4168.0287760605825</v>
      </c>
      <c r="E303" s="27">
        <f t="shared" si="20"/>
        <v>4639.8496335106411</v>
      </c>
      <c r="F303" s="6">
        <f t="shared" si="21"/>
        <v>6031.8045235638338</v>
      </c>
      <c r="G303" s="7">
        <f t="shared" si="22"/>
        <v>6495.7894869148968</v>
      </c>
      <c r="H303" s="8">
        <f t="shared" si="23"/>
        <v>6959.7744502659616</v>
      </c>
      <c r="I303" s="9">
        <f t="shared" si="24"/>
        <v>7423.7594136170264</v>
      </c>
    </row>
    <row r="304" spans="1:9" x14ac:dyDescent="0.35">
      <c r="C304" s="20">
        <v>45716</v>
      </c>
      <c r="D304" s="11">
        <v>0</v>
      </c>
      <c r="E304" s="27">
        <f t="shared" si="20"/>
        <v>0</v>
      </c>
      <c r="F304" s="6">
        <f t="shared" si="21"/>
        <v>0</v>
      </c>
      <c r="G304" s="7">
        <f t="shared" si="22"/>
        <v>0</v>
      </c>
      <c r="H304" s="8">
        <f t="shared" si="23"/>
        <v>0</v>
      </c>
      <c r="I304" s="9">
        <f t="shared" si="24"/>
        <v>0</v>
      </c>
    </row>
    <row r="305" spans="1:9" x14ac:dyDescent="0.35">
      <c r="A305" s="18" t="s">
        <v>2913</v>
      </c>
      <c r="B305" s="18" t="s">
        <v>2318</v>
      </c>
      <c r="C305" s="20">
        <v>45716</v>
      </c>
      <c r="D305" s="11">
        <v>3464.823832267879</v>
      </c>
      <c r="E305" s="27">
        <f t="shared" si="20"/>
        <v>3857.041890080603</v>
      </c>
      <c r="F305" s="6">
        <f t="shared" si="21"/>
        <v>5014.1544571047843</v>
      </c>
      <c r="G305" s="7">
        <f t="shared" si="22"/>
        <v>5399.8586461128443</v>
      </c>
      <c r="H305" s="8">
        <f t="shared" si="23"/>
        <v>5785.5628351209043</v>
      </c>
      <c r="I305" s="9">
        <f t="shared" si="24"/>
        <v>6171.2670241289652</v>
      </c>
    </row>
    <row r="306" spans="1:9" x14ac:dyDescent="0.35">
      <c r="A306" s="18" t="s">
        <v>2914</v>
      </c>
      <c r="B306" s="18" t="s">
        <v>2319</v>
      </c>
      <c r="C306" s="20">
        <v>45716</v>
      </c>
      <c r="D306" s="11">
        <v>4027.9554166272405</v>
      </c>
      <c r="E306" s="27">
        <f t="shared" si="20"/>
        <v>4483.9199697894446</v>
      </c>
      <c r="F306" s="6">
        <f t="shared" si="21"/>
        <v>5829.0959607262785</v>
      </c>
      <c r="G306" s="7">
        <f t="shared" si="22"/>
        <v>6277.4879577052225</v>
      </c>
      <c r="H306" s="8">
        <f t="shared" si="23"/>
        <v>6725.8799546841674</v>
      </c>
      <c r="I306" s="9">
        <f t="shared" si="24"/>
        <v>7174.2719516631114</v>
      </c>
    </row>
    <row r="307" spans="1:9" x14ac:dyDescent="0.35">
      <c r="A307" s="18" t="s">
        <v>2915</v>
      </c>
      <c r="B307" s="18" t="s">
        <v>2320</v>
      </c>
      <c r="C307" s="20">
        <v>45716</v>
      </c>
      <c r="D307" s="11">
        <v>5189.2384284599284</v>
      </c>
      <c r="E307" s="27">
        <f t="shared" si="20"/>
        <v>5776.660218561592</v>
      </c>
      <c r="F307" s="6">
        <f t="shared" si="21"/>
        <v>7509.6582841300697</v>
      </c>
      <c r="G307" s="7">
        <f t="shared" si="22"/>
        <v>8087.324305986228</v>
      </c>
      <c r="H307" s="8">
        <f t="shared" si="23"/>
        <v>8664.9903278423881</v>
      </c>
      <c r="I307" s="9">
        <f t="shared" si="24"/>
        <v>9242.6563496985473</v>
      </c>
    </row>
    <row r="308" spans="1:9" x14ac:dyDescent="0.35">
      <c r="A308" s="18" t="s">
        <v>5036</v>
      </c>
      <c r="B308" s="18" t="s">
        <v>5035</v>
      </c>
      <c r="C308" s="20">
        <v>45716</v>
      </c>
      <c r="D308" s="11">
        <v>7702.4773960030125</v>
      </c>
      <c r="E308" s="27">
        <f t="shared" si="20"/>
        <v>8574.3978372305537</v>
      </c>
      <c r="F308" s="6">
        <f t="shared" si="21"/>
        <v>11146.71718839972</v>
      </c>
      <c r="G308" s="7">
        <f t="shared" si="22"/>
        <v>12004.156972122775</v>
      </c>
      <c r="H308" s="8">
        <f t="shared" si="23"/>
        <v>12861.596755845831</v>
      </c>
      <c r="I308" s="9">
        <f t="shared" si="24"/>
        <v>13719.036539568886</v>
      </c>
    </row>
    <row r="309" spans="1:9" x14ac:dyDescent="0.35">
      <c r="C309" s="20">
        <v>45716</v>
      </c>
      <c r="D309" s="11">
        <v>0</v>
      </c>
      <c r="E309" s="27">
        <f t="shared" si="20"/>
        <v>0</v>
      </c>
      <c r="F309" s="6">
        <f t="shared" si="21"/>
        <v>0</v>
      </c>
      <c r="G309" s="7">
        <f t="shared" si="22"/>
        <v>0</v>
      </c>
      <c r="H309" s="8">
        <f t="shared" si="23"/>
        <v>0</v>
      </c>
      <c r="I309" s="9">
        <f t="shared" si="24"/>
        <v>0</v>
      </c>
    </row>
    <row r="310" spans="1:9" x14ac:dyDescent="0.35">
      <c r="A310" s="18" t="s">
        <v>2916</v>
      </c>
      <c r="B310" s="18" t="s">
        <v>1183</v>
      </c>
      <c r="C310" s="20">
        <v>45716</v>
      </c>
      <c r="D310" s="11">
        <v>1387.5951401431694</v>
      </c>
      <c r="E310" s="27">
        <f t="shared" si="20"/>
        <v>1544.6709100073763</v>
      </c>
      <c r="F310" s="6">
        <f t="shared" si="21"/>
        <v>2008.0721830095893</v>
      </c>
      <c r="G310" s="7">
        <f t="shared" si="22"/>
        <v>2162.5392740103266</v>
      </c>
      <c r="H310" s="8">
        <f t="shared" si="23"/>
        <v>2317.0063650110642</v>
      </c>
      <c r="I310" s="9">
        <f t="shared" si="24"/>
        <v>2471.4734560118022</v>
      </c>
    </row>
    <row r="311" spans="1:9" x14ac:dyDescent="0.35">
      <c r="A311" s="18" t="s">
        <v>2917</v>
      </c>
      <c r="B311" s="18" t="s">
        <v>1184</v>
      </c>
      <c r="C311" s="20">
        <v>45716</v>
      </c>
      <c r="D311" s="11">
        <v>1974.0993430093956</v>
      </c>
      <c r="E311" s="27">
        <f t="shared" si="20"/>
        <v>2197.5673886380591</v>
      </c>
      <c r="F311" s="6">
        <f t="shared" si="21"/>
        <v>2856.837605229477</v>
      </c>
      <c r="G311" s="7">
        <f t="shared" si="22"/>
        <v>3076.5943440932824</v>
      </c>
      <c r="H311" s="8">
        <f t="shared" si="23"/>
        <v>3296.3510829570887</v>
      </c>
      <c r="I311" s="9">
        <f t="shared" si="24"/>
        <v>3516.107821820895</v>
      </c>
    </row>
    <row r="312" spans="1:9" x14ac:dyDescent="0.35">
      <c r="A312" s="18" t="s">
        <v>2918</v>
      </c>
      <c r="B312" s="18" t="s">
        <v>1185</v>
      </c>
      <c r="C312" s="20">
        <v>45716</v>
      </c>
      <c r="D312" s="11">
        <v>3248.1565920677672</v>
      </c>
      <c r="E312" s="27">
        <f t="shared" si="20"/>
        <v>3615.8479182898382</v>
      </c>
      <c r="F312" s="6">
        <f t="shared" si="21"/>
        <v>4700.6022937767893</v>
      </c>
      <c r="G312" s="7">
        <f t="shared" si="22"/>
        <v>5062.1870856057731</v>
      </c>
      <c r="H312" s="8">
        <f t="shared" si="23"/>
        <v>5423.7718774347577</v>
      </c>
      <c r="I312" s="9">
        <f t="shared" si="24"/>
        <v>5785.3566692637414</v>
      </c>
    </row>
    <row r="313" spans="1:9" x14ac:dyDescent="0.35">
      <c r="A313" s="18" t="s">
        <v>5031</v>
      </c>
      <c r="B313" s="18" t="s">
        <v>5032</v>
      </c>
      <c r="C313" s="20">
        <v>45716</v>
      </c>
      <c r="D313" s="11">
        <v>4827.603228501137</v>
      </c>
      <c r="E313" s="27">
        <f t="shared" si="20"/>
        <v>5374.0879139674662</v>
      </c>
      <c r="F313" s="6">
        <f t="shared" si="21"/>
        <v>6986.314288157706</v>
      </c>
      <c r="G313" s="7">
        <f t="shared" si="22"/>
        <v>7523.7230795544519</v>
      </c>
      <c r="H313" s="8">
        <f t="shared" si="23"/>
        <v>8061.1318709511997</v>
      </c>
      <c r="I313" s="9">
        <f t="shared" si="24"/>
        <v>8598.5406623479466</v>
      </c>
    </row>
    <row r="314" spans="1:9" x14ac:dyDescent="0.35">
      <c r="C314" s="20">
        <v>45716</v>
      </c>
      <c r="D314" s="11">
        <v>0</v>
      </c>
      <c r="E314" s="27">
        <f t="shared" si="20"/>
        <v>0</v>
      </c>
      <c r="F314" s="6">
        <f t="shared" si="21"/>
        <v>0</v>
      </c>
      <c r="G314" s="7">
        <f t="shared" si="22"/>
        <v>0</v>
      </c>
      <c r="H314" s="8">
        <f t="shared" si="23"/>
        <v>0</v>
      </c>
      <c r="I314" s="9">
        <f t="shared" si="24"/>
        <v>0</v>
      </c>
    </row>
    <row r="315" spans="1:9" x14ac:dyDescent="0.35">
      <c r="A315" s="18" t="s">
        <v>2919</v>
      </c>
      <c r="B315" s="18" t="s">
        <v>1186</v>
      </c>
      <c r="C315" s="20">
        <v>45716</v>
      </c>
      <c r="D315" s="11">
        <v>2228.1254920809115</v>
      </c>
      <c r="E315" s="27">
        <f t="shared" si="20"/>
        <v>2480.3492977844708</v>
      </c>
      <c r="F315" s="6">
        <f t="shared" si="21"/>
        <v>3224.4540871198119</v>
      </c>
      <c r="G315" s="7">
        <f t="shared" si="22"/>
        <v>3472.4890168982588</v>
      </c>
      <c r="H315" s="8">
        <f t="shared" si="23"/>
        <v>3720.5239466767061</v>
      </c>
      <c r="I315" s="9">
        <f t="shared" si="24"/>
        <v>3968.5588764551535</v>
      </c>
    </row>
    <row r="316" spans="1:9" x14ac:dyDescent="0.35">
      <c r="A316" s="18" t="s">
        <v>2920</v>
      </c>
      <c r="B316" s="18" t="s">
        <v>1187</v>
      </c>
      <c r="C316" s="20">
        <v>45716</v>
      </c>
      <c r="D316" s="11">
        <v>2688.6809253961269</v>
      </c>
      <c r="E316" s="27">
        <f t="shared" si="20"/>
        <v>2993.0396061509682</v>
      </c>
      <c r="F316" s="6">
        <f t="shared" si="21"/>
        <v>3890.9514879962589</v>
      </c>
      <c r="G316" s="7">
        <f t="shared" si="22"/>
        <v>4190.255448611355</v>
      </c>
      <c r="H316" s="8">
        <f t="shared" si="23"/>
        <v>4489.5594092264528</v>
      </c>
      <c r="I316" s="9">
        <f t="shared" si="24"/>
        <v>4788.8633698415497</v>
      </c>
    </row>
    <row r="317" spans="1:9" x14ac:dyDescent="0.35">
      <c r="A317" s="18" t="s">
        <v>2921</v>
      </c>
      <c r="B317" s="18" t="s">
        <v>1188</v>
      </c>
      <c r="C317" s="20">
        <v>45716</v>
      </c>
      <c r="D317" s="11">
        <v>2688.6809253961269</v>
      </c>
      <c r="E317" s="27">
        <f t="shared" si="20"/>
        <v>2993.0396061509682</v>
      </c>
      <c r="F317" s="6">
        <f t="shared" si="21"/>
        <v>3890.9514879962589</v>
      </c>
      <c r="G317" s="7">
        <f t="shared" si="22"/>
        <v>4190.255448611355</v>
      </c>
      <c r="H317" s="8">
        <f t="shared" si="23"/>
        <v>4489.5594092264528</v>
      </c>
      <c r="I317" s="9">
        <f t="shared" si="24"/>
        <v>4788.8633698415497</v>
      </c>
    </row>
    <row r="318" spans="1:9" x14ac:dyDescent="0.35">
      <c r="C318" s="20">
        <v>45716</v>
      </c>
      <c r="D318" s="11">
        <v>0</v>
      </c>
      <c r="E318" s="27">
        <f t="shared" si="20"/>
        <v>0</v>
      </c>
      <c r="F318" s="6">
        <f t="shared" si="21"/>
        <v>0</v>
      </c>
      <c r="G318" s="7">
        <f t="shared" si="22"/>
        <v>0</v>
      </c>
      <c r="H318" s="8">
        <f t="shared" si="23"/>
        <v>0</v>
      </c>
      <c r="I318" s="9">
        <f t="shared" si="24"/>
        <v>0</v>
      </c>
    </row>
    <row r="319" spans="1:9" x14ac:dyDescent="0.35">
      <c r="A319" s="18" t="s">
        <v>2922</v>
      </c>
      <c r="B319" s="18" t="s">
        <v>1189</v>
      </c>
      <c r="C319" s="20">
        <v>45716</v>
      </c>
      <c r="D319" s="11">
        <v>740.15496713324376</v>
      </c>
      <c r="E319" s="27">
        <f t="shared" si="20"/>
        <v>823.9405094127269</v>
      </c>
      <c r="F319" s="6">
        <f t="shared" si="21"/>
        <v>1071.122662236545</v>
      </c>
      <c r="G319" s="7">
        <f t="shared" si="22"/>
        <v>1153.5167131778176</v>
      </c>
      <c r="H319" s="8">
        <f t="shared" si="23"/>
        <v>1235.9107641190903</v>
      </c>
      <c r="I319" s="9">
        <f t="shared" si="24"/>
        <v>1318.3048150603631</v>
      </c>
    </row>
    <row r="320" spans="1:9" x14ac:dyDescent="0.35">
      <c r="A320" s="18" t="s">
        <v>2923</v>
      </c>
      <c r="B320" s="18" t="s">
        <v>1190</v>
      </c>
      <c r="C320" s="20">
        <v>45716</v>
      </c>
      <c r="D320" s="11">
        <v>1109.7213437862863</v>
      </c>
      <c r="E320" s="27">
        <f t="shared" si="20"/>
        <v>1235.3417999028939</v>
      </c>
      <c r="F320" s="6">
        <f t="shared" si="21"/>
        <v>1605.9443398737621</v>
      </c>
      <c r="G320" s="7">
        <f t="shared" si="22"/>
        <v>1729.4785198640513</v>
      </c>
      <c r="H320" s="8">
        <f t="shared" si="23"/>
        <v>1853.0126998543408</v>
      </c>
      <c r="I320" s="9">
        <f t="shared" si="24"/>
        <v>1976.5468798446302</v>
      </c>
    </row>
    <row r="321" spans="1:9" x14ac:dyDescent="0.35">
      <c r="A321" s="18" t="s">
        <v>2924</v>
      </c>
      <c r="B321" s="18" t="s">
        <v>1191</v>
      </c>
      <c r="C321" s="20">
        <v>45716</v>
      </c>
      <c r="D321" s="11">
        <v>1156.8033100607258</v>
      </c>
      <c r="E321" s="27">
        <f t="shared" si="20"/>
        <v>1287.7534447595999</v>
      </c>
      <c r="F321" s="6">
        <f t="shared" si="21"/>
        <v>1674.0794781874799</v>
      </c>
      <c r="G321" s="7">
        <f t="shared" si="22"/>
        <v>1802.8548226634398</v>
      </c>
      <c r="H321" s="8">
        <f t="shared" si="23"/>
        <v>1931.6301671393999</v>
      </c>
      <c r="I321" s="9">
        <f t="shared" si="24"/>
        <v>2060.40551161536</v>
      </c>
    </row>
    <row r="322" spans="1:9" x14ac:dyDescent="0.35">
      <c r="A322" s="18" t="s">
        <v>4652</v>
      </c>
      <c r="B322" s="18" t="s">
        <v>4653</v>
      </c>
      <c r="C322" s="20">
        <v>45716</v>
      </c>
      <c r="D322" s="11">
        <v>1707.5961722240279</v>
      </c>
      <c r="E322" s="27">
        <f t="shared" si="20"/>
        <v>1900.8960589197879</v>
      </c>
      <c r="F322" s="6">
        <f t="shared" si="21"/>
        <v>2471.1648765957243</v>
      </c>
      <c r="G322" s="7">
        <f t="shared" si="22"/>
        <v>2661.2544824877032</v>
      </c>
      <c r="H322" s="8">
        <f t="shared" si="23"/>
        <v>2851.344088379682</v>
      </c>
      <c r="I322" s="9">
        <f t="shared" si="24"/>
        <v>3041.4336942716609</v>
      </c>
    </row>
    <row r="323" spans="1:9" x14ac:dyDescent="0.35">
      <c r="A323" s="18" t="s">
        <v>4713</v>
      </c>
      <c r="B323" s="18" t="s">
        <v>4715</v>
      </c>
      <c r="C323" s="20">
        <v>45716</v>
      </c>
      <c r="D323" s="11">
        <v>1758.9533975049967</v>
      </c>
      <c r="E323" s="27">
        <f t="shared" si="20"/>
        <v>1958.0669221025626</v>
      </c>
      <c r="F323" s="6">
        <f t="shared" si="21"/>
        <v>2545.4869987333313</v>
      </c>
      <c r="G323" s="7">
        <f t="shared" si="22"/>
        <v>2741.2936909435875</v>
      </c>
      <c r="H323" s="8">
        <f t="shared" si="23"/>
        <v>2937.1003831538437</v>
      </c>
      <c r="I323" s="9">
        <f t="shared" si="24"/>
        <v>3132.9070753641004</v>
      </c>
    </row>
    <row r="324" spans="1:9" x14ac:dyDescent="0.35">
      <c r="A324" s="18" t="s">
        <v>4714</v>
      </c>
      <c r="B324" s="18" t="s">
        <v>4716</v>
      </c>
      <c r="C324" s="20">
        <v>45716</v>
      </c>
      <c r="D324" s="11">
        <v>2007.0507063789901</v>
      </c>
      <c r="E324" s="27">
        <f t="shared" si="20"/>
        <v>2234.2488463410918</v>
      </c>
      <c r="F324" s="6">
        <f t="shared" si="21"/>
        <v>2904.5235002434197</v>
      </c>
      <c r="G324" s="7">
        <f t="shared" si="22"/>
        <v>3127.9483848775285</v>
      </c>
      <c r="H324" s="8">
        <f t="shared" si="23"/>
        <v>3351.3732695116378</v>
      </c>
      <c r="I324" s="9">
        <f t="shared" si="24"/>
        <v>3574.798154145747</v>
      </c>
    </row>
    <row r="325" spans="1:9" x14ac:dyDescent="0.35">
      <c r="C325" s="20">
        <v>45716</v>
      </c>
      <c r="D325" s="11">
        <v>0</v>
      </c>
      <c r="E325" s="27">
        <f t="shared" si="20"/>
        <v>0</v>
      </c>
      <c r="F325" s="6">
        <f t="shared" si="21"/>
        <v>0</v>
      </c>
      <c r="G325" s="7">
        <f t="shared" si="22"/>
        <v>0</v>
      </c>
      <c r="H325" s="8">
        <f t="shared" si="23"/>
        <v>0</v>
      </c>
      <c r="I325" s="9">
        <f t="shared" si="24"/>
        <v>0</v>
      </c>
    </row>
    <row r="326" spans="1:9" x14ac:dyDescent="0.35">
      <c r="A326" s="18" t="s">
        <v>2925</v>
      </c>
      <c r="B326" s="18" t="s">
        <v>1192</v>
      </c>
      <c r="C326" s="20">
        <v>45716</v>
      </c>
      <c r="D326" s="11">
        <v>2423.4885935185284</v>
      </c>
      <c r="E326" s="27">
        <f t="shared" si="20"/>
        <v>2697.8275023048259</v>
      </c>
      <c r="F326" s="6">
        <f t="shared" si="21"/>
        <v>3507.1757529962738</v>
      </c>
      <c r="G326" s="7">
        <f t="shared" si="22"/>
        <v>3776.958503226756</v>
      </c>
      <c r="H326" s="8">
        <f t="shared" si="23"/>
        <v>4046.7412534572386</v>
      </c>
      <c r="I326" s="9">
        <f t="shared" si="24"/>
        <v>4316.5240036877212</v>
      </c>
    </row>
    <row r="327" spans="1:9" x14ac:dyDescent="0.35">
      <c r="A327" s="18" t="s">
        <v>2926</v>
      </c>
      <c r="B327" s="18" t="s">
        <v>1193</v>
      </c>
      <c r="C327" s="20">
        <v>45716</v>
      </c>
      <c r="D327" s="11">
        <v>3846.7890613421087</v>
      </c>
      <c r="E327" s="27">
        <f t="shared" si="20"/>
        <v>4282.2455830860354</v>
      </c>
      <c r="F327" s="6">
        <f t="shared" si="21"/>
        <v>5566.9192580118461</v>
      </c>
      <c r="G327" s="7">
        <f t="shared" si="22"/>
        <v>5995.1438163204493</v>
      </c>
      <c r="H327" s="8">
        <f t="shared" si="23"/>
        <v>6423.3683746290535</v>
      </c>
      <c r="I327" s="9">
        <f t="shared" si="24"/>
        <v>6851.5929329376568</v>
      </c>
    </row>
    <row r="328" spans="1:9" x14ac:dyDescent="0.35">
      <c r="A328" s="18" t="s">
        <v>2927</v>
      </c>
      <c r="B328" s="18" t="s">
        <v>1194</v>
      </c>
      <c r="C328" s="20">
        <v>45716</v>
      </c>
      <c r="D328" s="11">
        <v>4684.5594359465213</v>
      </c>
      <c r="E328" s="27">
        <f t="shared" si="20"/>
        <v>5214.8515640956675</v>
      </c>
      <c r="F328" s="6">
        <f t="shared" si="21"/>
        <v>6779.3070333243677</v>
      </c>
      <c r="G328" s="7">
        <f t="shared" si="22"/>
        <v>7300.7921897339338</v>
      </c>
      <c r="H328" s="8">
        <f t="shared" si="23"/>
        <v>7822.2773461435008</v>
      </c>
      <c r="I328" s="9">
        <f t="shared" si="24"/>
        <v>8343.7625025530688</v>
      </c>
    </row>
    <row r="329" spans="1:9" x14ac:dyDescent="0.35">
      <c r="C329" s="20">
        <v>45716</v>
      </c>
      <c r="D329" s="11">
        <v>0</v>
      </c>
      <c r="E329" s="27">
        <f t="shared" si="20"/>
        <v>0</v>
      </c>
      <c r="F329" s="6">
        <f t="shared" si="21"/>
        <v>0</v>
      </c>
      <c r="G329" s="7">
        <f t="shared" si="22"/>
        <v>0</v>
      </c>
      <c r="H329" s="8">
        <f t="shared" si="23"/>
        <v>0</v>
      </c>
      <c r="I329" s="9">
        <f t="shared" si="24"/>
        <v>0</v>
      </c>
    </row>
    <row r="330" spans="1:9" x14ac:dyDescent="0.35">
      <c r="A330" s="18" t="s">
        <v>2928</v>
      </c>
      <c r="B330" s="18" t="s">
        <v>1195</v>
      </c>
      <c r="C330" s="20">
        <v>45716</v>
      </c>
      <c r="D330" s="11">
        <v>1270.1307453575791</v>
      </c>
      <c r="E330" s="27">
        <f t="shared" si="20"/>
        <v>1413.9095457320573</v>
      </c>
      <c r="F330" s="6">
        <f t="shared" si="21"/>
        <v>1838.0824094516745</v>
      </c>
      <c r="G330" s="7">
        <f t="shared" si="22"/>
        <v>1979.4733640248801</v>
      </c>
      <c r="H330" s="8">
        <f t="shared" si="23"/>
        <v>2120.8643185980859</v>
      </c>
      <c r="I330" s="9">
        <f t="shared" si="24"/>
        <v>2262.2552731712917</v>
      </c>
    </row>
    <row r="331" spans="1:9" x14ac:dyDescent="0.35">
      <c r="A331" s="18" t="s">
        <v>2929</v>
      </c>
      <c r="B331" s="18" t="s">
        <v>1196</v>
      </c>
      <c r="C331" s="20">
        <v>45716</v>
      </c>
      <c r="D331" s="11">
        <v>1659.7565651129885</v>
      </c>
      <c r="E331" s="27">
        <f t="shared" si="20"/>
        <v>1847.6410082837788</v>
      </c>
      <c r="F331" s="6">
        <f t="shared" si="21"/>
        <v>2401.9333107689126</v>
      </c>
      <c r="G331" s="7">
        <f t="shared" si="22"/>
        <v>2586.6974115972903</v>
      </c>
      <c r="H331" s="8">
        <f t="shared" si="23"/>
        <v>2771.4615124256679</v>
      </c>
      <c r="I331" s="9">
        <f t="shared" si="24"/>
        <v>2956.225613254046</v>
      </c>
    </row>
    <row r="332" spans="1:9" x14ac:dyDescent="0.35">
      <c r="A332" s="18" t="s">
        <v>2930</v>
      </c>
      <c r="B332" s="18" t="s">
        <v>1197</v>
      </c>
      <c r="C332" s="20">
        <v>45716</v>
      </c>
      <c r="D332" s="11">
        <v>1659.7565651129885</v>
      </c>
      <c r="E332" s="27">
        <f t="shared" ref="E332:E395" si="25">D332*1.21*0.92</f>
        <v>1847.6410082837788</v>
      </c>
      <c r="F332" s="6">
        <f t="shared" ref="F332:F395" si="26">E332*1.3</f>
        <v>2401.9333107689126</v>
      </c>
      <c r="G332" s="7">
        <f t="shared" ref="G332:G395" si="27">E332*1.4</f>
        <v>2586.6974115972903</v>
      </c>
      <c r="H332" s="8">
        <f t="shared" ref="H332:H395" si="28">E332*1.5</f>
        <v>2771.4615124256679</v>
      </c>
      <c r="I332" s="9">
        <f t="shared" ref="I332:I395" si="29">E332*1.6</f>
        <v>2956.225613254046</v>
      </c>
    </row>
    <row r="333" spans="1:9" x14ac:dyDescent="0.35">
      <c r="C333" s="20">
        <v>45716</v>
      </c>
      <c r="D333" s="11">
        <v>0</v>
      </c>
      <c r="E333" s="27">
        <f t="shared" si="25"/>
        <v>0</v>
      </c>
      <c r="F333" s="6">
        <f t="shared" si="26"/>
        <v>0</v>
      </c>
      <c r="G333" s="7">
        <f t="shared" si="27"/>
        <v>0</v>
      </c>
      <c r="H333" s="8">
        <f t="shared" si="28"/>
        <v>0</v>
      </c>
      <c r="I333" s="9">
        <f t="shared" si="29"/>
        <v>0</v>
      </c>
    </row>
    <row r="334" spans="1:9" x14ac:dyDescent="0.35">
      <c r="A334" s="18" t="s">
        <v>2931</v>
      </c>
      <c r="B334" s="18" t="s">
        <v>1198</v>
      </c>
      <c r="C334" s="20">
        <v>45716</v>
      </c>
      <c r="D334" s="11">
        <v>1017.0005366404553</v>
      </c>
      <c r="E334" s="27">
        <f t="shared" si="25"/>
        <v>1132.1249973881547</v>
      </c>
      <c r="F334" s="6">
        <f t="shared" si="26"/>
        <v>1471.7624966046012</v>
      </c>
      <c r="G334" s="7">
        <f t="shared" si="27"/>
        <v>1584.9749963434165</v>
      </c>
      <c r="H334" s="8">
        <f t="shared" si="28"/>
        <v>1698.187496082232</v>
      </c>
      <c r="I334" s="9">
        <f t="shared" si="29"/>
        <v>1811.3999958210477</v>
      </c>
    </row>
    <row r="335" spans="1:9" x14ac:dyDescent="0.35">
      <c r="A335" s="18" t="s">
        <v>2932</v>
      </c>
      <c r="B335" s="18" t="s">
        <v>1199</v>
      </c>
      <c r="C335" s="20">
        <v>45716</v>
      </c>
      <c r="D335" s="11">
        <v>1156.8033100607258</v>
      </c>
      <c r="E335" s="27">
        <f t="shared" si="25"/>
        <v>1287.7534447595999</v>
      </c>
      <c r="F335" s="6">
        <f t="shared" si="26"/>
        <v>1674.0794781874799</v>
      </c>
      <c r="G335" s="7">
        <f t="shared" si="27"/>
        <v>1802.8548226634398</v>
      </c>
      <c r="H335" s="8">
        <f t="shared" si="28"/>
        <v>1931.6301671393999</v>
      </c>
      <c r="I335" s="9">
        <f t="shared" si="29"/>
        <v>2060.40551161536</v>
      </c>
    </row>
    <row r="336" spans="1:9" x14ac:dyDescent="0.35">
      <c r="A336" s="18" t="s">
        <v>2933</v>
      </c>
      <c r="B336" s="18" t="s">
        <v>1200</v>
      </c>
      <c r="C336" s="20">
        <v>45716</v>
      </c>
      <c r="D336" s="11">
        <v>1608.7420821152423</v>
      </c>
      <c r="E336" s="27">
        <f t="shared" si="25"/>
        <v>1790.8516858106877</v>
      </c>
      <c r="F336" s="6">
        <f t="shared" si="26"/>
        <v>2328.1071915538942</v>
      </c>
      <c r="G336" s="7">
        <f t="shared" si="27"/>
        <v>2507.1923601349627</v>
      </c>
      <c r="H336" s="8">
        <f t="shared" si="28"/>
        <v>2686.2775287160316</v>
      </c>
      <c r="I336" s="9">
        <f t="shared" si="29"/>
        <v>2865.3626972971006</v>
      </c>
    </row>
    <row r="337" spans="1:9" ht="18" x14ac:dyDescent="0.4">
      <c r="A337" s="21"/>
      <c r="B337" s="19" t="s">
        <v>4455</v>
      </c>
      <c r="D337" s="11">
        <v>0</v>
      </c>
      <c r="E337" s="27">
        <f t="shared" si="25"/>
        <v>0</v>
      </c>
      <c r="F337" s="6">
        <f t="shared" si="26"/>
        <v>0</v>
      </c>
      <c r="G337" s="7">
        <f t="shared" si="27"/>
        <v>0</v>
      </c>
      <c r="H337" s="8">
        <f t="shared" si="28"/>
        <v>0</v>
      </c>
      <c r="I337" s="9">
        <f t="shared" si="29"/>
        <v>0</v>
      </c>
    </row>
    <row r="338" spans="1:9" x14ac:dyDescent="0.35">
      <c r="A338" s="18" t="s">
        <v>4456</v>
      </c>
      <c r="B338" s="18" t="s">
        <v>4462</v>
      </c>
      <c r="C338" s="20">
        <v>45716</v>
      </c>
      <c r="D338" s="11">
        <v>1768.6369317796612</v>
      </c>
      <c r="E338" s="27">
        <f t="shared" si="25"/>
        <v>1968.8466324571189</v>
      </c>
      <c r="F338" s="6">
        <f t="shared" si="26"/>
        <v>2559.5006221942544</v>
      </c>
      <c r="G338" s="7">
        <f t="shared" si="27"/>
        <v>2756.3852854399661</v>
      </c>
      <c r="H338" s="8">
        <f t="shared" si="28"/>
        <v>2953.2699486856782</v>
      </c>
      <c r="I338" s="9">
        <f t="shared" si="29"/>
        <v>3150.1546119313903</v>
      </c>
    </row>
    <row r="339" spans="1:9" x14ac:dyDescent="0.35">
      <c r="A339" s="18" t="s">
        <v>4457</v>
      </c>
      <c r="B339" s="18" t="s">
        <v>4463</v>
      </c>
      <c r="C339" s="20">
        <v>45716</v>
      </c>
      <c r="D339" s="11">
        <v>2673.9811514039361</v>
      </c>
      <c r="E339" s="27">
        <f t="shared" si="25"/>
        <v>2976.6758177428615</v>
      </c>
      <c r="F339" s="6">
        <f t="shared" si="26"/>
        <v>3869.67856306572</v>
      </c>
      <c r="G339" s="7">
        <f t="shared" si="27"/>
        <v>4167.3461448400058</v>
      </c>
      <c r="H339" s="8">
        <f t="shared" si="28"/>
        <v>4465.013726614292</v>
      </c>
      <c r="I339" s="9">
        <f t="shared" si="29"/>
        <v>4762.6813083885781</v>
      </c>
    </row>
    <row r="340" spans="1:9" x14ac:dyDescent="0.35">
      <c r="A340" s="18" t="s">
        <v>4458</v>
      </c>
      <c r="B340" s="18" t="s">
        <v>4464</v>
      </c>
      <c r="C340" s="20">
        <v>45716</v>
      </c>
      <c r="D340" s="11">
        <v>4687.5062737377029</v>
      </c>
      <c r="E340" s="27">
        <f t="shared" si="25"/>
        <v>5218.1319839248108</v>
      </c>
      <c r="F340" s="6">
        <f t="shared" si="26"/>
        <v>6783.571579102254</v>
      </c>
      <c r="G340" s="7">
        <f t="shared" si="27"/>
        <v>7305.3847774947344</v>
      </c>
      <c r="H340" s="8">
        <f t="shared" si="28"/>
        <v>7827.1979758872167</v>
      </c>
      <c r="I340" s="9">
        <f t="shared" si="29"/>
        <v>8349.011174279698</v>
      </c>
    </row>
    <row r="341" spans="1:9" x14ac:dyDescent="0.35">
      <c r="C341" s="20">
        <v>45716</v>
      </c>
      <c r="D341" s="11">
        <v>0</v>
      </c>
      <c r="E341" s="27">
        <f t="shared" si="25"/>
        <v>0</v>
      </c>
      <c r="F341" s="6">
        <f t="shared" si="26"/>
        <v>0</v>
      </c>
      <c r="G341" s="7">
        <f t="shared" si="27"/>
        <v>0</v>
      </c>
      <c r="H341" s="8">
        <f t="shared" si="28"/>
        <v>0</v>
      </c>
      <c r="I341" s="9">
        <f t="shared" si="29"/>
        <v>0</v>
      </c>
    </row>
    <row r="342" spans="1:9" x14ac:dyDescent="0.35">
      <c r="A342" s="18" t="s">
        <v>4898</v>
      </c>
      <c r="B342" s="18" t="s">
        <v>4465</v>
      </c>
      <c r="C342" s="20">
        <v>45716</v>
      </c>
      <c r="D342" s="11">
        <v>1714.2173338787484</v>
      </c>
      <c r="E342" s="27">
        <f t="shared" si="25"/>
        <v>1908.2667360738228</v>
      </c>
      <c r="F342" s="6">
        <f t="shared" si="26"/>
        <v>2480.7467568959696</v>
      </c>
      <c r="G342" s="7">
        <f t="shared" si="27"/>
        <v>2671.5734305033516</v>
      </c>
      <c r="H342" s="8">
        <f t="shared" si="28"/>
        <v>2862.400104110734</v>
      </c>
      <c r="I342" s="9">
        <f t="shared" si="29"/>
        <v>3053.2267777181169</v>
      </c>
    </row>
    <row r="343" spans="1:9" x14ac:dyDescent="0.35">
      <c r="A343" s="18" t="s">
        <v>4899</v>
      </c>
      <c r="B343" s="18" t="s">
        <v>4466</v>
      </c>
      <c r="C343" s="20">
        <v>45716</v>
      </c>
      <c r="D343" s="11">
        <v>2923.8165781308526</v>
      </c>
      <c r="E343" s="27">
        <f t="shared" si="25"/>
        <v>3254.7926147752651</v>
      </c>
      <c r="F343" s="6">
        <f t="shared" si="26"/>
        <v>4231.230399207845</v>
      </c>
      <c r="G343" s="7">
        <f t="shared" si="27"/>
        <v>4556.7096606853711</v>
      </c>
      <c r="H343" s="8">
        <f t="shared" si="28"/>
        <v>4882.1889221628971</v>
      </c>
      <c r="I343" s="9">
        <f t="shared" si="29"/>
        <v>5207.6681836404241</v>
      </c>
    </row>
    <row r="344" spans="1:9" x14ac:dyDescent="0.35">
      <c r="A344" s="18" t="s">
        <v>4900</v>
      </c>
      <c r="B344" s="18" t="s">
        <v>4467</v>
      </c>
      <c r="C344" s="20">
        <v>45716</v>
      </c>
      <c r="D344" s="11">
        <v>4143.5823927180827</v>
      </c>
      <c r="E344" s="27">
        <f t="shared" si="25"/>
        <v>4612.6359195737705</v>
      </c>
      <c r="F344" s="6">
        <f t="shared" si="26"/>
        <v>5996.4266954459017</v>
      </c>
      <c r="G344" s="7">
        <f t="shared" si="27"/>
        <v>6457.6902874032785</v>
      </c>
      <c r="H344" s="8">
        <f t="shared" si="28"/>
        <v>6918.9538793606553</v>
      </c>
      <c r="I344" s="9">
        <f t="shared" si="29"/>
        <v>7380.2174713180329</v>
      </c>
    </row>
    <row r="345" spans="1:9" x14ac:dyDescent="0.35">
      <c r="C345" s="20">
        <v>45716</v>
      </c>
      <c r="D345" s="11">
        <v>0</v>
      </c>
      <c r="E345" s="27">
        <f t="shared" si="25"/>
        <v>0</v>
      </c>
      <c r="F345" s="6">
        <f t="shared" si="26"/>
        <v>0</v>
      </c>
      <c r="G345" s="7">
        <f t="shared" si="27"/>
        <v>0</v>
      </c>
      <c r="H345" s="8">
        <f t="shared" si="28"/>
        <v>0</v>
      </c>
      <c r="I345" s="9">
        <f t="shared" si="29"/>
        <v>0</v>
      </c>
    </row>
    <row r="346" spans="1:9" x14ac:dyDescent="0.35">
      <c r="A346" s="18" t="s">
        <v>4901</v>
      </c>
      <c r="B346" s="18" t="s">
        <v>4468</v>
      </c>
      <c r="C346" s="20">
        <v>45716</v>
      </c>
      <c r="D346" s="11">
        <v>1895.9045823252052</v>
      </c>
      <c r="E346" s="27">
        <f t="shared" si="25"/>
        <v>2110.5209810444185</v>
      </c>
      <c r="F346" s="6">
        <f t="shared" si="26"/>
        <v>2743.6772753577443</v>
      </c>
      <c r="G346" s="7">
        <f t="shared" si="27"/>
        <v>2954.7293734621858</v>
      </c>
      <c r="H346" s="8">
        <f t="shared" si="28"/>
        <v>3165.7814715666277</v>
      </c>
      <c r="I346" s="9">
        <f t="shared" si="29"/>
        <v>3376.8335696710697</v>
      </c>
    </row>
    <row r="347" spans="1:9" x14ac:dyDescent="0.35">
      <c r="A347" s="18" t="s">
        <v>4902</v>
      </c>
      <c r="B347" s="18" t="s">
        <v>4469</v>
      </c>
      <c r="C347" s="20">
        <v>45716</v>
      </c>
      <c r="D347" s="11">
        <v>2540.7768174510193</v>
      </c>
      <c r="E347" s="27">
        <f t="shared" si="25"/>
        <v>2828.3927531864747</v>
      </c>
      <c r="F347" s="6">
        <f t="shared" si="26"/>
        <v>3676.9105791424172</v>
      </c>
      <c r="G347" s="7">
        <f t="shared" si="27"/>
        <v>3959.7498544610644</v>
      </c>
      <c r="H347" s="8">
        <f t="shared" si="28"/>
        <v>4242.5891297797116</v>
      </c>
      <c r="I347" s="9">
        <f t="shared" si="29"/>
        <v>4525.4284050983597</v>
      </c>
    </row>
    <row r="348" spans="1:9" x14ac:dyDescent="0.35">
      <c r="A348" s="18" t="s">
        <v>4903</v>
      </c>
      <c r="B348" s="18" t="s">
        <v>4470</v>
      </c>
      <c r="C348" s="20">
        <v>45716</v>
      </c>
      <c r="D348" s="11">
        <v>3504.1273812014929</v>
      </c>
      <c r="E348" s="27">
        <f t="shared" si="25"/>
        <v>3900.7946007535024</v>
      </c>
      <c r="F348" s="6">
        <f t="shared" si="26"/>
        <v>5071.032980979553</v>
      </c>
      <c r="G348" s="7">
        <f t="shared" si="27"/>
        <v>5461.1124410549028</v>
      </c>
      <c r="H348" s="8">
        <f t="shared" si="28"/>
        <v>5851.1919011302534</v>
      </c>
      <c r="I348" s="9">
        <f t="shared" si="29"/>
        <v>6241.2713612056041</v>
      </c>
    </row>
    <row r="349" spans="1:9" x14ac:dyDescent="0.35">
      <c r="C349" s="20">
        <v>45716</v>
      </c>
      <c r="D349" s="11">
        <v>0</v>
      </c>
      <c r="E349" s="27">
        <f t="shared" si="25"/>
        <v>0</v>
      </c>
      <c r="F349" s="6">
        <f t="shared" si="26"/>
        <v>0</v>
      </c>
      <c r="G349" s="7">
        <f t="shared" si="27"/>
        <v>0</v>
      </c>
      <c r="H349" s="8">
        <f t="shared" si="28"/>
        <v>0</v>
      </c>
      <c r="I349" s="9">
        <f t="shared" si="29"/>
        <v>0</v>
      </c>
    </row>
    <row r="350" spans="1:9" x14ac:dyDescent="0.35">
      <c r="A350" s="18" t="s">
        <v>4904</v>
      </c>
      <c r="B350" s="18" t="s">
        <v>4471</v>
      </c>
      <c r="C350" s="20">
        <v>45716</v>
      </c>
      <c r="D350" s="11">
        <v>2418.2090412696466</v>
      </c>
      <c r="E350" s="27">
        <f t="shared" si="25"/>
        <v>2691.9503047413705</v>
      </c>
      <c r="F350" s="6">
        <f t="shared" si="26"/>
        <v>3499.5353961637816</v>
      </c>
      <c r="G350" s="7">
        <f t="shared" si="27"/>
        <v>3768.7304266379183</v>
      </c>
      <c r="H350" s="8">
        <f t="shared" si="28"/>
        <v>4037.9254571120555</v>
      </c>
      <c r="I350" s="9">
        <f t="shared" si="29"/>
        <v>4307.1204875861931</v>
      </c>
    </row>
    <row r="351" spans="1:9" x14ac:dyDescent="0.35">
      <c r="A351" s="18" t="s">
        <v>4905</v>
      </c>
      <c r="B351" s="18" t="s">
        <v>4472</v>
      </c>
      <c r="C351" s="20">
        <v>45716</v>
      </c>
      <c r="D351" s="11">
        <v>3504.1273812014929</v>
      </c>
      <c r="E351" s="27">
        <f t="shared" si="25"/>
        <v>3900.7946007535024</v>
      </c>
      <c r="F351" s="6">
        <f t="shared" si="26"/>
        <v>5071.032980979553</v>
      </c>
      <c r="G351" s="7">
        <f t="shared" si="27"/>
        <v>5461.1124410549028</v>
      </c>
      <c r="H351" s="8">
        <f t="shared" si="28"/>
        <v>5851.1919011302534</v>
      </c>
      <c r="I351" s="9">
        <f t="shared" si="29"/>
        <v>6241.2713612056041</v>
      </c>
    </row>
    <row r="352" spans="1:9" x14ac:dyDescent="0.35">
      <c r="A352" s="18" t="s">
        <v>4906</v>
      </c>
      <c r="B352" s="18" t="s">
        <v>4473</v>
      </c>
      <c r="C352" s="20">
        <v>45716</v>
      </c>
      <c r="D352" s="11">
        <v>4604.8874296517724</v>
      </c>
      <c r="E352" s="27">
        <f t="shared" si="25"/>
        <v>5126.1606866883531</v>
      </c>
      <c r="F352" s="6">
        <f t="shared" si="26"/>
        <v>6664.0088926948592</v>
      </c>
      <c r="G352" s="7">
        <f t="shared" si="27"/>
        <v>7176.6249613636937</v>
      </c>
      <c r="H352" s="8">
        <f t="shared" si="28"/>
        <v>7689.24103003253</v>
      </c>
      <c r="I352" s="9">
        <f t="shared" si="29"/>
        <v>8201.8570987013645</v>
      </c>
    </row>
    <row r="353" spans="1:9" x14ac:dyDescent="0.35">
      <c r="C353" s="20">
        <v>45716</v>
      </c>
      <c r="D353" s="11">
        <v>0</v>
      </c>
      <c r="E353" s="27">
        <f t="shared" si="25"/>
        <v>0</v>
      </c>
      <c r="F353" s="6">
        <f t="shared" si="26"/>
        <v>0</v>
      </c>
      <c r="G353" s="7">
        <f t="shared" si="27"/>
        <v>0</v>
      </c>
      <c r="H353" s="8">
        <f t="shared" si="28"/>
        <v>0</v>
      </c>
      <c r="I353" s="9">
        <f t="shared" si="29"/>
        <v>0</v>
      </c>
    </row>
    <row r="354" spans="1:9" x14ac:dyDescent="0.35">
      <c r="A354" s="18" t="s">
        <v>4907</v>
      </c>
      <c r="B354" s="18" t="s">
        <v>4474</v>
      </c>
      <c r="C354" s="20">
        <v>45716</v>
      </c>
      <c r="D354" s="11">
        <v>897.92336536505923</v>
      </c>
      <c r="E354" s="27">
        <f t="shared" si="25"/>
        <v>999.56829032438407</v>
      </c>
      <c r="F354" s="6">
        <f t="shared" si="26"/>
        <v>1299.4387774216993</v>
      </c>
      <c r="G354" s="7">
        <f t="shared" si="27"/>
        <v>1399.3956064541376</v>
      </c>
      <c r="H354" s="8">
        <f t="shared" si="28"/>
        <v>1499.352435486576</v>
      </c>
      <c r="I354" s="9">
        <f t="shared" si="29"/>
        <v>1599.3092645190145</v>
      </c>
    </row>
    <row r="355" spans="1:9" x14ac:dyDescent="0.35">
      <c r="A355" s="18" t="s">
        <v>4908</v>
      </c>
      <c r="B355" s="18" t="s">
        <v>4475</v>
      </c>
      <c r="C355" s="20">
        <v>45716</v>
      </c>
      <c r="D355" s="11">
        <v>1362.7162038005808</v>
      </c>
      <c r="E355" s="27">
        <f t="shared" si="25"/>
        <v>1516.9756780708067</v>
      </c>
      <c r="F355" s="6">
        <f t="shared" si="26"/>
        <v>1972.0683814920487</v>
      </c>
      <c r="G355" s="7">
        <f t="shared" si="27"/>
        <v>2123.7659492991293</v>
      </c>
      <c r="H355" s="8">
        <f t="shared" si="28"/>
        <v>2275.46351710621</v>
      </c>
      <c r="I355" s="9">
        <f t="shared" si="29"/>
        <v>2427.1610849132908</v>
      </c>
    </row>
    <row r="356" spans="1:9" x14ac:dyDescent="0.35">
      <c r="A356" s="18" t="s">
        <v>4909</v>
      </c>
      <c r="B356" s="18" t="s">
        <v>4476</v>
      </c>
      <c r="C356" s="20">
        <v>45716</v>
      </c>
      <c r="D356" s="11">
        <v>2458.5290160780496</v>
      </c>
      <c r="E356" s="27">
        <f t="shared" si="25"/>
        <v>2736.8345006980849</v>
      </c>
      <c r="F356" s="6">
        <f t="shared" si="26"/>
        <v>3557.8848509075106</v>
      </c>
      <c r="G356" s="7">
        <f t="shared" si="27"/>
        <v>3831.5683009773184</v>
      </c>
      <c r="H356" s="8">
        <f t="shared" si="28"/>
        <v>4105.2517510471271</v>
      </c>
      <c r="I356" s="9">
        <f t="shared" si="29"/>
        <v>4378.9352011169358</v>
      </c>
    </row>
    <row r="357" spans="1:9" x14ac:dyDescent="0.35">
      <c r="C357" s="20">
        <v>45716</v>
      </c>
      <c r="D357" s="11">
        <v>0</v>
      </c>
      <c r="E357" s="27">
        <f t="shared" si="25"/>
        <v>0</v>
      </c>
      <c r="F357" s="6">
        <f t="shared" si="26"/>
        <v>0</v>
      </c>
      <c r="G357" s="7">
        <f t="shared" si="27"/>
        <v>0</v>
      </c>
      <c r="H357" s="8">
        <f t="shared" si="28"/>
        <v>0</v>
      </c>
      <c r="I357" s="9">
        <f t="shared" si="29"/>
        <v>0</v>
      </c>
    </row>
    <row r="358" spans="1:9" x14ac:dyDescent="0.35">
      <c r="A358" s="18" t="s">
        <v>4910</v>
      </c>
      <c r="B358" s="18" t="s">
        <v>4459</v>
      </c>
      <c r="C358" s="20">
        <v>45716</v>
      </c>
      <c r="D358" s="11">
        <v>1243.2404502272138</v>
      </c>
      <c r="E358" s="27">
        <f t="shared" si="25"/>
        <v>1383.9752691929343</v>
      </c>
      <c r="F358" s="6">
        <f t="shared" si="26"/>
        <v>1799.1678499508146</v>
      </c>
      <c r="G358" s="7">
        <f t="shared" si="27"/>
        <v>1937.5653768701079</v>
      </c>
      <c r="H358" s="8">
        <f t="shared" si="28"/>
        <v>2075.9629037894015</v>
      </c>
      <c r="I358" s="9">
        <f t="shared" si="29"/>
        <v>2214.3604307086948</v>
      </c>
    </row>
    <row r="359" spans="1:9" x14ac:dyDescent="0.35">
      <c r="A359" s="18" t="s">
        <v>4911</v>
      </c>
      <c r="B359" s="18" t="s">
        <v>4460</v>
      </c>
      <c r="C359" s="20">
        <v>45716</v>
      </c>
      <c r="D359" s="11">
        <v>1838.5166427206061</v>
      </c>
      <c r="E359" s="27">
        <f t="shared" si="25"/>
        <v>2046.6367266765785</v>
      </c>
      <c r="F359" s="6">
        <f t="shared" si="26"/>
        <v>2660.6277446795521</v>
      </c>
      <c r="G359" s="7">
        <f t="shared" si="27"/>
        <v>2865.29141734721</v>
      </c>
      <c r="H359" s="8">
        <f t="shared" si="28"/>
        <v>3069.9550900148679</v>
      </c>
      <c r="I359" s="9">
        <f t="shared" si="29"/>
        <v>3274.6187626825258</v>
      </c>
    </row>
    <row r="360" spans="1:9" x14ac:dyDescent="0.35">
      <c r="A360" s="18" t="s">
        <v>4912</v>
      </c>
      <c r="B360" s="18" t="s">
        <v>4461</v>
      </c>
      <c r="C360" s="20">
        <v>45716</v>
      </c>
      <c r="D360" s="11">
        <v>1838.5166427206061</v>
      </c>
      <c r="E360" s="27">
        <f t="shared" si="25"/>
        <v>2046.6367266765785</v>
      </c>
      <c r="F360" s="6">
        <f t="shared" si="26"/>
        <v>2660.6277446795521</v>
      </c>
      <c r="G360" s="7">
        <f t="shared" si="27"/>
        <v>2865.29141734721</v>
      </c>
      <c r="H360" s="8">
        <f t="shared" si="28"/>
        <v>3069.9550900148679</v>
      </c>
      <c r="I360" s="9">
        <f t="shared" si="29"/>
        <v>3274.6187626825258</v>
      </c>
    </row>
    <row r="361" spans="1:9" x14ac:dyDescent="0.35">
      <c r="C361" s="20">
        <v>45716</v>
      </c>
      <c r="D361" s="11">
        <v>0</v>
      </c>
      <c r="E361" s="27">
        <f t="shared" si="25"/>
        <v>0</v>
      </c>
      <c r="F361" s="6">
        <f t="shared" si="26"/>
        <v>0</v>
      </c>
      <c r="G361" s="7">
        <f t="shared" si="27"/>
        <v>0</v>
      </c>
      <c r="H361" s="8">
        <f t="shared" si="28"/>
        <v>0</v>
      </c>
      <c r="I361" s="9">
        <f t="shared" si="29"/>
        <v>0</v>
      </c>
    </row>
    <row r="362" spans="1:9" x14ac:dyDescent="0.35">
      <c r="A362" s="18" t="s">
        <v>4913</v>
      </c>
      <c r="B362" s="18" t="s">
        <v>4477</v>
      </c>
      <c r="C362" s="20">
        <v>45716</v>
      </c>
      <c r="D362" s="11">
        <v>1198.9626864805621</v>
      </c>
      <c r="E362" s="27">
        <f t="shared" si="25"/>
        <v>1334.6852625901618</v>
      </c>
      <c r="F362" s="6">
        <f t="shared" si="26"/>
        <v>1735.0908413672103</v>
      </c>
      <c r="G362" s="7">
        <f t="shared" si="27"/>
        <v>1868.5593676262263</v>
      </c>
      <c r="H362" s="8">
        <f t="shared" si="28"/>
        <v>2002.0278938852425</v>
      </c>
      <c r="I362" s="9">
        <f t="shared" si="29"/>
        <v>2135.496420144259</v>
      </c>
    </row>
    <row r="363" spans="1:9" x14ac:dyDescent="0.35">
      <c r="A363" s="18" t="s">
        <v>4914</v>
      </c>
      <c r="B363" s="18" t="s">
        <v>4478</v>
      </c>
      <c r="C363" s="20">
        <v>45716</v>
      </c>
      <c r="D363" s="11">
        <v>1544.5271331513575</v>
      </c>
      <c r="E363" s="27">
        <f t="shared" si="25"/>
        <v>1719.3676046240912</v>
      </c>
      <c r="F363" s="6">
        <f t="shared" si="26"/>
        <v>2235.1778860113186</v>
      </c>
      <c r="G363" s="7">
        <f t="shared" si="27"/>
        <v>2407.1146464737276</v>
      </c>
      <c r="H363" s="8">
        <f t="shared" si="28"/>
        <v>2579.051406936137</v>
      </c>
      <c r="I363" s="9">
        <f t="shared" si="29"/>
        <v>2750.988167398546</v>
      </c>
    </row>
    <row r="364" spans="1:9" x14ac:dyDescent="0.35">
      <c r="A364" s="18" t="s">
        <v>4915</v>
      </c>
      <c r="B364" s="18" t="s">
        <v>4479</v>
      </c>
      <c r="C364" s="20">
        <v>45716</v>
      </c>
      <c r="D364" s="11">
        <v>2573.7996189045284</v>
      </c>
      <c r="E364" s="27">
        <f t="shared" si="25"/>
        <v>2865.1537357645211</v>
      </c>
      <c r="F364" s="6">
        <f t="shared" si="26"/>
        <v>3724.6998564938776</v>
      </c>
      <c r="G364" s="7">
        <f t="shared" si="27"/>
        <v>4011.2152300703292</v>
      </c>
      <c r="H364" s="8">
        <f t="shared" si="28"/>
        <v>4297.7306036467817</v>
      </c>
      <c r="I364" s="9">
        <f t="shared" si="29"/>
        <v>4584.2459772232341</v>
      </c>
    </row>
    <row r="365" spans="1:9" x14ac:dyDescent="0.35">
      <c r="C365" s="20">
        <v>45716</v>
      </c>
      <c r="D365" s="11">
        <v>0</v>
      </c>
      <c r="E365" s="27">
        <f t="shared" si="25"/>
        <v>0</v>
      </c>
      <c r="F365" s="6">
        <f t="shared" si="26"/>
        <v>0</v>
      </c>
      <c r="G365" s="7">
        <f t="shared" si="27"/>
        <v>0</v>
      </c>
      <c r="H365" s="8">
        <f t="shared" si="28"/>
        <v>0</v>
      </c>
      <c r="I365" s="9">
        <f t="shared" si="29"/>
        <v>0</v>
      </c>
    </row>
    <row r="366" spans="1:9" x14ac:dyDescent="0.35">
      <c r="A366" s="18" t="s">
        <v>4916</v>
      </c>
      <c r="B366" s="18" t="s">
        <v>4480</v>
      </c>
      <c r="C366" s="20">
        <v>45716</v>
      </c>
      <c r="D366" s="11">
        <v>1455.4768820407733</v>
      </c>
      <c r="E366" s="27">
        <f t="shared" si="25"/>
        <v>1620.2368650877888</v>
      </c>
      <c r="F366" s="6">
        <f t="shared" si="26"/>
        <v>2106.3079246141256</v>
      </c>
      <c r="G366" s="7">
        <f t="shared" si="27"/>
        <v>2268.3316111229042</v>
      </c>
      <c r="H366" s="8">
        <f t="shared" si="28"/>
        <v>2430.3552976316832</v>
      </c>
      <c r="I366" s="9">
        <f t="shared" si="29"/>
        <v>2592.3789841404623</v>
      </c>
    </row>
    <row r="367" spans="1:9" x14ac:dyDescent="0.35">
      <c r="A367" s="18" t="s">
        <v>4917</v>
      </c>
      <c r="B367" s="18" t="s">
        <v>4481</v>
      </c>
      <c r="C367" s="20">
        <v>45716</v>
      </c>
      <c r="D367" s="11">
        <v>2069.5525719908437</v>
      </c>
      <c r="E367" s="27">
        <f t="shared" si="25"/>
        <v>2303.8259231402071</v>
      </c>
      <c r="F367" s="6">
        <f t="shared" si="26"/>
        <v>2994.9737000822693</v>
      </c>
      <c r="G367" s="7">
        <f t="shared" si="27"/>
        <v>3225.35629239629</v>
      </c>
      <c r="H367" s="8">
        <f t="shared" si="28"/>
        <v>3455.7388847103107</v>
      </c>
      <c r="I367" s="9">
        <f t="shared" si="29"/>
        <v>3686.1214770243314</v>
      </c>
    </row>
    <row r="368" spans="1:9" x14ac:dyDescent="0.35">
      <c r="A368" s="18" t="s">
        <v>4918</v>
      </c>
      <c r="B368" s="18" t="s">
        <v>4482</v>
      </c>
      <c r="C368" s="20">
        <v>45716</v>
      </c>
      <c r="D368" s="11">
        <v>3147.9263767591574</v>
      </c>
      <c r="E368" s="27">
        <f t="shared" si="25"/>
        <v>3504.2716426082943</v>
      </c>
      <c r="F368" s="6">
        <f t="shared" si="26"/>
        <v>4555.5531353907827</v>
      </c>
      <c r="G368" s="7">
        <f t="shared" si="27"/>
        <v>4905.9802996516119</v>
      </c>
      <c r="H368" s="8">
        <f t="shared" si="28"/>
        <v>5256.407463912441</v>
      </c>
      <c r="I368" s="9">
        <f t="shared" si="29"/>
        <v>5606.8346281732711</v>
      </c>
    </row>
    <row r="369" spans="1:9" x14ac:dyDescent="0.35">
      <c r="C369" s="20">
        <v>45716</v>
      </c>
      <c r="D369" s="11">
        <v>0</v>
      </c>
      <c r="E369" s="27">
        <f t="shared" si="25"/>
        <v>0</v>
      </c>
      <c r="F369" s="6">
        <f t="shared" si="26"/>
        <v>0</v>
      </c>
      <c r="G369" s="7">
        <f t="shared" si="27"/>
        <v>0</v>
      </c>
      <c r="H369" s="8">
        <f t="shared" si="28"/>
        <v>0</v>
      </c>
      <c r="I369" s="9">
        <f t="shared" si="29"/>
        <v>0</v>
      </c>
    </row>
    <row r="370" spans="1:9" x14ac:dyDescent="0.35">
      <c r="A370" s="18" t="s">
        <v>4919</v>
      </c>
      <c r="B370" s="18" t="s">
        <v>4483</v>
      </c>
      <c r="C370" s="20">
        <v>45716</v>
      </c>
      <c r="D370" s="11">
        <v>1535.1273844230182</v>
      </c>
      <c r="E370" s="27">
        <f t="shared" si="25"/>
        <v>1708.9038043397038</v>
      </c>
      <c r="F370" s="6">
        <f t="shared" si="26"/>
        <v>2221.5749456416152</v>
      </c>
      <c r="G370" s="7">
        <f t="shared" si="27"/>
        <v>2392.4653260755854</v>
      </c>
      <c r="H370" s="8">
        <f t="shared" si="28"/>
        <v>2563.3557065095556</v>
      </c>
      <c r="I370" s="9">
        <f t="shared" si="29"/>
        <v>2734.2460869435263</v>
      </c>
    </row>
    <row r="371" spans="1:9" x14ac:dyDescent="0.35">
      <c r="A371" s="18" t="s">
        <v>4920</v>
      </c>
      <c r="B371" s="18" t="s">
        <v>4484</v>
      </c>
      <c r="C371" s="20">
        <v>45716</v>
      </c>
      <c r="D371" s="11">
        <v>1816.1303990386398</v>
      </c>
      <c r="E371" s="27">
        <f t="shared" si="25"/>
        <v>2021.716360209814</v>
      </c>
      <c r="F371" s="6">
        <f t="shared" si="26"/>
        <v>2628.2312682727584</v>
      </c>
      <c r="G371" s="7">
        <f t="shared" si="27"/>
        <v>2830.4029042937395</v>
      </c>
      <c r="H371" s="8">
        <f t="shared" si="28"/>
        <v>3032.5745403147212</v>
      </c>
      <c r="I371" s="9">
        <f t="shared" si="29"/>
        <v>3234.7461763357023</v>
      </c>
    </row>
    <row r="372" spans="1:9" x14ac:dyDescent="0.35">
      <c r="A372" s="18" t="s">
        <v>4921</v>
      </c>
      <c r="B372" s="18" t="s">
        <v>4485</v>
      </c>
      <c r="C372" s="20">
        <v>45716</v>
      </c>
      <c r="D372" s="11">
        <v>1816.1303990386398</v>
      </c>
      <c r="E372" s="27">
        <f t="shared" si="25"/>
        <v>2021.716360209814</v>
      </c>
      <c r="F372" s="6">
        <f t="shared" si="26"/>
        <v>2628.2312682727584</v>
      </c>
      <c r="G372" s="7">
        <f t="shared" si="27"/>
        <v>2830.4029042937395</v>
      </c>
      <c r="H372" s="8">
        <f t="shared" si="28"/>
        <v>3032.5745403147212</v>
      </c>
      <c r="I372" s="9">
        <f t="shared" si="29"/>
        <v>3234.7461763357023</v>
      </c>
    </row>
    <row r="373" spans="1:9" x14ac:dyDescent="0.35">
      <c r="C373" s="20">
        <v>45716</v>
      </c>
      <c r="D373" s="11">
        <v>0</v>
      </c>
      <c r="E373" s="27">
        <f t="shared" si="25"/>
        <v>0</v>
      </c>
      <c r="F373" s="6">
        <f t="shared" si="26"/>
        <v>0</v>
      </c>
      <c r="G373" s="7">
        <f t="shared" si="27"/>
        <v>0</v>
      </c>
      <c r="H373" s="8">
        <f t="shared" si="28"/>
        <v>0</v>
      </c>
      <c r="I373" s="9">
        <f t="shared" si="29"/>
        <v>0</v>
      </c>
    </row>
    <row r="374" spans="1:9" x14ac:dyDescent="0.35">
      <c r="A374" s="18" t="s">
        <v>4922</v>
      </c>
      <c r="B374" s="18" t="s">
        <v>4486</v>
      </c>
      <c r="C374" s="20">
        <v>45716</v>
      </c>
      <c r="D374" s="11">
        <v>2107.7699714258042</v>
      </c>
      <c r="E374" s="27">
        <f t="shared" si="25"/>
        <v>2346.3695321912055</v>
      </c>
      <c r="F374" s="6">
        <f t="shared" si="26"/>
        <v>3050.2803918485674</v>
      </c>
      <c r="G374" s="7">
        <f t="shared" si="27"/>
        <v>3284.9173450676876</v>
      </c>
      <c r="H374" s="8">
        <f t="shared" si="28"/>
        <v>3519.5542982868083</v>
      </c>
      <c r="I374" s="9">
        <f t="shared" si="29"/>
        <v>3754.1912515059289</v>
      </c>
    </row>
    <row r="375" spans="1:9" x14ac:dyDescent="0.35">
      <c r="A375" s="18" t="s">
        <v>4923</v>
      </c>
      <c r="B375" s="18" t="s">
        <v>4487</v>
      </c>
      <c r="C375" s="20">
        <v>45716</v>
      </c>
      <c r="D375" s="11">
        <v>3402.4616778502436</v>
      </c>
      <c r="E375" s="27">
        <f t="shared" si="25"/>
        <v>3787.6203397828908</v>
      </c>
      <c r="F375" s="6">
        <f t="shared" si="26"/>
        <v>4923.9064417177578</v>
      </c>
      <c r="G375" s="7">
        <f t="shared" si="27"/>
        <v>5302.6684756960467</v>
      </c>
      <c r="H375" s="8">
        <f t="shared" si="28"/>
        <v>5681.4305096743365</v>
      </c>
      <c r="I375" s="9">
        <f t="shared" si="29"/>
        <v>6060.1925436526253</v>
      </c>
    </row>
    <row r="376" spans="1:9" x14ac:dyDescent="0.35">
      <c r="A376" s="18" t="s">
        <v>4924</v>
      </c>
      <c r="B376" s="18" t="s">
        <v>4488</v>
      </c>
      <c r="C376" s="20">
        <v>45716</v>
      </c>
      <c r="D376" s="11">
        <v>4101.6298299726504</v>
      </c>
      <c r="E376" s="27">
        <f t="shared" si="25"/>
        <v>4565.9343267255554</v>
      </c>
      <c r="F376" s="6">
        <f t="shared" si="26"/>
        <v>5935.714624743222</v>
      </c>
      <c r="G376" s="7">
        <f t="shared" si="27"/>
        <v>6392.3080574157775</v>
      </c>
      <c r="H376" s="8">
        <f t="shared" si="28"/>
        <v>6848.901490088333</v>
      </c>
      <c r="I376" s="9">
        <f t="shared" si="29"/>
        <v>7305.4949227608886</v>
      </c>
    </row>
    <row r="377" spans="1:9" x14ac:dyDescent="0.35">
      <c r="C377" s="20">
        <v>45716</v>
      </c>
      <c r="D377" s="11">
        <v>0</v>
      </c>
      <c r="E377" s="27">
        <f t="shared" si="25"/>
        <v>0</v>
      </c>
      <c r="F377" s="6">
        <f t="shared" si="26"/>
        <v>0</v>
      </c>
      <c r="G377" s="7">
        <f t="shared" si="27"/>
        <v>0</v>
      </c>
      <c r="H377" s="8">
        <f t="shared" si="28"/>
        <v>0</v>
      </c>
      <c r="I377" s="9">
        <f t="shared" si="29"/>
        <v>0</v>
      </c>
    </row>
    <row r="378" spans="1:9" x14ac:dyDescent="0.35">
      <c r="A378" s="18" t="s">
        <v>4925</v>
      </c>
      <c r="B378" s="18" t="s">
        <v>4489</v>
      </c>
      <c r="C378" s="20">
        <v>45716</v>
      </c>
      <c r="D378" s="11">
        <v>1043.1247470370397</v>
      </c>
      <c r="E378" s="27">
        <f t="shared" si="25"/>
        <v>1161.2064684016327</v>
      </c>
      <c r="F378" s="6">
        <f t="shared" si="26"/>
        <v>1509.5684089221227</v>
      </c>
      <c r="G378" s="7">
        <f t="shared" si="27"/>
        <v>1625.6890557622858</v>
      </c>
      <c r="H378" s="8">
        <f t="shared" si="28"/>
        <v>1741.8097026024491</v>
      </c>
      <c r="I378" s="9">
        <f t="shared" si="29"/>
        <v>1857.9303494426124</v>
      </c>
    </row>
    <row r="379" spans="1:9" x14ac:dyDescent="0.35">
      <c r="A379" s="18" t="s">
        <v>4926</v>
      </c>
      <c r="B379" s="18" t="s">
        <v>4490</v>
      </c>
      <c r="C379" s="20">
        <v>45716</v>
      </c>
      <c r="D379" s="11">
        <v>1369.7660153468353</v>
      </c>
      <c r="E379" s="27">
        <f t="shared" si="25"/>
        <v>1524.8235282840972</v>
      </c>
      <c r="F379" s="6">
        <f t="shared" si="26"/>
        <v>1982.2705867693264</v>
      </c>
      <c r="G379" s="7">
        <f t="shared" si="27"/>
        <v>2134.7529395977358</v>
      </c>
      <c r="H379" s="8">
        <f t="shared" si="28"/>
        <v>2287.2352924261459</v>
      </c>
      <c r="I379" s="9">
        <f t="shared" si="29"/>
        <v>2439.7176452545555</v>
      </c>
    </row>
    <row r="380" spans="1:9" x14ac:dyDescent="0.35">
      <c r="A380" s="18" t="s">
        <v>4927</v>
      </c>
      <c r="B380" s="18" t="s">
        <v>4491</v>
      </c>
      <c r="C380" s="20">
        <v>45716</v>
      </c>
      <c r="D380" s="11">
        <v>1369.7660153468353</v>
      </c>
      <c r="E380" s="27">
        <f t="shared" si="25"/>
        <v>1524.8235282840972</v>
      </c>
      <c r="F380" s="6">
        <f t="shared" si="26"/>
        <v>1982.2705867693264</v>
      </c>
      <c r="G380" s="7">
        <f t="shared" si="27"/>
        <v>2134.7529395977358</v>
      </c>
      <c r="H380" s="8">
        <f t="shared" si="28"/>
        <v>2287.2352924261459</v>
      </c>
      <c r="I380" s="9">
        <f t="shared" si="29"/>
        <v>2439.7176452545555</v>
      </c>
    </row>
    <row r="381" spans="1:9" x14ac:dyDescent="0.35">
      <c r="C381" s="20">
        <v>45716</v>
      </c>
      <c r="D381" s="11">
        <v>0</v>
      </c>
      <c r="E381" s="27">
        <f t="shared" si="25"/>
        <v>0</v>
      </c>
      <c r="F381" s="6">
        <f t="shared" si="26"/>
        <v>0</v>
      </c>
      <c r="G381" s="7">
        <f t="shared" si="27"/>
        <v>0</v>
      </c>
      <c r="H381" s="8">
        <f t="shared" si="28"/>
        <v>0</v>
      </c>
      <c r="I381" s="9">
        <f t="shared" si="29"/>
        <v>0</v>
      </c>
    </row>
    <row r="382" spans="1:9" x14ac:dyDescent="0.35">
      <c r="A382" s="18" t="s">
        <v>4928</v>
      </c>
      <c r="B382" s="18" t="s">
        <v>4492</v>
      </c>
      <c r="C382" s="20">
        <v>45716</v>
      </c>
      <c r="D382" s="11">
        <v>744.80640581658201</v>
      </c>
      <c r="E382" s="27">
        <f t="shared" si="25"/>
        <v>829.11849095501918</v>
      </c>
      <c r="F382" s="6">
        <f t="shared" si="26"/>
        <v>1077.8540382415249</v>
      </c>
      <c r="G382" s="7">
        <f t="shared" si="27"/>
        <v>1160.7658873370267</v>
      </c>
      <c r="H382" s="8">
        <f t="shared" si="28"/>
        <v>1243.6777364325287</v>
      </c>
      <c r="I382" s="9">
        <f t="shared" si="29"/>
        <v>1326.5895855280307</v>
      </c>
    </row>
    <row r="383" spans="1:9" x14ac:dyDescent="0.35">
      <c r="A383" s="18" t="s">
        <v>4929</v>
      </c>
      <c r="B383" s="18" t="s">
        <v>4493</v>
      </c>
      <c r="C383" s="20">
        <v>45716</v>
      </c>
      <c r="D383" s="11">
        <v>1084.4341690800049</v>
      </c>
      <c r="E383" s="27">
        <f t="shared" si="25"/>
        <v>1207.1921170198616</v>
      </c>
      <c r="F383" s="6">
        <f t="shared" si="26"/>
        <v>1569.34975212582</v>
      </c>
      <c r="G383" s="7">
        <f t="shared" si="27"/>
        <v>1690.0689638278061</v>
      </c>
      <c r="H383" s="8">
        <f t="shared" si="28"/>
        <v>1810.7881755297924</v>
      </c>
      <c r="I383" s="9">
        <f t="shared" si="29"/>
        <v>1931.5073872317787</v>
      </c>
    </row>
    <row r="384" spans="1:9" x14ac:dyDescent="0.35">
      <c r="A384" s="18" t="s">
        <v>4930</v>
      </c>
      <c r="B384" s="18" t="s">
        <v>4494</v>
      </c>
      <c r="C384" s="20">
        <v>45716</v>
      </c>
      <c r="D384" s="11">
        <v>1084.4341690800049</v>
      </c>
      <c r="E384" s="27">
        <f t="shared" si="25"/>
        <v>1207.1921170198616</v>
      </c>
      <c r="F384" s="6">
        <f t="shared" si="26"/>
        <v>1569.34975212582</v>
      </c>
      <c r="G384" s="7">
        <f t="shared" si="27"/>
        <v>1690.0689638278061</v>
      </c>
      <c r="H384" s="8">
        <f t="shared" si="28"/>
        <v>1810.7881755297924</v>
      </c>
      <c r="I384" s="9">
        <f t="shared" si="29"/>
        <v>1931.5073872317787</v>
      </c>
    </row>
    <row r="385" spans="1:9" x14ac:dyDescent="0.35">
      <c r="A385" s="18" t="s">
        <v>4931</v>
      </c>
      <c r="B385" s="18" t="s">
        <v>4495</v>
      </c>
      <c r="C385" s="20">
        <v>45716</v>
      </c>
      <c r="D385" s="11">
        <v>1786.8180247147393</v>
      </c>
      <c r="E385" s="27">
        <f t="shared" si="25"/>
        <v>1989.0858251124478</v>
      </c>
      <c r="F385" s="6">
        <f t="shared" si="26"/>
        <v>2585.811572646182</v>
      </c>
      <c r="G385" s="7">
        <f t="shared" si="27"/>
        <v>2784.7201551574267</v>
      </c>
      <c r="H385" s="8">
        <f t="shared" si="28"/>
        <v>2983.6287376686714</v>
      </c>
      <c r="I385" s="9">
        <f t="shared" si="29"/>
        <v>3182.5373201799166</v>
      </c>
    </row>
    <row r="386" spans="1:9" x14ac:dyDescent="0.35">
      <c r="A386" s="18" t="s">
        <v>4932</v>
      </c>
      <c r="B386" s="18" t="s">
        <v>4496</v>
      </c>
      <c r="C386" s="20">
        <v>45716</v>
      </c>
      <c r="D386" s="11">
        <v>1966.5263786920709</v>
      </c>
      <c r="E386" s="27">
        <f t="shared" si="25"/>
        <v>2189.1371647600135</v>
      </c>
      <c r="F386" s="6">
        <f t="shared" si="26"/>
        <v>2845.8783141880176</v>
      </c>
      <c r="G386" s="7">
        <f t="shared" si="27"/>
        <v>3064.792030664019</v>
      </c>
      <c r="H386" s="8">
        <f t="shared" si="28"/>
        <v>3283.7057471400203</v>
      </c>
      <c r="I386" s="9">
        <f t="shared" si="29"/>
        <v>3502.6194636160217</v>
      </c>
    </row>
    <row r="387" spans="1:9" x14ac:dyDescent="0.35">
      <c r="C387" s="20">
        <v>45716</v>
      </c>
      <c r="D387" s="11">
        <v>0</v>
      </c>
      <c r="E387" s="27">
        <f t="shared" si="25"/>
        <v>0</v>
      </c>
      <c r="F387" s="6">
        <f t="shared" si="26"/>
        <v>0</v>
      </c>
      <c r="G387" s="7">
        <f t="shared" si="27"/>
        <v>0</v>
      </c>
      <c r="H387" s="8">
        <f t="shared" si="28"/>
        <v>0</v>
      </c>
      <c r="I387" s="9">
        <f t="shared" si="29"/>
        <v>0</v>
      </c>
    </row>
    <row r="388" spans="1:9" x14ac:dyDescent="0.35">
      <c r="A388" s="18" t="s">
        <v>4933</v>
      </c>
      <c r="B388" s="18" t="s">
        <v>4497</v>
      </c>
      <c r="C388" s="20">
        <v>45716</v>
      </c>
      <c r="D388" s="11">
        <v>915.9807773958164</v>
      </c>
      <c r="E388" s="27">
        <f t="shared" si="25"/>
        <v>1019.6698013970229</v>
      </c>
      <c r="F388" s="6">
        <f t="shared" si="26"/>
        <v>1325.5707418161298</v>
      </c>
      <c r="G388" s="7">
        <f t="shared" si="27"/>
        <v>1427.537721955832</v>
      </c>
      <c r="H388" s="8">
        <f t="shared" si="28"/>
        <v>1529.5047020955344</v>
      </c>
      <c r="I388" s="9">
        <f t="shared" si="29"/>
        <v>1631.4716822352366</v>
      </c>
    </row>
    <row r="389" spans="1:9" x14ac:dyDescent="0.35">
      <c r="A389" s="18" t="s">
        <v>4934</v>
      </c>
      <c r="B389" s="18" t="s">
        <v>4498</v>
      </c>
      <c r="C389" s="20">
        <v>45716</v>
      </c>
      <c r="D389" s="11">
        <v>1069.4687796572541</v>
      </c>
      <c r="E389" s="27">
        <f t="shared" si="25"/>
        <v>1190.5326455144552</v>
      </c>
      <c r="F389" s="6">
        <f t="shared" si="26"/>
        <v>1547.6924391687919</v>
      </c>
      <c r="G389" s="7">
        <f t="shared" si="27"/>
        <v>1666.7457037202373</v>
      </c>
      <c r="H389" s="8">
        <f t="shared" si="28"/>
        <v>1785.798968271683</v>
      </c>
      <c r="I389" s="9">
        <f t="shared" si="29"/>
        <v>1904.8522328231284</v>
      </c>
    </row>
    <row r="390" spans="1:9" x14ac:dyDescent="0.35">
      <c r="A390" s="18" t="s">
        <v>4935</v>
      </c>
      <c r="B390" s="18" t="s">
        <v>4499</v>
      </c>
      <c r="C390" s="20">
        <v>45716</v>
      </c>
      <c r="D390" s="11">
        <v>1772.8420825265503</v>
      </c>
      <c r="E390" s="27">
        <f t="shared" si="25"/>
        <v>1973.5278062685557</v>
      </c>
      <c r="F390" s="6">
        <f t="shared" si="26"/>
        <v>2565.5861481491224</v>
      </c>
      <c r="G390" s="7">
        <f t="shared" si="27"/>
        <v>2762.9389287759777</v>
      </c>
      <c r="H390" s="8">
        <f t="shared" si="28"/>
        <v>2960.2917094028335</v>
      </c>
      <c r="I390" s="9">
        <f t="shared" si="29"/>
        <v>3157.6444900296892</v>
      </c>
    </row>
    <row r="391" spans="1:9" x14ac:dyDescent="0.35">
      <c r="C391" s="20">
        <v>45716</v>
      </c>
      <c r="D391" s="11">
        <v>0</v>
      </c>
      <c r="E391" s="27">
        <f t="shared" si="25"/>
        <v>0</v>
      </c>
      <c r="F391" s="6">
        <f t="shared" si="26"/>
        <v>0</v>
      </c>
      <c r="G391" s="7">
        <f t="shared" si="27"/>
        <v>0</v>
      </c>
      <c r="H391" s="8">
        <f t="shared" si="28"/>
        <v>0</v>
      </c>
      <c r="I391" s="9">
        <f t="shared" si="29"/>
        <v>0</v>
      </c>
    </row>
    <row r="392" spans="1:9" x14ac:dyDescent="0.35">
      <c r="A392" s="18" t="s">
        <v>4936</v>
      </c>
      <c r="B392" s="18" t="s">
        <v>4500</v>
      </c>
      <c r="C392" s="20">
        <v>45716</v>
      </c>
      <c r="D392" s="11">
        <v>969.41092806216659</v>
      </c>
      <c r="E392" s="27">
        <f t="shared" si="25"/>
        <v>1079.148245118804</v>
      </c>
      <c r="F392" s="6">
        <f t="shared" si="26"/>
        <v>1402.8927186544452</v>
      </c>
      <c r="G392" s="7">
        <f t="shared" si="27"/>
        <v>1510.8075431663256</v>
      </c>
      <c r="H392" s="8">
        <f t="shared" si="28"/>
        <v>1618.722367678206</v>
      </c>
      <c r="I392" s="9">
        <f t="shared" si="29"/>
        <v>1726.6371921900864</v>
      </c>
    </row>
    <row r="393" spans="1:9" x14ac:dyDescent="0.35">
      <c r="A393" s="18" t="s">
        <v>4937</v>
      </c>
      <c r="B393" s="18" t="s">
        <v>4501</v>
      </c>
      <c r="C393" s="20">
        <v>45716</v>
      </c>
      <c r="D393" s="11">
        <v>1140.5852996414012</v>
      </c>
      <c r="E393" s="27">
        <f t="shared" si="25"/>
        <v>1269.699555560808</v>
      </c>
      <c r="F393" s="6">
        <f t="shared" si="26"/>
        <v>1650.6094222290506</v>
      </c>
      <c r="G393" s="7">
        <f t="shared" si="27"/>
        <v>1777.5793777851311</v>
      </c>
      <c r="H393" s="8">
        <f t="shared" si="28"/>
        <v>1904.5493333412119</v>
      </c>
      <c r="I393" s="9">
        <f t="shared" si="29"/>
        <v>2031.5192888972929</v>
      </c>
    </row>
    <row r="394" spans="1:9" x14ac:dyDescent="0.35">
      <c r="A394" s="18" t="s">
        <v>4938</v>
      </c>
      <c r="B394" s="18" t="s">
        <v>4502</v>
      </c>
      <c r="C394" s="20">
        <v>45716</v>
      </c>
      <c r="D394" s="11">
        <v>1597.2151983917872</v>
      </c>
      <c r="E394" s="27">
        <f t="shared" si="25"/>
        <v>1778.0199588497376</v>
      </c>
      <c r="F394" s="6">
        <f t="shared" si="26"/>
        <v>2311.4259465046589</v>
      </c>
      <c r="G394" s="7">
        <f t="shared" si="27"/>
        <v>2489.2279423896325</v>
      </c>
      <c r="H394" s="8">
        <f t="shared" si="28"/>
        <v>2667.0299382746061</v>
      </c>
      <c r="I394" s="9">
        <f t="shared" si="29"/>
        <v>2844.8319341595802</v>
      </c>
    </row>
    <row r="395" spans="1:9" x14ac:dyDescent="0.35">
      <c r="C395" s="20">
        <v>45716</v>
      </c>
      <c r="D395" s="11">
        <v>0</v>
      </c>
      <c r="E395" s="27">
        <f t="shared" si="25"/>
        <v>0</v>
      </c>
      <c r="F395" s="6">
        <f t="shared" si="26"/>
        <v>0</v>
      </c>
      <c r="G395" s="7">
        <f t="shared" si="27"/>
        <v>0</v>
      </c>
      <c r="H395" s="8">
        <f t="shared" si="28"/>
        <v>0</v>
      </c>
      <c r="I395" s="9">
        <f t="shared" si="29"/>
        <v>0</v>
      </c>
    </row>
    <row r="396" spans="1:9" x14ac:dyDescent="0.35">
      <c r="A396" s="18" t="s">
        <v>4939</v>
      </c>
      <c r="B396" s="18" t="s">
        <v>4503</v>
      </c>
      <c r="C396" s="20">
        <v>45716</v>
      </c>
      <c r="D396" s="11">
        <v>578.20822769719712</v>
      </c>
      <c r="E396" s="27">
        <f t="shared" ref="E396:E459" si="30">D396*1.21*0.92</f>
        <v>643.66139907251988</v>
      </c>
      <c r="F396" s="6">
        <f t="shared" ref="F396:F459" si="31">E396*1.3</f>
        <v>836.75981879427593</v>
      </c>
      <c r="G396" s="7">
        <f t="shared" ref="G396:G459" si="32">E396*1.4</f>
        <v>901.12595870152779</v>
      </c>
      <c r="H396" s="8">
        <f t="shared" ref="H396:H459" si="33">E396*1.5</f>
        <v>965.49209860877977</v>
      </c>
      <c r="I396" s="9">
        <f t="shared" ref="I396:I459" si="34">E396*1.6</f>
        <v>1029.8582385160319</v>
      </c>
    </row>
    <row r="397" spans="1:9" x14ac:dyDescent="0.35">
      <c r="A397" s="18" t="s">
        <v>4940</v>
      </c>
      <c r="B397" s="18" t="s">
        <v>4504</v>
      </c>
      <c r="C397" s="20">
        <v>45716</v>
      </c>
      <c r="D397" s="11">
        <v>867.74522471091643</v>
      </c>
      <c r="E397" s="27">
        <f t="shared" si="30"/>
        <v>965.97398414819224</v>
      </c>
      <c r="F397" s="6">
        <f t="shared" si="31"/>
        <v>1255.76617939265</v>
      </c>
      <c r="G397" s="7">
        <f t="shared" si="32"/>
        <v>1352.363577807469</v>
      </c>
      <c r="H397" s="8">
        <f t="shared" si="33"/>
        <v>1448.9609762222883</v>
      </c>
      <c r="I397" s="9">
        <f t="shared" si="34"/>
        <v>1545.5583746371076</v>
      </c>
    </row>
    <row r="398" spans="1:9" x14ac:dyDescent="0.35">
      <c r="A398" s="18" t="s">
        <v>4941</v>
      </c>
      <c r="B398" s="18" t="s">
        <v>4505</v>
      </c>
      <c r="C398" s="20">
        <v>45716</v>
      </c>
      <c r="D398" s="11">
        <v>1168.7845458264196</v>
      </c>
      <c r="E398" s="27">
        <f t="shared" si="30"/>
        <v>1301.0909564139704</v>
      </c>
      <c r="F398" s="6">
        <f t="shared" si="31"/>
        <v>1691.4182433381616</v>
      </c>
      <c r="G398" s="7">
        <f t="shared" si="32"/>
        <v>1821.5273389795584</v>
      </c>
      <c r="H398" s="8">
        <f t="shared" si="33"/>
        <v>1951.6364346209557</v>
      </c>
      <c r="I398" s="9">
        <f t="shared" si="34"/>
        <v>2081.7455302623525</v>
      </c>
    </row>
    <row r="399" spans="1:9" x14ac:dyDescent="0.35">
      <c r="C399" s="20">
        <v>45716</v>
      </c>
      <c r="D399" s="11">
        <v>0</v>
      </c>
      <c r="E399" s="27">
        <f t="shared" si="30"/>
        <v>0</v>
      </c>
      <c r="F399" s="6">
        <f t="shared" si="31"/>
        <v>0</v>
      </c>
      <c r="G399" s="7">
        <f t="shared" si="32"/>
        <v>0</v>
      </c>
      <c r="H399" s="8">
        <f t="shared" si="33"/>
        <v>0</v>
      </c>
      <c r="I399" s="9">
        <f t="shared" si="34"/>
        <v>0</v>
      </c>
    </row>
    <row r="400" spans="1:9" x14ac:dyDescent="0.35">
      <c r="A400" s="18" t="s">
        <v>4942</v>
      </c>
      <c r="B400" s="18" t="s">
        <v>4506</v>
      </c>
      <c r="C400" s="20">
        <v>45716</v>
      </c>
      <c r="D400" s="11">
        <v>700.52864206993002</v>
      </c>
      <c r="E400" s="27">
        <f t="shared" si="30"/>
        <v>779.82848435224616</v>
      </c>
      <c r="F400" s="6">
        <f t="shared" si="31"/>
        <v>1013.77702965792</v>
      </c>
      <c r="G400" s="7">
        <f t="shared" si="32"/>
        <v>1091.7598780931446</v>
      </c>
      <c r="H400" s="8">
        <f t="shared" si="33"/>
        <v>1169.7427265283693</v>
      </c>
      <c r="I400" s="9">
        <f t="shared" si="34"/>
        <v>1247.725574963594</v>
      </c>
    </row>
    <row r="401" spans="1:9" x14ac:dyDescent="0.35">
      <c r="A401" s="18" t="s">
        <v>4943</v>
      </c>
      <c r="B401" s="18" t="s">
        <v>4507</v>
      </c>
      <c r="C401" s="20">
        <v>45716</v>
      </c>
      <c r="D401" s="11">
        <v>831.87776245804218</v>
      </c>
      <c r="E401" s="27">
        <f t="shared" si="30"/>
        <v>926.04632516829258</v>
      </c>
      <c r="F401" s="6">
        <f t="shared" si="31"/>
        <v>1203.8602227187805</v>
      </c>
      <c r="G401" s="7">
        <f t="shared" si="32"/>
        <v>1296.4648552356095</v>
      </c>
      <c r="H401" s="8">
        <f t="shared" si="33"/>
        <v>1389.0694877524388</v>
      </c>
      <c r="I401" s="9">
        <f t="shared" si="34"/>
        <v>1481.6741202692683</v>
      </c>
    </row>
    <row r="402" spans="1:9" x14ac:dyDescent="0.35">
      <c r="A402" s="18" t="s">
        <v>4944</v>
      </c>
      <c r="B402" s="18" t="s">
        <v>4508</v>
      </c>
      <c r="C402" s="20">
        <v>45716</v>
      </c>
      <c r="D402" s="11">
        <v>922.16482261182887</v>
      </c>
      <c r="E402" s="27">
        <f t="shared" si="30"/>
        <v>1026.5538805314877</v>
      </c>
      <c r="F402" s="6">
        <f t="shared" si="31"/>
        <v>1334.5200446909341</v>
      </c>
      <c r="G402" s="7">
        <f t="shared" si="32"/>
        <v>1437.1754327440826</v>
      </c>
      <c r="H402" s="8">
        <f t="shared" si="33"/>
        <v>1539.8308207972316</v>
      </c>
      <c r="I402" s="9">
        <f t="shared" si="34"/>
        <v>1642.4862088503805</v>
      </c>
    </row>
    <row r="403" spans="1:9" x14ac:dyDescent="0.35">
      <c r="C403" s="20">
        <v>45716</v>
      </c>
      <c r="D403" s="11">
        <v>0</v>
      </c>
      <c r="E403" s="27">
        <f t="shared" si="30"/>
        <v>0</v>
      </c>
      <c r="F403" s="6">
        <f t="shared" si="31"/>
        <v>0</v>
      </c>
      <c r="G403" s="7">
        <f t="shared" si="32"/>
        <v>0</v>
      </c>
      <c r="H403" s="8">
        <f t="shared" si="33"/>
        <v>0</v>
      </c>
      <c r="I403" s="9">
        <f t="shared" si="34"/>
        <v>0</v>
      </c>
    </row>
    <row r="404" spans="1:9" x14ac:dyDescent="0.35">
      <c r="A404" s="18" t="s">
        <v>4945</v>
      </c>
      <c r="B404" s="18" t="s">
        <v>4509</v>
      </c>
      <c r="C404" s="20">
        <v>45716</v>
      </c>
      <c r="D404" s="11">
        <v>579.32135583607919</v>
      </c>
      <c r="E404" s="27">
        <f t="shared" si="30"/>
        <v>644.90053331672334</v>
      </c>
      <c r="F404" s="6">
        <f t="shared" si="31"/>
        <v>838.37069331174041</v>
      </c>
      <c r="G404" s="7">
        <f t="shared" si="32"/>
        <v>902.86074664341265</v>
      </c>
      <c r="H404" s="8">
        <f t="shared" si="33"/>
        <v>967.35079997508501</v>
      </c>
      <c r="I404" s="9">
        <f t="shared" si="34"/>
        <v>1031.8408533067575</v>
      </c>
    </row>
    <row r="405" spans="1:9" x14ac:dyDescent="0.35">
      <c r="A405" s="18" t="s">
        <v>4946</v>
      </c>
      <c r="B405" s="18" t="s">
        <v>4510</v>
      </c>
      <c r="C405" s="20">
        <v>45716</v>
      </c>
      <c r="D405" s="11">
        <v>724.02801389077865</v>
      </c>
      <c r="E405" s="27">
        <f t="shared" si="30"/>
        <v>805.98798506321486</v>
      </c>
      <c r="F405" s="6">
        <f t="shared" si="31"/>
        <v>1047.7843805821794</v>
      </c>
      <c r="G405" s="7">
        <f t="shared" si="32"/>
        <v>1128.3831790885008</v>
      </c>
      <c r="H405" s="8">
        <f t="shared" si="33"/>
        <v>1208.9819775948222</v>
      </c>
      <c r="I405" s="9">
        <f t="shared" si="34"/>
        <v>1289.5807761011438</v>
      </c>
    </row>
    <row r="406" spans="1:9" x14ac:dyDescent="0.35">
      <c r="A406" s="18" t="s">
        <v>4947</v>
      </c>
      <c r="B406" s="18" t="s">
        <v>4511</v>
      </c>
      <c r="C406" s="20">
        <v>45716</v>
      </c>
      <c r="D406" s="11">
        <v>992.66293807437467</v>
      </c>
      <c r="E406" s="27">
        <f t="shared" si="30"/>
        <v>1105.0323826643939</v>
      </c>
      <c r="F406" s="6">
        <f t="shared" si="31"/>
        <v>1436.5420974637123</v>
      </c>
      <c r="G406" s="7">
        <f t="shared" si="32"/>
        <v>1547.0453357301515</v>
      </c>
      <c r="H406" s="8">
        <f t="shared" si="33"/>
        <v>1657.5485739965909</v>
      </c>
      <c r="I406" s="9">
        <f t="shared" si="34"/>
        <v>1768.0518122630303</v>
      </c>
    </row>
    <row r="407" spans="1:9" x14ac:dyDescent="0.35">
      <c r="C407" s="20">
        <v>45716</v>
      </c>
      <c r="D407" s="11">
        <v>0</v>
      </c>
      <c r="E407" s="27">
        <f t="shared" si="30"/>
        <v>0</v>
      </c>
      <c r="F407" s="6">
        <f t="shared" si="31"/>
        <v>0</v>
      </c>
      <c r="G407" s="7">
        <f t="shared" si="32"/>
        <v>0</v>
      </c>
      <c r="H407" s="8">
        <f t="shared" si="33"/>
        <v>0</v>
      </c>
      <c r="I407" s="9">
        <f t="shared" si="34"/>
        <v>0</v>
      </c>
    </row>
    <row r="408" spans="1:9" x14ac:dyDescent="0.35">
      <c r="A408" s="18" t="s">
        <v>4948</v>
      </c>
      <c r="B408" s="18" t="s">
        <v>4512</v>
      </c>
      <c r="C408" s="20">
        <v>45716</v>
      </c>
      <c r="D408" s="11">
        <v>2836.2504978721117</v>
      </c>
      <c r="E408" s="27">
        <f t="shared" si="30"/>
        <v>3157.3140542312349</v>
      </c>
      <c r="F408" s="6">
        <f t="shared" si="31"/>
        <v>4104.5082705006052</v>
      </c>
      <c r="G408" s="7">
        <f t="shared" si="32"/>
        <v>4420.2396759237281</v>
      </c>
      <c r="H408" s="8">
        <f t="shared" si="33"/>
        <v>4735.9710813468519</v>
      </c>
      <c r="I408" s="9">
        <f t="shared" si="34"/>
        <v>5051.7024867699765</v>
      </c>
    </row>
    <row r="409" spans="1:9" x14ac:dyDescent="0.35">
      <c r="A409" s="18" t="s">
        <v>4949</v>
      </c>
      <c r="B409" s="18" t="s">
        <v>4513</v>
      </c>
      <c r="C409" s="20">
        <v>45716</v>
      </c>
      <c r="D409" s="11">
        <v>3832.3765012674535</v>
      </c>
      <c r="E409" s="27">
        <f t="shared" si="30"/>
        <v>4266.2015212109291</v>
      </c>
      <c r="F409" s="6">
        <f t="shared" si="31"/>
        <v>5546.061977574208</v>
      </c>
      <c r="G409" s="7">
        <f t="shared" si="32"/>
        <v>5972.6821296953003</v>
      </c>
      <c r="H409" s="8">
        <f t="shared" si="33"/>
        <v>6399.3022818163936</v>
      </c>
      <c r="I409" s="9">
        <f t="shared" si="34"/>
        <v>6825.9224339374869</v>
      </c>
    </row>
    <row r="410" spans="1:9" x14ac:dyDescent="0.35">
      <c r="A410" s="18" t="s">
        <v>4950</v>
      </c>
      <c r="B410" s="18" t="s">
        <v>4514</v>
      </c>
      <c r="C410" s="20">
        <v>45716</v>
      </c>
      <c r="D410" s="11">
        <v>4568.2778819729783</v>
      </c>
      <c r="E410" s="27">
        <f t="shared" si="30"/>
        <v>5085.4069382123189</v>
      </c>
      <c r="F410" s="6">
        <f t="shared" si="31"/>
        <v>6611.0290196760152</v>
      </c>
      <c r="G410" s="7">
        <f t="shared" si="32"/>
        <v>7119.5697134972461</v>
      </c>
      <c r="H410" s="8">
        <f t="shared" si="33"/>
        <v>7628.1104073184779</v>
      </c>
      <c r="I410" s="9">
        <f t="shared" si="34"/>
        <v>8136.6511011397106</v>
      </c>
    </row>
    <row r="411" spans="1:9" x14ac:dyDescent="0.35">
      <c r="C411" s="20">
        <v>45716</v>
      </c>
      <c r="D411" s="11">
        <v>0</v>
      </c>
      <c r="E411" s="27">
        <f t="shared" si="30"/>
        <v>0</v>
      </c>
      <c r="F411" s="6">
        <f t="shared" si="31"/>
        <v>0</v>
      </c>
      <c r="G411" s="7">
        <f t="shared" si="32"/>
        <v>0</v>
      </c>
      <c r="H411" s="8">
        <f t="shared" si="33"/>
        <v>0</v>
      </c>
      <c r="I411" s="9">
        <f t="shared" si="34"/>
        <v>0</v>
      </c>
    </row>
    <row r="412" spans="1:9" x14ac:dyDescent="0.35">
      <c r="A412" s="18" t="s">
        <v>4951</v>
      </c>
      <c r="B412" s="18" t="s">
        <v>4515</v>
      </c>
      <c r="C412" s="20">
        <v>45716</v>
      </c>
      <c r="D412" s="11">
        <v>3687.4224814041136</v>
      </c>
      <c r="E412" s="27">
        <f t="shared" si="30"/>
        <v>4104.8387062990587</v>
      </c>
      <c r="F412" s="6">
        <f t="shared" si="31"/>
        <v>5336.2903181887768</v>
      </c>
      <c r="G412" s="7">
        <f t="shared" si="32"/>
        <v>5746.774188818682</v>
      </c>
      <c r="H412" s="8">
        <f t="shared" si="33"/>
        <v>6157.258059448588</v>
      </c>
      <c r="I412" s="9">
        <f t="shared" si="34"/>
        <v>6567.7419300784941</v>
      </c>
    </row>
    <row r="413" spans="1:9" x14ac:dyDescent="0.35">
      <c r="A413" s="18" t="s">
        <v>4952</v>
      </c>
      <c r="B413" s="18" t="s">
        <v>4516</v>
      </c>
      <c r="C413" s="20">
        <v>45716</v>
      </c>
      <c r="D413" s="11">
        <v>4129.9527570619885</v>
      </c>
      <c r="E413" s="27">
        <f t="shared" si="30"/>
        <v>4597.4634091614053</v>
      </c>
      <c r="F413" s="6">
        <f t="shared" si="31"/>
        <v>5976.7024319098273</v>
      </c>
      <c r="G413" s="7">
        <f t="shared" si="32"/>
        <v>6436.4487728259674</v>
      </c>
      <c r="H413" s="8">
        <f t="shared" si="33"/>
        <v>6896.1951137421074</v>
      </c>
      <c r="I413" s="9">
        <f t="shared" si="34"/>
        <v>7355.9414546582484</v>
      </c>
    </row>
    <row r="414" spans="1:9" x14ac:dyDescent="0.35">
      <c r="A414" s="18" t="s">
        <v>4953</v>
      </c>
      <c r="B414" s="18" t="s">
        <v>4517</v>
      </c>
      <c r="C414" s="20">
        <v>45716</v>
      </c>
      <c r="D414" s="11">
        <v>6057.3959699888601</v>
      </c>
      <c r="E414" s="27">
        <f t="shared" si="30"/>
        <v>6743.0931937915993</v>
      </c>
      <c r="F414" s="6">
        <f t="shared" si="31"/>
        <v>8766.0211519290788</v>
      </c>
      <c r="G414" s="7">
        <f t="shared" si="32"/>
        <v>9440.330471308238</v>
      </c>
      <c r="H414" s="8">
        <f t="shared" si="33"/>
        <v>10114.639790687399</v>
      </c>
      <c r="I414" s="9">
        <f t="shared" si="34"/>
        <v>10788.94911006656</v>
      </c>
    </row>
    <row r="415" spans="1:9" ht="15.75" customHeight="1" x14ac:dyDescent="0.4">
      <c r="B415" s="19" t="s">
        <v>1202</v>
      </c>
      <c r="D415" s="11">
        <v>0</v>
      </c>
      <c r="E415" s="27">
        <f t="shared" si="30"/>
        <v>0</v>
      </c>
      <c r="F415" s="6">
        <f t="shared" si="31"/>
        <v>0</v>
      </c>
      <c r="G415" s="7">
        <f t="shared" si="32"/>
        <v>0</v>
      </c>
      <c r="H415" s="8">
        <f t="shared" si="33"/>
        <v>0</v>
      </c>
      <c r="I415" s="9">
        <f t="shared" si="34"/>
        <v>0</v>
      </c>
    </row>
    <row r="416" spans="1:9" x14ac:dyDescent="0.35">
      <c r="A416" s="18" t="s">
        <v>2934</v>
      </c>
      <c r="B416" s="18" t="s">
        <v>1203</v>
      </c>
      <c r="C416" s="20">
        <v>45600</v>
      </c>
      <c r="D416" s="11">
        <v>71.961927660000015</v>
      </c>
      <c r="E416" s="27">
        <f t="shared" si="30"/>
        <v>80.108017871112025</v>
      </c>
      <c r="F416" s="6">
        <f t="shared" si="31"/>
        <v>104.14042323244564</v>
      </c>
      <c r="G416" s="7">
        <f t="shared" si="32"/>
        <v>112.15122501955683</v>
      </c>
      <c r="H416" s="8">
        <f t="shared" si="33"/>
        <v>120.16202680666804</v>
      </c>
      <c r="I416" s="9">
        <f t="shared" si="34"/>
        <v>128.17282859377926</v>
      </c>
    </row>
    <row r="417" spans="1:9" x14ac:dyDescent="0.35">
      <c r="A417" s="18" t="s">
        <v>2935</v>
      </c>
      <c r="B417" s="18" t="s">
        <v>1204</v>
      </c>
      <c r="C417" s="20">
        <v>45600</v>
      </c>
      <c r="D417" s="11">
        <v>105.70814887500005</v>
      </c>
      <c r="E417" s="27">
        <f t="shared" si="30"/>
        <v>117.67431132765006</v>
      </c>
      <c r="F417" s="6">
        <f t="shared" si="31"/>
        <v>152.97660472594509</v>
      </c>
      <c r="G417" s="7">
        <f t="shared" si="32"/>
        <v>164.74403585871008</v>
      </c>
      <c r="H417" s="8">
        <f t="shared" si="33"/>
        <v>176.51146699147509</v>
      </c>
      <c r="I417" s="9">
        <f t="shared" si="34"/>
        <v>188.2788981242401</v>
      </c>
    </row>
    <row r="418" spans="1:9" x14ac:dyDescent="0.35">
      <c r="A418" s="18" t="s">
        <v>2936</v>
      </c>
      <c r="B418" s="18" t="s">
        <v>1205</v>
      </c>
      <c r="C418" s="20">
        <v>45600</v>
      </c>
      <c r="D418" s="11">
        <v>170.75684398500005</v>
      </c>
      <c r="E418" s="27">
        <f t="shared" si="30"/>
        <v>190.08651872410206</v>
      </c>
      <c r="F418" s="6">
        <f t="shared" si="31"/>
        <v>247.1124743413327</v>
      </c>
      <c r="G418" s="7">
        <f t="shared" si="32"/>
        <v>266.12112621374285</v>
      </c>
      <c r="H418" s="8">
        <f t="shared" si="33"/>
        <v>285.12977808615312</v>
      </c>
      <c r="I418" s="9">
        <f t="shared" si="34"/>
        <v>304.13842995856334</v>
      </c>
    </row>
    <row r="419" spans="1:9" x14ac:dyDescent="0.35">
      <c r="A419" s="18" t="s">
        <v>2937</v>
      </c>
      <c r="B419" s="18" t="s">
        <v>1206</v>
      </c>
      <c r="C419" s="20">
        <v>45600</v>
      </c>
      <c r="D419" s="11">
        <v>283.76408025000012</v>
      </c>
      <c r="E419" s="27">
        <f t="shared" si="30"/>
        <v>315.88617413430018</v>
      </c>
      <c r="F419" s="6">
        <f t="shared" si="31"/>
        <v>410.65202637459026</v>
      </c>
      <c r="G419" s="7">
        <f t="shared" si="32"/>
        <v>442.24064378802024</v>
      </c>
      <c r="H419" s="8">
        <f t="shared" si="33"/>
        <v>473.82926120145027</v>
      </c>
      <c r="I419" s="9">
        <f t="shared" si="34"/>
        <v>505.41787861488029</v>
      </c>
    </row>
    <row r="420" spans="1:9" x14ac:dyDescent="0.35">
      <c r="A420" s="18" t="s">
        <v>2938</v>
      </c>
      <c r="B420" s="18" t="s">
        <v>1207</v>
      </c>
      <c r="C420" s="20">
        <v>45600</v>
      </c>
      <c r="D420" s="11">
        <v>357.43020012000011</v>
      </c>
      <c r="E420" s="27">
        <f t="shared" si="30"/>
        <v>397.89129877358408</v>
      </c>
      <c r="F420" s="6">
        <f t="shared" si="31"/>
        <v>517.25868840565931</v>
      </c>
      <c r="G420" s="7">
        <f t="shared" si="32"/>
        <v>557.0478182830177</v>
      </c>
      <c r="H420" s="8">
        <f t="shared" si="33"/>
        <v>596.8369481603761</v>
      </c>
      <c r="I420" s="9">
        <f t="shared" si="34"/>
        <v>636.6260780377346</v>
      </c>
    </row>
    <row r="421" spans="1:9" x14ac:dyDescent="0.35">
      <c r="A421" s="18" t="s">
        <v>2939</v>
      </c>
      <c r="B421" s="18" t="s">
        <v>1208</v>
      </c>
      <c r="C421" s="20">
        <v>45600</v>
      </c>
      <c r="D421" s="11">
        <v>599.2004119500001</v>
      </c>
      <c r="E421" s="27">
        <f t="shared" si="30"/>
        <v>667.02989858274009</v>
      </c>
      <c r="F421" s="6">
        <f t="shared" si="31"/>
        <v>867.13886815756211</v>
      </c>
      <c r="G421" s="7">
        <f t="shared" si="32"/>
        <v>933.84185801583601</v>
      </c>
      <c r="H421" s="8">
        <f t="shared" si="33"/>
        <v>1000.5448478741101</v>
      </c>
      <c r="I421" s="9">
        <f t="shared" si="34"/>
        <v>1067.2478377323841</v>
      </c>
    </row>
    <row r="422" spans="1:9" x14ac:dyDescent="0.35">
      <c r="C422" s="20">
        <v>45600</v>
      </c>
      <c r="D422" s="11">
        <v>0</v>
      </c>
      <c r="E422" s="27">
        <f t="shared" si="30"/>
        <v>0</v>
      </c>
      <c r="F422" s="6">
        <f t="shared" si="31"/>
        <v>0</v>
      </c>
      <c r="G422" s="7">
        <f t="shared" si="32"/>
        <v>0</v>
      </c>
      <c r="H422" s="8">
        <f t="shared" si="33"/>
        <v>0</v>
      </c>
      <c r="I422" s="9">
        <f t="shared" si="34"/>
        <v>0</v>
      </c>
    </row>
    <row r="423" spans="1:9" x14ac:dyDescent="0.35">
      <c r="A423" s="18" t="s">
        <v>2940</v>
      </c>
      <c r="B423" s="18" t="s">
        <v>1209</v>
      </c>
      <c r="C423" s="20">
        <v>45600</v>
      </c>
      <c r="D423" s="11">
        <v>123.31277595000003</v>
      </c>
      <c r="E423" s="27">
        <f t="shared" si="30"/>
        <v>137.27178218754005</v>
      </c>
      <c r="F423" s="6">
        <f t="shared" si="31"/>
        <v>178.45331684380207</v>
      </c>
      <c r="G423" s="7">
        <f t="shared" si="32"/>
        <v>192.18049506255608</v>
      </c>
      <c r="H423" s="8">
        <f t="shared" si="33"/>
        <v>205.90767328131008</v>
      </c>
      <c r="I423" s="9">
        <f t="shared" si="34"/>
        <v>219.63485150006409</v>
      </c>
    </row>
    <row r="424" spans="1:9" x14ac:dyDescent="0.35">
      <c r="A424" s="18" t="s">
        <v>2941</v>
      </c>
      <c r="B424" s="18" t="s">
        <v>1210</v>
      </c>
      <c r="C424" s="20">
        <v>45600</v>
      </c>
      <c r="D424" s="11">
        <v>173.63467800000004</v>
      </c>
      <c r="E424" s="27">
        <f t="shared" si="30"/>
        <v>193.29012354960005</v>
      </c>
      <c r="F424" s="6">
        <f t="shared" si="31"/>
        <v>251.27716061448007</v>
      </c>
      <c r="G424" s="7">
        <f t="shared" si="32"/>
        <v>270.60617296944008</v>
      </c>
      <c r="H424" s="8">
        <f t="shared" si="33"/>
        <v>289.93518532440009</v>
      </c>
      <c r="I424" s="9">
        <f t="shared" si="34"/>
        <v>309.26419767936011</v>
      </c>
    </row>
    <row r="425" spans="1:9" x14ac:dyDescent="0.35">
      <c r="A425" s="18" t="s">
        <v>2942</v>
      </c>
      <c r="B425" s="18" t="s">
        <v>1211</v>
      </c>
      <c r="C425" s="20">
        <v>45600</v>
      </c>
      <c r="D425" s="11">
        <v>181.03022910000004</v>
      </c>
      <c r="E425" s="27">
        <f t="shared" si="30"/>
        <v>201.52285103412007</v>
      </c>
      <c r="F425" s="6">
        <f t="shared" si="31"/>
        <v>261.97970634435609</v>
      </c>
      <c r="G425" s="7">
        <f t="shared" si="32"/>
        <v>282.13199144776809</v>
      </c>
      <c r="H425" s="8">
        <f t="shared" si="33"/>
        <v>302.28427655118008</v>
      </c>
      <c r="I425" s="9">
        <f t="shared" si="34"/>
        <v>322.43656165459214</v>
      </c>
    </row>
    <row r="426" spans="1:9" x14ac:dyDescent="0.35">
      <c r="C426" s="20">
        <v>45600</v>
      </c>
      <c r="D426" s="11">
        <v>0</v>
      </c>
      <c r="E426" s="27">
        <f t="shared" si="30"/>
        <v>0</v>
      </c>
      <c r="F426" s="6">
        <f t="shared" si="31"/>
        <v>0</v>
      </c>
      <c r="G426" s="7">
        <f t="shared" si="32"/>
        <v>0</v>
      </c>
      <c r="H426" s="8">
        <f t="shared" si="33"/>
        <v>0</v>
      </c>
      <c r="I426" s="9">
        <f t="shared" si="34"/>
        <v>0</v>
      </c>
    </row>
    <row r="427" spans="1:9" x14ac:dyDescent="0.35">
      <c r="A427" s="18" t="s">
        <v>2943</v>
      </c>
      <c r="B427" s="18" t="s">
        <v>1212</v>
      </c>
      <c r="C427" s="20">
        <v>45600</v>
      </c>
      <c r="D427" s="11">
        <v>108.20012805</v>
      </c>
      <c r="E427" s="27">
        <f t="shared" si="30"/>
        <v>120.44838254526002</v>
      </c>
      <c r="F427" s="6">
        <f t="shared" si="31"/>
        <v>156.58289730883803</v>
      </c>
      <c r="G427" s="7">
        <f t="shared" si="32"/>
        <v>168.62773556336401</v>
      </c>
      <c r="H427" s="8">
        <f t="shared" si="33"/>
        <v>180.67257381789003</v>
      </c>
      <c r="I427" s="9">
        <f t="shared" si="34"/>
        <v>192.71741207241604</v>
      </c>
    </row>
    <row r="428" spans="1:9" x14ac:dyDescent="0.35">
      <c r="A428" s="18" t="s">
        <v>2944</v>
      </c>
      <c r="B428" s="18" t="s">
        <v>1213</v>
      </c>
      <c r="C428" s="20">
        <v>45600</v>
      </c>
      <c r="D428" s="11">
        <v>157.71816585000002</v>
      </c>
      <c r="E428" s="27">
        <f t="shared" si="30"/>
        <v>175.57186222422001</v>
      </c>
      <c r="F428" s="6">
        <f t="shared" si="31"/>
        <v>228.24342089148601</v>
      </c>
      <c r="G428" s="7">
        <f t="shared" si="32"/>
        <v>245.800607113908</v>
      </c>
      <c r="H428" s="8">
        <f t="shared" si="33"/>
        <v>263.35779333633002</v>
      </c>
      <c r="I428" s="9">
        <f t="shared" si="34"/>
        <v>280.91497955875201</v>
      </c>
    </row>
    <row r="429" spans="1:9" x14ac:dyDescent="0.35">
      <c r="A429" s="18" t="s">
        <v>2945</v>
      </c>
      <c r="B429" s="18" t="s">
        <v>1214</v>
      </c>
      <c r="C429" s="20">
        <v>45600</v>
      </c>
      <c r="D429" s="11">
        <v>280.95055537500008</v>
      </c>
      <c r="E429" s="27">
        <f t="shared" si="30"/>
        <v>312.75415824345009</v>
      </c>
      <c r="F429" s="6">
        <f t="shared" si="31"/>
        <v>406.58040571648513</v>
      </c>
      <c r="G429" s="7">
        <f t="shared" si="32"/>
        <v>437.85582154083011</v>
      </c>
      <c r="H429" s="8">
        <f t="shared" si="33"/>
        <v>469.13123736517514</v>
      </c>
      <c r="I429" s="9">
        <f t="shared" si="34"/>
        <v>500.40665318952017</v>
      </c>
    </row>
    <row r="430" spans="1:9" x14ac:dyDescent="0.35">
      <c r="A430" s="18" t="s">
        <v>2946</v>
      </c>
      <c r="B430" s="18" t="s">
        <v>1215</v>
      </c>
      <c r="C430" s="20">
        <v>45600</v>
      </c>
      <c r="D430" s="11">
        <v>477.49536450000011</v>
      </c>
      <c r="E430" s="27">
        <f t="shared" si="30"/>
        <v>531.54783976140016</v>
      </c>
      <c r="F430" s="6">
        <f t="shared" si="31"/>
        <v>691.01219168982027</v>
      </c>
      <c r="G430" s="7">
        <f t="shared" si="32"/>
        <v>744.16697566596019</v>
      </c>
      <c r="H430" s="8">
        <f t="shared" si="33"/>
        <v>797.32175964210023</v>
      </c>
      <c r="I430" s="9">
        <f t="shared" si="34"/>
        <v>850.47654361824027</v>
      </c>
    </row>
    <row r="431" spans="1:9" x14ac:dyDescent="0.35">
      <c r="A431" s="18" t="s">
        <v>2947</v>
      </c>
      <c r="B431" s="18" t="s">
        <v>1216</v>
      </c>
      <c r="C431" s="20">
        <v>45600</v>
      </c>
      <c r="D431" s="11">
        <v>582.64080839999997</v>
      </c>
      <c r="E431" s="27">
        <f t="shared" si="30"/>
        <v>648.59574791087994</v>
      </c>
      <c r="F431" s="6">
        <f t="shared" si="31"/>
        <v>843.17447228414392</v>
      </c>
      <c r="G431" s="7">
        <f t="shared" si="32"/>
        <v>908.0340470752318</v>
      </c>
      <c r="H431" s="8">
        <f t="shared" si="33"/>
        <v>972.8936218663199</v>
      </c>
      <c r="I431" s="9">
        <f t="shared" si="34"/>
        <v>1037.7531966574079</v>
      </c>
    </row>
    <row r="432" spans="1:9" x14ac:dyDescent="0.35">
      <c r="A432" s="18" t="s">
        <v>2948</v>
      </c>
      <c r="B432" s="18" t="s">
        <v>1217</v>
      </c>
      <c r="C432" s="20">
        <v>45600</v>
      </c>
      <c r="D432" s="11">
        <v>1098.7216569000002</v>
      </c>
      <c r="E432" s="27">
        <f t="shared" si="30"/>
        <v>1223.0969484610803</v>
      </c>
      <c r="F432" s="6">
        <f t="shared" si="31"/>
        <v>1590.0260329994044</v>
      </c>
      <c r="G432" s="7">
        <f t="shared" si="32"/>
        <v>1712.3357278455123</v>
      </c>
      <c r="H432" s="8">
        <f t="shared" si="33"/>
        <v>1834.6454226916203</v>
      </c>
      <c r="I432" s="9">
        <f t="shared" si="34"/>
        <v>1956.9551175377285</v>
      </c>
    </row>
    <row r="433" spans="1:9" x14ac:dyDescent="0.35">
      <c r="C433" s="20">
        <v>45600</v>
      </c>
      <c r="D433" s="11">
        <v>0</v>
      </c>
      <c r="E433" s="27">
        <f t="shared" si="30"/>
        <v>0</v>
      </c>
      <c r="F433" s="6">
        <f t="shared" si="31"/>
        <v>0</v>
      </c>
      <c r="G433" s="7">
        <f t="shared" si="32"/>
        <v>0</v>
      </c>
      <c r="H433" s="8">
        <f t="shared" si="33"/>
        <v>0</v>
      </c>
      <c r="I433" s="9">
        <f t="shared" si="34"/>
        <v>0</v>
      </c>
    </row>
    <row r="434" spans="1:9" x14ac:dyDescent="0.35">
      <c r="A434" s="18" t="s">
        <v>2949</v>
      </c>
      <c r="B434" s="18" t="s">
        <v>1218</v>
      </c>
      <c r="C434" s="20">
        <v>45600</v>
      </c>
      <c r="D434" s="11">
        <v>116.80147552500004</v>
      </c>
      <c r="E434" s="27">
        <f t="shared" si="30"/>
        <v>130.02340255443005</v>
      </c>
      <c r="F434" s="6">
        <f t="shared" si="31"/>
        <v>169.03042332075907</v>
      </c>
      <c r="G434" s="7">
        <f t="shared" si="32"/>
        <v>182.03276357620206</v>
      </c>
      <c r="H434" s="8">
        <f t="shared" si="33"/>
        <v>195.03510383164507</v>
      </c>
      <c r="I434" s="9">
        <f t="shared" si="34"/>
        <v>208.03744408708809</v>
      </c>
    </row>
    <row r="435" spans="1:9" x14ac:dyDescent="0.35">
      <c r="A435" s="18" t="s">
        <v>2950</v>
      </c>
      <c r="B435" s="18" t="s">
        <v>1219</v>
      </c>
      <c r="C435" s="20">
        <v>45600</v>
      </c>
      <c r="D435" s="11">
        <v>197.26828695000003</v>
      </c>
      <c r="E435" s="27">
        <f t="shared" si="30"/>
        <v>219.59905703274003</v>
      </c>
      <c r="F435" s="6">
        <f t="shared" si="31"/>
        <v>285.47877414256203</v>
      </c>
      <c r="G435" s="7">
        <f t="shared" si="32"/>
        <v>307.43867984583602</v>
      </c>
      <c r="H435" s="8">
        <f t="shared" si="33"/>
        <v>329.39858554911007</v>
      </c>
      <c r="I435" s="9">
        <f t="shared" si="34"/>
        <v>351.35849125238406</v>
      </c>
    </row>
    <row r="436" spans="1:9" x14ac:dyDescent="0.35">
      <c r="A436" s="18" t="s">
        <v>2951</v>
      </c>
      <c r="B436" s="18" t="s">
        <v>1220</v>
      </c>
      <c r="C436" s="20">
        <v>45600</v>
      </c>
      <c r="D436" s="11">
        <v>281.03094180000011</v>
      </c>
      <c r="E436" s="27">
        <f t="shared" si="30"/>
        <v>312.84364441176012</v>
      </c>
      <c r="F436" s="6">
        <f t="shared" si="31"/>
        <v>406.6967377352882</v>
      </c>
      <c r="G436" s="7">
        <f t="shared" si="32"/>
        <v>437.98110217646416</v>
      </c>
      <c r="H436" s="8">
        <f t="shared" si="33"/>
        <v>469.26546661764019</v>
      </c>
      <c r="I436" s="9">
        <f t="shared" si="34"/>
        <v>500.54983105881621</v>
      </c>
    </row>
    <row r="437" spans="1:9" x14ac:dyDescent="0.35">
      <c r="A437" s="18" t="s">
        <v>2952</v>
      </c>
      <c r="B437" s="18" t="s">
        <v>1221</v>
      </c>
      <c r="C437" s="20">
        <v>45600</v>
      </c>
      <c r="D437" s="11">
        <v>300.00213810000002</v>
      </c>
      <c r="E437" s="27">
        <f t="shared" si="30"/>
        <v>333.96238013292003</v>
      </c>
      <c r="F437" s="6">
        <f t="shared" si="31"/>
        <v>434.15109417279604</v>
      </c>
      <c r="G437" s="7">
        <f t="shared" si="32"/>
        <v>467.547332186088</v>
      </c>
      <c r="H437" s="8">
        <f t="shared" si="33"/>
        <v>500.94357019938002</v>
      </c>
      <c r="I437" s="9">
        <f t="shared" si="34"/>
        <v>534.3398082126721</v>
      </c>
    </row>
    <row r="438" spans="1:9" x14ac:dyDescent="0.35">
      <c r="A438" s="18" t="s">
        <v>2953</v>
      </c>
      <c r="B438" s="18" t="s">
        <v>3140</v>
      </c>
      <c r="C438" s="20">
        <v>45600</v>
      </c>
      <c r="D438" s="11">
        <v>0</v>
      </c>
      <c r="E438" s="27">
        <f t="shared" si="30"/>
        <v>0</v>
      </c>
      <c r="F438" s="6">
        <f t="shared" si="31"/>
        <v>0</v>
      </c>
      <c r="G438" s="7">
        <f t="shared" si="32"/>
        <v>0</v>
      </c>
      <c r="H438" s="8">
        <f t="shared" si="33"/>
        <v>0</v>
      </c>
      <c r="I438" s="9">
        <f t="shared" si="34"/>
        <v>0</v>
      </c>
    </row>
    <row r="439" spans="1:9" x14ac:dyDescent="0.35">
      <c r="A439" s="18" t="s">
        <v>3139</v>
      </c>
      <c r="B439" s="18" t="s">
        <v>3141</v>
      </c>
      <c r="C439" s="20">
        <v>45600</v>
      </c>
      <c r="D439" s="11">
        <v>0</v>
      </c>
      <c r="E439" s="27">
        <f t="shared" si="30"/>
        <v>0</v>
      </c>
      <c r="F439" s="6">
        <f t="shared" si="31"/>
        <v>0</v>
      </c>
      <c r="G439" s="7">
        <f t="shared" si="32"/>
        <v>0</v>
      </c>
      <c r="H439" s="8">
        <f t="shared" si="33"/>
        <v>0</v>
      </c>
      <c r="I439" s="9">
        <f t="shared" si="34"/>
        <v>0</v>
      </c>
    </row>
    <row r="440" spans="1:9" x14ac:dyDescent="0.35">
      <c r="A440" s="18" t="s">
        <v>5068</v>
      </c>
      <c r="B440" s="18" t="s">
        <v>1222</v>
      </c>
      <c r="C440" s="20">
        <v>45600</v>
      </c>
      <c r="D440" s="11">
        <v>654.21027000000015</v>
      </c>
      <c r="E440" s="27">
        <f t="shared" si="30"/>
        <v>728.26687256400021</v>
      </c>
      <c r="F440" s="6">
        <f t="shared" si="31"/>
        <v>946.74693433320033</v>
      </c>
      <c r="G440" s="7">
        <f t="shared" si="32"/>
        <v>1019.5736215896002</v>
      </c>
      <c r="H440" s="8">
        <f t="shared" si="33"/>
        <v>1092.4003088460004</v>
      </c>
      <c r="I440" s="9">
        <f t="shared" si="34"/>
        <v>1165.2269961024003</v>
      </c>
    </row>
    <row r="441" spans="1:9" x14ac:dyDescent="0.35">
      <c r="A441" s="18" t="s">
        <v>3143</v>
      </c>
      <c r="B441" s="18" t="s">
        <v>3142</v>
      </c>
      <c r="C441" s="20">
        <v>45600</v>
      </c>
      <c r="D441" s="11">
        <v>0</v>
      </c>
      <c r="E441" s="27">
        <f t="shared" si="30"/>
        <v>0</v>
      </c>
      <c r="F441" s="6">
        <f t="shared" si="31"/>
        <v>0</v>
      </c>
      <c r="G441" s="7">
        <f t="shared" si="32"/>
        <v>0</v>
      </c>
      <c r="H441" s="8">
        <f t="shared" si="33"/>
        <v>0</v>
      </c>
      <c r="I441" s="9">
        <f t="shared" si="34"/>
        <v>0</v>
      </c>
    </row>
    <row r="442" spans="1:9" x14ac:dyDescent="0.35">
      <c r="C442" s="20">
        <v>45600</v>
      </c>
      <c r="D442" s="11">
        <v>0</v>
      </c>
      <c r="E442" s="27">
        <f t="shared" si="30"/>
        <v>0</v>
      </c>
      <c r="F442" s="6">
        <f t="shared" si="31"/>
        <v>0</v>
      </c>
      <c r="G442" s="7">
        <f t="shared" si="32"/>
        <v>0</v>
      </c>
      <c r="H442" s="8">
        <f t="shared" si="33"/>
        <v>0</v>
      </c>
      <c r="I442" s="9">
        <f t="shared" si="34"/>
        <v>0</v>
      </c>
    </row>
    <row r="443" spans="1:9" x14ac:dyDescent="0.35">
      <c r="A443" s="18" t="s">
        <v>2954</v>
      </c>
      <c r="B443" s="18" t="s">
        <v>1223</v>
      </c>
      <c r="C443" s="20">
        <v>45600</v>
      </c>
      <c r="D443" s="11">
        <v>294.21431550000005</v>
      </c>
      <c r="E443" s="27">
        <f t="shared" si="30"/>
        <v>327.51937601460003</v>
      </c>
      <c r="F443" s="6">
        <f t="shared" si="31"/>
        <v>425.77518881898004</v>
      </c>
      <c r="G443" s="7">
        <f t="shared" si="32"/>
        <v>458.52712642044003</v>
      </c>
      <c r="H443" s="8">
        <f t="shared" si="33"/>
        <v>491.27906402190001</v>
      </c>
      <c r="I443" s="9">
        <f t="shared" si="34"/>
        <v>524.03100162336011</v>
      </c>
    </row>
    <row r="444" spans="1:9" x14ac:dyDescent="0.35">
      <c r="A444" s="18" t="s">
        <v>2955</v>
      </c>
      <c r="B444" s="18" t="s">
        <v>1224</v>
      </c>
      <c r="C444" s="20">
        <v>45600</v>
      </c>
      <c r="D444" s="11">
        <v>311.97971542500005</v>
      </c>
      <c r="E444" s="27">
        <f t="shared" si="30"/>
        <v>347.29581921111009</v>
      </c>
      <c r="F444" s="6">
        <f t="shared" si="31"/>
        <v>451.48456497444312</v>
      </c>
      <c r="G444" s="7">
        <f t="shared" si="32"/>
        <v>486.21414689555411</v>
      </c>
      <c r="H444" s="8">
        <f t="shared" si="33"/>
        <v>520.94372881666516</v>
      </c>
      <c r="I444" s="9">
        <f t="shared" si="34"/>
        <v>555.67331073777621</v>
      </c>
    </row>
    <row r="445" spans="1:9" x14ac:dyDescent="0.35">
      <c r="A445" s="18" t="s">
        <v>2956</v>
      </c>
      <c r="B445" s="18" t="s">
        <v>1225</v>
      </c>
      <c r="C445" s="20">
        <v>45600</v>
      </c>
      <c r="D445" s="11">
        <v>408.04149330000013</v>
      </c>
      <c r="E445" s="27">
        <f t="shared" si="30"/>
        <v>454.2317903415601</v>
      </c>
      <c r="F445" s="6">
        <f t="shared" si="31"/>
        <v>590.50132744402811</v>
      </c>
      <c r="G445" s="7">
        <f t="shared" si="32"/>
        <v>635.92450647818407</v>
      </c>
      <c r="H445" s="8">
        <f t="shared" si="33"/>
        <v>681.34768551234015</v>
      </c>
      <c r="I445" s="9">
        <f t="shared" si="34"/>
        <v>726.77086454649623</v>
      </c>
    </row>
    <row r="446" spans="1:9" x14ac:dyDescent="0.35">
      <c r="A446" s="18" t="s">
        <v>2957</v>
      </c>
      <c r="B446" s="18" t="s">
        <v>1226</v>
      </c>
      <c r="C446" s="20">
        <v>45600</v>
      </c>
      <c r="D446" s="11">
        <v>476.45034097500019</v>
      </c>
      <c r="E446" s="27">
        <f t="shared" si="30"/>
        <v>530.3845195733702</v>
      </c>
      <c r="F446" s="6">
        <f t="shared" si="31"/>
        <v>689.49987544538124</v>
      </c>
      <c r="G446" s="7">
        <f t="shared" si="32"/>
        <v>742.53832740271821</v>
      </c>
      <c r="H446" s="8">
        <f t="shared" si="33"/>
        <v>795.5767793600553</v>
      </c>
      <c r="I446" s="9">
        <f t="shared" si="34"/>
        <v>848.61523131739239</v>
      </c>
    </row>
    <row r="447" spans="1:9" x14ac:dyDescent="0.35">
      <c r="A447" s="18" t="s">
        <v>2958</v>
      </c>
      <c r="B447" s="18" t="s">
        <v>2368</v>
      </c>
      <c r="C447" s="20">
        <v>45600</v>
      </c>
      <c r="D447" s="11">
        <v>566.80468267500009</v>
      </c>
      <c r="E447" s="27">
        <f t="shared" si="30"/>
        <v>630.96697275381007</v>
      </c>
      <c r="F447" s="6">
        <f t="shared" si="31"/>
        <v>820.25706457995307</v>
      </c>
      <c r="G447" s="7">
        <f t="shared" si="32"/>
        <v>883.35376185533403</v>
      </c>
      <c r="H447" s="8">
        <f t="shared" si="33"/>
        <v>946.4504591307151</v>
      </c>
      <c r="I447" s="9">
        <f t="shared" si="34"/>
        <v>1009.5471564060962</v>
      </c>
    </row>
    <row r="448" spans="1:9" x14ac:dyDescent="0.35">
      <c r="A448" s="18" t="s">
        <v>2959</v>
      </c>
      <c r="B448" s="18" t="s">
        <v>2369</v>
      </c>
      <c r="C448" s="20">
        <v>45600</v>
      </c>
      <c r="D448" s="11">
        <v>628.94338920000007</v>
      </c>
      <c r="E448" s="27">
        <f t="shared" si="30"/>
        <v>700.13978085744009</v>
      </c>
      <c r="F448" s="6">
        <f t="shared" si="31"/>
        <v>910.1817151146721</v>
      </c>
      <c r="G448" s="7">
        <f t="shared" si="32"/>
        <v>980.19569320041603</v>
      </c>
      <c r="H448" s="8">
        <f t="shared" si="33"/>
        <v>1050.2096712861601</v>
      </c>
      <c r="I448" s="9">
        <f t="shared" si="34"/>
        <v>1120.2236493719042</v>
      </c>
    </row>
    <row r="449" spans="1:9" x14ac:dyDescent="0.35">
      <c r="C449" s="20">
        <v>45600</v>
      </c>
      <c r="D449" s="11">
        <v>0</v>
      </c>
      <c r="E449" s="27">
        <f t="shared" si="30"/>
        <v>0</v>
      </c>
      <c r="F449" s="6">
        <f t="shared" si="31"/>
        <v>0</v>
      </c>
      <c r="G449" s="7">
        <f t="shared" si="32"/>
        <v>0</v>
      </c>
      <c r="H449" s="8">
        <f t="shared" si="33"/>
        <v>0</v>
      </c>
      <c r="I449" s="9">
        <f t="shared" si="34"/>
        <v>0</v>
      </c>
    </row>
    <row r="450" spans="1:9" x14ac:dyDescent="0.35">
      <c r="A450" s="18" t="s">
        <v>2960</v>
      </c>
      <c r="B450" s="18" t="s">
        <v>2370</v>
      </c>
      <c r="C450" s="20">
        <v>45600</v>
      </c>
      <c r="D450" s="11">
        <v>90.434728125000021</v>
      </c>
      <c r="E450" s="27">
        <f t="shared" si="30"/>
        <v>100.67193934875002</v>
      </c>
      <c r="F450" s="6">
        <f t="shared" si="31"/>
        <v>130.87352115337504</v>
      </c>
      <c r="G450" s="7">
        <f t="shared" si="32"/>
        <v>140.94071508825002</v>
      </c>
      <c r="H450" s="8">
        <f t="shared" si="33"/>
        <v>151.00790902312502</v>
      </c>
      <c r="I450" s="9">
        <f t="shared" si="34"/>
        <v>161.07510295800003</v>
      </c>
    </row>
    <row r="451" spans="1:9" x14ac:dyDescent="0.35">
      <c r="A451" s="18" t="s">
        <v>2961</v>
      </c>
      <c r="B451" s="18" t="s">
        <v>2371</v>
      </c>
      <c r="C451" s="20">
        <v>45600</v>
      </c>
      <c r="D451" s="11">
        <v>87.540816825000022</v>
      </c>
      <c r="E451" s="27">
        <f t="shared" si="30"/>
        <v>97.450437289590027</v>
      </c>
      <c r="F451" s="6">
        <f t="shared" si="31"/>
        <v>126.68556847646704</v>
      </c>
      <c r="G451" s="7">
        <f t="shared" si="32"/>
        <v>136.43061220542603</v>
      </c>
      <c r="H451" s="8">
        <f t="shared" si="33"/>
        <v>146.17565593438505</v>
      </c>
      <c r="I451" s="9">
        <f t="shared" si="34"/>
        <v>155.92069966334407</v>
      </c>
    </row>
    <row r="452" spans="1:9" x14ac:dyDescent="0.35">
      <c r="A452" s="18" t="s">
        <v>2962</v>
      </c>
      <c r="B452" s="18" t="s">
        <v>2372</v>
      </c>
      <c r="C452" s="20">
        <v>45600</v>
      </c>
      <c r="D452" s="11">
        <v>122.76614826000002</v>
      </c>
      <c r="E452" s="27">
        <f t="shared" si="30"/>
        <v>136.66327624303204</v>
      </c>
      <c r="F452" s="6">
        <f t="shared" si="31"/>
        <v>177.66225911594165</v>
      </c>
      <c r="G452" s="7">
        <f t="shared" si="32"/>
        <v>191.32858674024484</v>
      </c>
      <c r="H452" s="8">
        <f t="shared" si="33"/>
        <v>204.99491436454807</v>
      </c>
      <c r="I452" s="9">
        <f t="shared" si="34"/>
        <v>218.66124198885129</v>
      </c>
    </row>
    <row r="453" spans="1:9" x14ac:dyDescent="0.35">
      <c r="A453" s="18" t="s">
        <v>2963</v>
      </c>
      <c r="B453" s="18" t="s">
        <v>2373</v>
      </c>
      <c r="C453" s="20">
        <v>45600</v>
      </c>
      <c r="D453" s="11">
        <v>144.32578744500003</v>
      </c>
      <c r="E453" s="27">
        <f t="shared" si="30"/>
        <v>160.66346658377404</v>
      </c>
      <c r="F453" s="6">
        <f t="shared" si="31"/>
        <v>208.86250655890626</v>
      </c>
      <c r="G453" s="7">
        <f t="shared" si="32"/>
        <v>224.92885321728363</v>
      </c>
      <c r="H453" s="8">
        <f t="shared" si="33"/>
        <v>240.99519987566106</v>
      </c>
      <c r="I453" s="9">
        <f t="shared" si="34"/>
        <v>257.06154653403848</v>
      </c>
    </row>
    <row r="454" spans="1:9" x14ac:dyDescent="0.35">
      <c r="A454" s="18" t="s">
        <v>2964</v>
      </c>
      <c r="B454" s="18" t="s">
        <v>2374</v>
      </c>
      <c r="C454" s="20">
        <v>45600</v>
      </c>
      <c r="D454" s="11">
        <v>235.91808009000007</v>
      </c>
      <c r="E454" s="27">
        <f t="shared" si="30"/>
        <v>262.62400675618812</v>
      </c>
      <c r="F454" s="6">
        <f t="shared" si="31"/>
        <v>341.41120878304457</v>
      </c>
      <c r="G454" s="7">
        <f t="shared" si="32"/>
        <v>367.67360945866335</v>
      </c>
      <c r="H454" s="8">
        <f t="shared" si="33"/>
        <v>393.93601013428218</v>
      </c>
      <c r="I454" s="9">
        <f t="shared" si="34"/>
        <v>420.19841080990102</v>
      </c>
    </row>
    <row r="455" spans="1:9" x14ac:dyDescent="0.35">
      <c r="A455" s="18" t="s">
        <v>1853</v>
      </c>
      <c r="B455" s="18" t="s">
        <v>1851</v>
      </c>
      <c r="C455" s="20">
        <v>45600</v>
      </c>
      <c r="D455" s="11">
        <v>344.69699040000006</v>
      </c>
      <c r="E455" s="27">
        <f t="shared" si="30"/>
        <v>383.71668971328006</v>
      </c>
      <c r="F455" s="6">
        <f t="shared" si="31"/>
        <v>498.83169662726408</v>
      </c>
      <c r="G455" s="7">
        <f t="shared" si="32"/>
        <v>537.20336559859209</v>
      </c>
      <c r="H455" s="8">
        <f t="shared" si="33"/>
        <v>575.57503456992004</v>
      </c>
      <c r="I455" s="9">
        <f t="shared" si="34"/>
        <v>613.9467035412481</v>
      </c>
    </row>
    <row r="456" spans="1:9" x14ac:dyDescent="0.35">
      <c r="A456" s="18" t="s">
        <v>1854</v>
      </c>
      <c r="B456" s="18" t="s">
        <v>1852</v>
      </c>
      <c r="C456" s="20">
        <v>45600</v>
      </c>
      <c r="D456" s="11">
        <v>322.4299506750001</v>
      </c>
      <c r="E456" s="27">
        <f t="shared" si="30"/>
        <v>358.92902109141011</v>
      </c>
      <c r="F456" s="6">
        <f t="shared" si="31"/>
        <v>466.60772741883318</v>
      </c>
      <c r="G456" s="7">
        <f t="shared" si="32"/>
        <v>502.50062952797413</v>
      </c>
      <c r="H456" s="8">
        <f t="shared" si="33"/>
        <v>538.39353163711519</v>
      </c>
      <c r="I456" s="9">
        <f t="shared" si="34"/>
        <v>574.28643374625619</v>
      </c>
    </row>
    <row r="457" spans="1:9" x14ac:dyDescent="0.35">
      <c r="A457" s="18" t="s">
        <v>2965</v>
      </c>
      <c r="B457" s="18" t="s">
        <v>2375</v>
      </c>
      <c r="C457" s="20">
        <v>45600</v>
      </c>
      <c r="D457" s="11">
        <v>307.23691635000006</v>
      </c>
      <c r="E457" s="27">
        <f t="shared" si="30"/>
        <v>342.01613528082009</v>
      </c>
      <c r="F457" s="6">
        <f t="shared" si="31"/>
        <v>444.62097586506616</v>
      </c>
      <c r="G457" s="7">
        <f t="shared" si="32"/>
        <v>478.82258939314812</v>
      </c>
      <c r="H457" s="8">
        <f t="shared" si="33"/>
        <v>513.0242029212302</v>
      </c>
      <c r="I457" s="9">
        <f t="shared" si="34"/>
        <v>547.22581644931222</v>
      </c>
    </row>
    <row r="458" spans="1:9" x14ac:dyDescent="0.35">
      <c r="A458" s="18" t="s">
        <v>1641</v>
      </c>
      <c r="B458" s="18" t="s">
        <v>2376</v>
      </c>
      <c r="C458" s="20">
        <v>45600</v>
      </c>
      <c r="D458" s="11">
        <v>314.47169460000003</v>
      </c>
      <c r="E458" s="27">
        <f t="shared" si="30"/>
        <v>350.06989042872004</v>
      </c>
      <c r="F458" s="6">
        <f t="shared" si="31"/>
        <v>455.09085755733605</v>
      </c>
      <c r="G458" s="7">
        <f t="shared" si="32"/>
        <v>490.09784660020802</v>
      </c>
      <c r="H458" s="8">
        <f t="shared" si="33"/>
        <v>525.10483564308004</v>
      </c>
      <c r="I458" s="9">
        <f t="shared" si="34"/>
        <v>560.11182468595212</v>
      </c>
    </row>
    <row r="459" spans="1:9" x14ac:dyDescent="0.35">
      <c r="A459" s="18" t="s">
        <v>5533</v>
      </c>
      <c r="B459" s="18" t="s">
        <v>5535</v>
      </c>
      <c r="C459" s="20">
        <v>45600</v>
      </c>
      <c r="D459" s="11">
        <v>360.45272970000013</v>
      </c>
      <c r="E459" s="27">
        <f t="shared" si="30"/>
        <v>401.25597870204018</v>
      </c>
      <c r="F459" s="6">
        <f t="shared" si="31"/>
        <v>521.63277231265226</v>
      </c>
      <c r="G459" s="7">
        <f t="shared" si="32"/>
        <v>561.7583701828562</v>
      </c>
      <c r="H459" s="8">
        <f t="shared" si="33"/>
        <v>601.88396805306024</v>
      </c>
      <c r="I459" s="9">
        <f t="shared" si="34"/>
        <v>642.00956592326429</v>
      </c>
    </row>
    <row r="460" spans="1:9" x14ac:dyDescent="0.35">
      <c r="A460" s="18" t="s">
        <v>5534</v>
      </c>
      <c r="B460" s="18" t="s">
        <v>5536</v>
      </c>
      <c r="C460" s="20">
        <v>45600</v>
      </c>
      <c r="D460" s="11">
        <v>388.98991057500001</v>
      </c>
      <c r="E460" s="27">
        <f t="shared" ref="E460:E523" si="35">D460*1.21*0.92</f>
        <v>433.02356845209005</v>
      </c>
      <c r="F460" s="6">
        <f t="shared" ref="F460:F523" si="36">E460*1.3</f>
        <v>562.93063898771709</v>
      </c>
      <c r="G460" s="7">
        <f t="shared" ref="G460:G523" si="37">E460*1.4</f>
        <v>606.23299583292601</v>
      </c>
      <c r="H460" s="8">
        <f t="shared" ref="H460:H523" si="38">E460*1.5</f>
        <v>649.53535267813504</v>
      </c>
      <c r="I460" s="9">
        <f t="shared" ref="I460:I523" si="39">E460*1.6</f>
        <v>692.83770952334407</v>
      </c>
    </row>
    <row r="461" spans="1:9" x14ac:dyDescent="0.35">
      <c r="A461" s="18" t="s">
        <v>1642</v>
      </c>
      <c r="B461" s="18" t="s">
        <v>2377</v>
      </c>
      <c r="C461" s="20">
        <v>45600</v>
      </c>
      <c r="D461" s="11">
        <v>460.29266955000008</v>
      </c>
      <c r="E461" s="27">
        <f t="shared" si="35"/>
        <v>512.3977997430602</v>
      </c>
      <c r="F461" s="6">
        <f t="shared" si="36"/>
        <v>666.11713966597824</v>
      </c>
      <c r="G461" s="7">
        <f t="shared" si="37"/>
        <v>717.35691964028422</v>
      </c>
      <c r="H461" s="8">
        <f t="shared" si="38"/>
        <v>768.59669961459031</v>
      </c>
      <c r="I461" s="9">
        <f t="shared" si="39"/>
        <v>819.8364795888964</v>
      </c>
    </row>
    <row r="462" spans="1:9" x14ac:dyDescent="0.35">
      <c r="A462" s="18" t="s">
        <v>1643</v>
      </c>
      <c r="B462" s="18" t="s">
        <v>2378</v>
      </c>
      <c r="C462" s="20">
        <v>45600</v>
      </c>
      <c r="D462" s="11">
        <v>519.2159190750001</v>
      </c>
      <c r="E462" s="27">
        <f t="shared" si="35"/>
        <v>577.99116111429009</v>
      </c>
      <c r="F462" s="6">
        <f t="shared" si="36"/>
        <v>751.38850944857711</v>
      </c>
      <c r="G462" s="7">
        <f t="shared" si="37"/>
        <v>809.18762556000604</v>
      </c>
      <c r="H462" s="8">
        <f t="shared" si="38"/>
        <v>866.98674167143508</v>
      </c>
      <c r="I462" s="9">
        <f t="shared" si="39"/>
        <v>924.78585778286424</v>
      </c>
    </row>
    <row r="463" spans="1:9" x14ac:dyDescent="0.35">
      <c r="A463" s="18" t="s">
        <v>5537</v>
      </c>
      <c r="B463" s="18" t="s">
        <v>5540</v>
      </c>
      <c r="C463" s="20">
        <v>45600</v>
      </c>
      <c r="D463" s="11">
        <v>634.57043895000015</v>
      </c>
      <c r="E463" s="27">
        <f t="shared" si="35"/>
        <v>706.40381263914014</v>
      </c>
      <c r="F463" s="6">
        <f t="shared" si="36"/>
        <v>918.32495643088225</v>
      </c>
      <c r="G463" s="7">
        <f t="shared" si="37"/>
        <v>988.96533769479618</v>
      </c>
      <c r="H463" s="8">
        <f t="shared" si="38"/>
        <v>1059.6057189587102</v>
      </c>
      <c r="I463" s="9">
        <f t="shared" si="39"/>
        <v>1130.2461002226244</v>
      </c>
    </row>
    <row r="464" spans="1:9" x14ac:dyDescent="0.35">
      <c r="A464" s="18" t="s">
        <v>5538</v>
      </c>
      <c r="B464" s="18" t="s">
        <v>5541</v>
      </c>
      <c r="C464" s="20">
        <v>45600</v>
      </c>
      <c r="D464" s="11">
        <v>604.90784812500021</v>
      </c>
      <c r="E464" s="27">
        <f t="shared" si="35"/>
        <v>673.38341653275029</v>
      </c>
      <c r="F464" s="6">
        <f t="shared" si="36"/>
        <v>875.39844149257544</v>
      </c>
      <c r="G464" s="7">
        <f t="shared" si="37"/>
        <v>942.73678314585038</v>
      </c>
      <c r="H464" s="8">
        <f t="shared" si="38"/>
        <v>1010.0751247991254</v>
      </c>
      <c r="I464" s="9">
        <f t="shared" si="39"/>
        <v>1077.4134664524006</v>
      </c>
    </row>
    <row r="465" spans="1:9" x14ac:dyDescent="0.35">
      <c r="A465" s="18" t="s">
        <v>5539</v>
      </c>
      <c r="B465" s="18" t="s">
        <v>5542</v>
      </c>
      <c r="C465" s="20">
        <v>45600</v>
      </c>
      <c r="D465" s="11">
        <v>663.42916552500014</v>
      </c>
      <c r="E465" s="27">
        <f t="shared" si="35"/>
        <v>738.52934706243013</v>
      </c>
      <c r="F465" s="6">
        <f t="shared" si="36"/>
        <v>960.08815118115922</v>
      </c>
      <c r="G465" s="7">
        <f t="shared" si="37"/>
        <v>1033.9410858874021</v>
      </c>
      <c r="H465" s="8">
        <f t="shared" si="38"/>
        <v>1107.7940205936452</v>
      </c>
      <c r="I465" s="9">
        <f t="shared" si="39"/>
        <v>1181.6469552998883</v>
      </c>
    </row>
    <row r="466" spans="1:9" x14ac:dyDescent="0.35">
      <c r="C466" s="20">
        <v>45600</v>
      </c>
      <c r="D466" s="11">
        <v>0</v>
      </c>
      <c r="E466" s="27">
        <f t="shared" si="35"/>
        <v>0</v>
      </c>
      <c r="F466" s="6">
        <f t="shared" si="36"/>
        <v>0</v>
      </c>
      <c r="G466" s="7">
        <f t="shared" si="37"/>
        <v>0</v>
      </c>
      <c r="H466" s="8">
        <f t="shared" si="38"/>
        <v>0</v>
      </c>
      <c r="I466" s="9">
        <f t="shared" si="39"/>
        <v>0</v>
      </c>
    </row>
    <row r="467" spans="1:9" x14ac:dyDescent="0.35">
      <c r="A467" s="18" t="s">
        <v>1644</v>
      </c>
      <c r="B467" s="18" t="s">
        <v>2379</v>
      </c>
      <c r="C467" s="20">
        <v>45600</v>
      </c>
      <c r="D467" s="11">
        <v>53.135426925000012</v>
      </c>
      <c r="E467" s="27">
        <f t="shared" si="35"/>
        <v>59.150357252910013</v>
      </c>
      <c r="F467" s="6">
        <f t="shared" si="36"/>
        <v>76.895464428783015</v>
      </c>
      <c r="G467" s="7">
        <f t="shared" si="37"/>
        <v>82.810500154074006</v>
      </c>
      <c r="H467" s="8">
        <f t="shared" si="38"/>
        <v>88.725535879365026</v>
      </c>
      <c r="I467" s="9">
        <f t="shared" si="39"/>
        <v>94.640571604656031</v>
      </c>
    </row>
    <row r="468" spans="1:9" x14ac:dyDescent="0.35">
      <c r="A468" s="18" t="s">
        <v>1645</v>
      </c>
      <c r="B468" s="18" t="s">
        <v>2380</v>
      </c>
      <c r="C468" s="20">
        <v>45600</v>
      </c>
      <c r="D468" s="11">
        <v>81.592221375000022</v>
      </c>
      <c r="E468" s="27">
        <f t="shared" si="35"/>
        <v>90.828460834650031</v>
      </c>
      <c r="F468" s="6">
        <f t="shared" si="36"/>
        <v>118.07699908504505</v>
      </c>
      <c r="G468" s="7">
        <f t="shared" si="37"/>
        <v>127.15984516851003</v>
      </c>
      <c r="H468" s="8">
        <f t="shared" si="38"/>
        <v>136.24269125197503</v>
      </c>
      <c r="I468" s="9">
        <f t="shared" si="39"/>
        <v>145.32553733544006</v>
      </c>
    </row>
    <row r="469" spans="1:9" x14ac:dyDescent="0.35">
      <c r="A469" s="18" t="s">
        <v>1646</v>
      </c>
      <c r="B469" s="18" t="s">
        <v>2381</v>
      </c>
      <c r="C469" s="20">
        <v>45600</v>
      </c>
      <c r="D469" s="11">
        <v>122.42852527500004</v>
      </c>
      <c r="E469" s="27">
        <f t="shared" si="35"/>
        <v>136.28743433613005</v>
      </c>
      <c r="F469" s="6">
        <f t="shared" si="36"/>
        <v>177.17366463696908</v>
      </c>
      <c r="G469" s="7">
        <f t="shared" si="37"/>
        <v>190.80240807058206</v>
      </c>
      <c r="H469" s="8">
        <f t="shared" si="38"/>
        <v>204.43115150419507</v>
      </c>
      <c r="I469" s="9">
        <f t="shared" si="39"/>
        <v>218.05989493780808</v>
      </c>
    </row>
    <row r="470" spans="1:9" x14ac:dyDescent="0.35">
      <c r="A470" s="18" t="s">
        <v>1647</v>
      </c>
      <c r="B470" s="18" t="s">
        <v>2382</v>
      </c>
      <c r="C470" s="20">
        <v>45600</v>
      </c>
      <c r="D470" s="11">
        <v>186.65727885000004</v>
      </c>
      <c r="E470" s="27">
        <f t="shared" si="35"/>
        <v>207.78688281582004</v>
      </c>
      <c r="F470" s="6">
        <f t="shared" si="36"/>
        <v>270.12294766056607</v>
      </c>
      <c r="G470" s="7">
        <f t="shared" si="37"/>
        <v>290.901635942148</v>
      </c>
      <c r="H470" s="8">
        <f t="shared" si="38"/>
        <v>311.68032422373005</v>
      </c>
      <c r="I470" s="9">
        <f t="shared" si="39"/>
        <v>332.4590125053121</v>
      </c>
    </row>
    <row r="471" spans="1:9" x14ac:dyDescent="0.35">
      <c r="A471" s="18" t="s">
        <v>1648</v>
      </c>
      <c r="B471" s="18" t="s">
        <v>2383</v>
      </c>
      <c r="C471" s="20">
        <v>45600</v>
      </c>
      <c r="D471" s="11">
        <v>225.96624067500008</v>
      </c>
      <c r="E471" s="27">
        <f t="shared" si="35"/>
        <v>251.54561911941011</v>
      </c>
      <c r="F471" s="6">
        <f t="shared" si="36"/>
        <v>327.00930485523315</v>
      </c>
      <c r="G471" s="7">
        <f t="shared" si="37"/>
        <v>352.16386676717411</v>
      </c>
      <c r="H471" s="8">
        <f t="shared" si="38"/>
        <v>377.31842867911519</v>
      </c>
      <c r="I471" s="9">
        <f t="shared" si="39"/>
        <v>402.4729905910562</v>
      </c>
    </row>
    <row r="472" spans="1:9" x14ac:dyDescent="0.35">
      <c r="A472" s="18" t="s">
        <v>1649</v>
      </c>
      <c r="B472" s="18" t="s">
        <v>2800</v>
      </c>
      <c r="C472" s="20">
        <v>45600</v>
      </c>
      <c r="D472" s="11">
        <v>402.94499395500009</v>
      </c>
      <c r="E472" s="27">
        <f t="shared" si="35"/>
        <v>448.55836727070613</v>
      </c>
      <c r="F472" s="6">
        <f t="shared" si="36"/>
        <v>583.12587745191797</v>
      </c>
      <c r="G472" s="7">
        <f t="shared" si="37"/>
        <v>627.98171417898857</v>
      </c>
      <c r="H472" s="8">
        <f t="shared" si="38"/>
        <v>672.83755090605916</v>
      </c>
      <c r="I472" s="9">
        <f t="shared" si="39"/>
        <v>717.69338763312987</v>
      </c>
    </row>
    <row r="473" spans="1:9" x14ac:dyDescent="0.35">
      <c r="C473" s="20">
        <v>45600</v>
      </c>
      <c r="D473" s="11">
        <v>0</v>
      </c>
      <c r="E473" s="27">
        <f t="shared" si="35"/>
        <v>0</v>
      </c>
      <c r="F473" s="6">
        <f t="shared" si="36"/>
        <v>0</v>
      </c>
      <c r="G473" s="7">
        <f t="shared" si="37"/>
        <v>0</v>
      </c>
      <c r="H473" s="8">
        <f t="shared" si="38"/>
        <v>0</v>
      </c>
      <c r="I473" s="9">
        <f t="shared" si="39"/>
        <v>0</v>
      </c>
    </row>
    <row r="474" spans="1:9" x14ac:dyDescent="0.35">
      <c r="A474" s="18" t="s">
        <v>1650</v>
      </c>
      <c r="B474" s="18" t="s">
        <v>637</v>
      </c>
      <c r="C474" s="20">
        <v>45600</v>
      </c>
      <c r="D474" s="11">
        <v>133.28069265000005</v>
      </c>
      <c r="E474" s="27">
        <f t="shared" si="35"/>
        <v>148.36806705798006</v>
      </c>
      <c r="F474" s="6">
        <f t="shared" si="36"/>
        <v>192.87848717537409</v>
      </c>
      <c r="G474" s="7">
        <f t="shared" si="37"/>
        <v>207.71529388117207</v>
      </c>
      <c r="H474" s="8">
        <f t="shared" si="38"/>
        <v>222.55210058697008</v>
      </c>
      <c r="I474" s="9">
        <f t="shared" si="39"/>
        <v>237.3889072927681</v>
      </c>
    </row>
    <row r="475" spans="1:9" x14ac:dyDescent="0.35">
      <c r="A475" s="18" t="s">
        <v>1651</v>
      </c>
      <c r="B475" s="18" t="s">
        <v>638</v>
      </c>
      <c r="C475" s="20">
        <v>45600</v>
      </c>
      <c r="D475" s="11">
        <v>204.74422447500004</v>
      </c>
      <c r="E475" s="27">
        <f t="shared" si="35"/>
        <v>227.92127068557005</v>
      </c>
      <c r="F475" s="6">
        <f t="shared" si="36"/>
        <v>296.29765189124106</v>
      </c>
      <c r="G475" s="7">
        <f t="shared" si="37"/>
        <v>319.08977895979802</v>
      </c>
      <c r="H475" s="8">
        <f t="shared" si="38"/>
        <v>341.88190602835505</v>
      </c>
      <c r="I475" s="9">
        <f t="shared" si="39"/>
        <v>364.67403309691213</v>
      </c>
    </row>
    <row r="476" spans="1:9" x14ac:dyDescent="0.35">
      <c r="A476" s="18" t="s">
        <v>1652</v>
      </c>
      <c r="B476" s="18" t="s">
        <v>639</v>
      </c>
      <c r="C476" s="20">
        <v>45600</v>
      </c>
      <c r="D476" s="11">
        <v>469.69788127500004</v>
      </c>
      <c r="E476" s="27">
        <f t="shared" si="35"/>
        <v>522.86768143533004</v>
      </c>
      <c r="F476" s="6">
        <f t="shared" si="36"/>
        <v>679.7279858659291</v>
      </c>
      <c r="G476" s="7">
        <f t="shared" si="37"/>
        <v>732.01475400946197</v>
      </c>
      <c r="H476" s="8">
        <f t="shared" si="38"/>
        <v>784.30152215299506</v>
      </c>
      <c r="I476" s="9">
        <f t="shared" si="39"/>
        <v>836.58829029652816</v>
      </c>
    </row>
    <row r="477" spans="1:9" x14ac:dyDescent="0.35">
      <c r="A477" s="18" t="s">
        <v>1653</v>
      </c>
      <c r="B477" s="18" t="s">
        <v>640</v>
      </c>
      <c r="C477" s="20">
        <v>45600</v>
      </c>
      <c r="D477" s="11">
        <v>815.19873592500016</v>
      </c>
      <c r="E477" s="27">
        <f t="shared" si="35"/>
        <v>907.47923283171019</v>
      </c>
      <c r="F477" s="6">
        <f t="shared" si="36"/>
        <v>1179.7230026812233</v>
      </c>
      <c r="G477" s="7">
        <f t="shared" si="37"/>
        <v>1270.4709259643942</v>
      </c>
      <c r="H477" s="8">
        <f t="shared" si="38"/>
        <v>1361.2188492475652</v>
      </c>
      <c r="I477" s="9">
        <f t="shared" si="39"/>
        <v>1451.9667725307363</v>
      </c>
    </row>
    <row r="478" spans="1:9" x14ac:dyDescent="0.35">
      <c r="A478" s="18" t="s">
        <v>1654</v>
      </c>
      <c r="B478" s="18" t="s">
        <v>641</v>
      </c>
      <c r="C478" s="20">
        <v>45600</v>
      </c>
      <c r="D478" s="11">
        <v>1081.5993483750003</v>
      </c>
      <c r="E478" s="27">
        <f t="shared" si="35"/>
        <v>1204.0363946110504</v>
      </c>
      <c r="F478" s="6">
        <f t="shared" si="36"/>
        <v>1565.2473129943655</v>
      </c>
      <c r="G478" s="7">
        <f t="shared" si="37"/>
        <v>1685.6509524554704</v>
      </c>
      <c r="H478" s="8">
        <f t="shared" si="38"/>
        <v>1806.0545919165756</v>
      </c>
      <c r="I478" s="9">
        <f t="shared" si="39"/>
        <v>1926.4582313776807</v>
      </c>
    </row>
    <row r="479" spans="1:9" x14ac:dyDescent="0.35">
      <c r="A479" s="18" t="s">
        <v>1655</v>
      </c>
      <c r="B479" s="18" t="s">
        <v>642</v>
      </c>
      <c r="C479" s="20">
        <v>45600</v>
      </c>
      <c r="D479" s="11">
        <v>1873.2448617750003</v>
      </c>
      <c r="E479" s="27">
        <f t="shared" si="35"/>
        <v>2085.2961801279303</v>
      </c>
      <c r="F479" s="6">
        <f t="shared" si="36"/>
        <v>2710.8850341663097</v>
      </c>
      <c r="G479" s="7">
        <f t="shared" si="37"/>
        <v>2919.4146521791022</v>
      </c>
      <c r="H479" s="8">
        <f t="shared" si="38"/>
        <v>3127.9442701918952</v>
      </c>
      <c r="I479" s="9">
        <f t="shared" si="39"/>
        <v>3336.4738882046886</v>
      </c>
    </row>
    <row r="480" spans="1:9" x14ac:dyDescent="0.35">
      <c r="C480" s="20">
        <v>45600</v>
      </c>
      <c r="D480" s="11">
        <v>0</v>
      </c>
      <c r="E480" s="27">
        <f t="shared" si="35"/>
        <v>0</v>
      </c>
      <c r="F480" s="6">
        <f t="shared" si="36"/>
        <v>0</v>
      </c>
      <c r="G480" s="7">
        <f t="shared" si="37"/>
        <v>0</v>
      </c>
      <c r="H480" s="8">
        <f t="shared" si="38"/>
        <v>0</v>
      </c>
      <c r="I480" s="9">
        <f t="shared" si="39"/>
        <v>0</v>
      </c>
    </row>
    <row r="481" spans="1:9" ht="16.5" customHeight="1" x14ac:dyDescent="0.35">
      <c r="A481" s="18" t="s">
        <v>1656</v>
      </c>
      <c r="B481" s="18" t="s">
        <v>643</v>
      </c>
      <c r="C481" s="20">
        <v>45600</v>
      </c>
      <c r="D481" s="11">
        <v>136.27106766000003</v>
      </c>
      <c r="E481" s="27">
        <f t="shared" si="35"/>
        <v>151.69695251911205</v>
      </c>
      <c r="F481" s="6">
        <f t="shared" si="36"/>
        <v>197.20603827484567</v>
      </c>
      <c r="G481" s="7">
        <f t="shared" si="37"/>
        <v>212.37573352675685</v>
      </c>
      <c r="H481" s="8">
        <f t="shared" si="38"/>
        <v>227.54542877866805</v>
      </c>
      <c r="I481" s="9">
        <f t="shared" si="39"/>
        <v>242.71512403057929</v>
      </c>
    </row>
    <row r="482" spans="1:9" x14ac:dyDescent="0.35">
      <c r="A482" s="18" t="s">
        <v>1657</v>
      </c>
      <c r="B482" s="18" t="s">
        <v>644</v>
      </c>
      <c r="C482" s="20">
        <v>45600</v>
      </c>
      <c r="D482" s="11">
        <v>220.25880450000002</v>
      </c>
      <c r="E482" s="27">
        <f t="shared" si="35"/>
        <v>245.19210116940002</v>
      </c>
      <c r="F482" s="6">
        <f t="shared" si="36"/>
        <v>318.74973152022005</v>
      </c>
      <c r="G482" s="7">
        <f t="shared" si="37"/>
        <v>343.26894163716003</v>
      </c>
      <c r="H482" s="8">
        <f t="shared" si="38"/>
        <v>367.7881517541</v>
      </c>
      <c r="I482" s="9">
        <f t="shared" si="39"/>
        <v>392.30736187104003</v>
      </c>
    </row>
    <row r="483" spans="1:9" x14ac:dyDescent="0.35">
      <c r="A483" s="18" t="s">
        <v>1658</v>
      </c>
      <c r="B483" s="18" t="s">
        <v>645</v>
      </c>
      <c r="C483" s="20">
        <v>45600</v>
      </c>
      <c r="D483" s="11">
        <v>378.86122102500013</v>
      </c>
      <c r="E483" s="27">
        <f t="shared" si="35"/>
        <v>421.74831124503015</v>
      </c>
      <c r="F483" s="6">
        <f t="shared" si="36"/>
        <v>548.27280461853923</v>
      </c>
      <c r="G483" s="7">
        <f t="shared" si="37"/>
        <v>590.44763574304216</v>
      </c>
      <c r="H483" s="8">
        <f t="shared" si="38"/>
        <v>632.6224668675452</v>
      </c>
      <c r="I483" s="9">
        <f t="shared" si="39"/>
        <v>674.79729799204824</v>
      </c>
    </row>
    <row r="484" spans="1:9" x14ac:dyDescent="0.35">
      <c r="A484" s="18" t="s">
        <v>1659</v>
      </c>
      <c r="B484" s="18" t="s">
        <v>646</v>
      </c>
      <c r="C484" s="20">
        <v>45600</v>
      </c>
      <c r="D484" s="11">
        <v>827.17631325000013</v>
      </c>
      <c r="E484" s="27">
        <f t="shared" si="35"/>
        <v>920.81267190990013</v>
      </c>
      <c r="F484" s="6">
        <f t="shared" si="36"/>
        <v>1197.0564734828702</v>
      </c>
      <c r="G484" s="7">
        <f t="shared" si="37"/>
        <v>1289.1377406738602</v>
      </c>
      <c r="H484" s="8">
        <f t="shared" si="38"/>
        <v>1381.2190078648503</v>
      </c>
      <c r="I484" s="9">
        <f t="shared" si="39"/>
        <v>1473.3002750558403</v>
      </c>
    </row>
    <row r="485" spans="1:9" x14ac:dyDescent="0.35">
      <c r="A485" s="18" t="s">
        <v>1660</v>
      </c>
      <c r="B485" s="18" t="s">
        <v>647</v>
      </c>
      <c r="C485" s="20">
        <v>45600</v>
      </c>
      <c r="D485" s="11">
        <v>1033.0459476750002</v>
      </c>
      <c r="E485" s="27">
        <f t="shared" si="35"/>
        <v>1149.9867489518101</v>
      </c>
      <c r="F485" s="6">
        <f t="shared" si="36"/>
        <v>1494.9827736373531</v>
      </c>
      <c r="G485" s="7">
        <f t="shared" si="37"/>
        <v>1609.9814485325342</v>
      </c>
      <c r="H485" s="8">
        <f t="shared" si="38"/>
        <v>1724.9801234277152</v>
      </c>
      <c r="I485" s="9">
        <f t="shared" si="39"/>
        <v>1839.9787983228962</v>
      </c>
    </row>
    <row r="486" spans="1:9" x14ac:dyDescent="0.35">
      <c r="A486" s="18" t="s">
        <v>1661</v>
      </c>
      <c r="B486" s="18" t="s">
        <v>648</v>
      </c>
      <c r="C486" s="20">
        <v>45600</v>
      </c>
      <c r="D486" s="11">
        <v>1909.9814580000004</v>
      </c>
      <c r="E486" s="27">
        <f t="shared" si="35"/>
        <v>2126.1913590456006</v>
      </c>
      <c r="F486" s="6">
        <f t="shared" si="36"/>
        <v>2764.0487667592811</v>
      </c>
      <c r="G486" s="7">
        <f t="shared" si="37"/>
        <v>2976.6679026638408</v>
      </c>
      <c r="H486" s="8">
        <f t="shared" si="38"/>
        <v>3189.2870385684009</v>
      </c>
      <c r="I486" s="9">
        <f t="shared" si="39"/>
        <v>3401.9061744729611</v>
      </c>
    </row>
    <row r="487" spans="1:9" x14ac:dyDescent="0.35">
      <c r="C487" s="20">
        <v>45600</v>
      </c>
      <c r="D487" s="11">
        <v>0</v>
      </c>
      <c r="E487" s="27">
        <f t="shared" si="35"/>
        <v>0</v>
      </c>
      <c r="F487" s="6">
        <f t="shared" si="36"/>
        <v>0</v>
      </c>
      <c r="G487" s="7">
        <f t="shared" si="37"/>
        <v>0</v>
      </c>
      <c r="H487" s="8">
        <f t="shared" si="38"/>
        <v>0</v>
      </c>
      <c r="I487" s="9">
        <f t="shared" si="39"/>
        <v>0</v>
      </c>
    </row>
    <row r="488" spans="1:9" x14ac:dyDescent="0.35">
      <c r="A488" s="18" t="s">
        <v>1662</v>
      </c>
      <c r="B488" s="18" t="s">
        <v>649</v>
      </c>
      <c r="C488" s="20">
        <v>45600</v>
      </c>
      <c r="D488" s="11">
        <v>245.66091480000006</v>
      </c>
      <c r="E488" s="27">
        <f t="shared" si="35"/>
        <v>273.46973035536007</v>
      </c>
      <c r="F488" s="6">
        <f t="shared" si="36"/>
        <v>355.51064946196811</v>
      </c>
      <c r="G488" s="7">
        <f t="shared" si="37"/>
        <v>382.85762249750405</v>
      </c>
      <c r="H488" s="8">
        <f t="shared" si="38"/>
        <v>410.20459553304011</v>
      </c>
      <c r="I488" s="9">
        <f t="shared" si="39"/>
        <v>437.55156856857616</v>
      </c>
    </row>
    <row r="489" spans="1:9" x14ac:dyDescent="0.35">
      <c r="A489" s="18" t="s">
        <v>1663</v>
      </c>
      <c r="B489" s="18" t="s">
        <v>2321</v>
      </c>
      <c r="C489" s="20">
        <v>45600</v>
      </c>
      <c r="D489" s="11">
        <v>636.17816745000016</v>
      </c>
      <c r="E489" s="27">
        <f t="shared" si="35"/>
        <v>708.19353600534021</v>
      </c>
      <c r="F489" s="6">
        <f t="shared" si="36"/>
        <v>920.65159680694228</v>
      </c>
      <c r="G489" s="7">
        <f t="shared" si="37"/>
        <v>991.47095040747627</v>
      </c>
      <c r="H489" s="8">
        <f t="shared" si="38"/>
        <v>1062.2903040080103</v>
      </c>
      <c r="I489" s="9">
        <f t="shared" si="39"/>
        <v>1133.1096576085445</v>
      </c>
    </row>
    <row r="490" spans="1:9" x14ac:dyDescent="0.35">
      <c r="A490" s="18" t="s">
        <v>1664</v>
      </c>
      <c r="B490" s="18" t="s">
        <v>2322</v>
      </c>
      <c r="C490" s="20">
        <v>45600</v>
      </c>
      <c r="D490" s="11">
        <v>636.17816745000016</v>
      </c>
      <c r="E490" s="27">
        <f t="shared" si="35"/>
        <v>708.19353600534021</v>
      </c>
      <c r="F490" s="6">
        <f t="shared" si="36"/>
        <v>920.65159680694228</v>
      </c>
      <c r="G490" s="7">
        <f t="shared" si="37"/>
        <v>991.47095040747627</v>
      </c>
      <c r="H490" s="8">
        <f t="shared" si="38"/>
        <v>1062.2903040080103</v>
      </c>
      <c r="I490" s="9">
        <f t="shared" si="39"/>
        <v>1133.1096576085445</v>
      </c>
    </row>
    <row r="491" spans="1:9" x14ac:dyDescent="0.35">
      <c r="C491" s="20">
        <v>45600</v>
      </c>
      <c r="D491" s="11">
        <v>0</v>
      </c>
      <c r="E491" s="27">
        <f t="shared" si="35"/>
        <v>0</v>
      </c>
      <c r="F491" s="6">
        <f t="shared" si="36"/>
        <v>0</v>
      </c>
      <c r="G491" s="7">
        <f t="shared" si="37"/>
        <v>0</v>
      </c>
      <c r="H491" s="8">
        <f t="shared" si="38"/>
        <v>0</v>
      </c>
      <c r="I491" s="9">
        <f t="shared" si="39"/>
        <v>0</v>
      </c>
    </row>
    <row r="492" spans="1:9" x14ac:dyDescent="0.35">
      <c r="A492" s="18" t="s">
        <v>1665</v>
      </c>
      <c r="B492" s="18" t="s">
        <v>2323</v>
      </c>
      <c r="C492" s="20">
        <v>45600</v>
      </c>
      <c r="D492" s="11">
        <v>309.09600000000006</v>
      </c>
      <c r="E492" s="27">
        <f t="shared" si="35"/>
        <v>344.0856672000001</v>
      </c>
      <c r="F492" s="6">
        <f t="shared" si="36"/>
        <v>447.31136736000013</v>
      </c>
      <c r="G492" s="7">
        <f t="shared" si="37"/>
        <v>481.71993408000009</v>
      </c>
      <c r="H492" s="8">
        <f t="shared" si="38"/>
        <v>516.12850080000021</v>
      </c>
      <c r="I492" s="9">
        <f t="shared" si="39"/>
        <v>550.53706752000016</v>
      </c>
    </row>
    <row r="493" spans="1:9" x14ac:dyDescent="0.35">
      <c r="A493" s="18" t="s">
        <v>1666</v>
      </c>
      <c r="B493" s="18" t="s">
        <v>2324</v>
      </c>
      <c r="C493" s="20">
        <v>45600</v>
      </c>
      <c r="D493" s="11">
        <v>450.76500000000004</v>
      </c>
      <c r="E493" s="27">
        <f t="shared" si="35"/>
        <v>501.79159800000002</v>
      </c>
      <c r="F493" s="6">
        <f t="shared" si="36"/>
        <v>652.32907740000007</v>
      </c>
      <c r="G493" s="7">
        <f t="shared" si="37"/>
        <v>702.50823719999994</v>
      </c>
      <c r="H493" s="8">
        <f t="shared" si="38"/>
        <v>752.68739700000003</v>
      </c>
      <c r="I493" s="9">
        <f t="shared" si="39"/>
        <v>802.86655680000013</v>
      </c>
    </row>
    <row r="494" spans="1:9" x14ac:dyDescent="0.35">
      <c r="A494" s="18" t="s">
        <v>1667</v>
      </c>
      <c r="B494" s="18" t="s">
        <v>2325</v>
      </c>
      <c r="C494" s="20">
        <v>45600</v>
      </c>
      <c r="D494" s="11">
        <v>740.83400000000006</v>
      </c>
      <c r="E494" s="27">
        <f t="shared" si="35"/>
        <v>824.69640880000009</v>
      </c>
      <c r="F494" s="6">
        <f t="shared" si="36"/>
        <v>1072.1053314400001</v>
      </c>
      <c r="G494" s="7">
        <f t="shared" si="37"/>
        <v>1154.5749723200001</v>
      </c>
      <c r="H494" s="8">
        <f t="shared" si="38"/>
        <v>1237.0446132000002</v>
      </c>
      <c r="I494" s="9">
        <f t="shared" si="39"/>
        <v>1319.5142540800002</v>
      </c>
    </row>
    <row r="495" spans="1:9" x14ac:dyDescent="0.35">
      <c r="A495" s="18" t="s">
        <v>1668</v>
      </c>
      <c r="B495" s="18" t="s">
        <v>2326</v>
      </c>
      <c r="C495" s="20">
        <v>45600</v>
      </c>
      <c r="D495" s="11">
        <v>1159.3962000000001</v>
      </c>
      <c r="E495" s="27">
        <f t="shared" si="35"/>
        <v>1290.6398498400001</v>
      </c>
      <c r="F495" s="6">
        <f t="shared" si="36"/>
        <v>1677.8318047920002</v>
      </c>
      <c r="G495" s="7">
        <f t="shared" si="37"/>
        <v>1806.8957897760001</v>
      </c>
      <c r="H495" s="8">
        <f t="shared" si="38"/>
        <v>1935.9597747600001</v>
      </c>
      <c r="I495" s="9">
        <f t="shared" si="39"/>
        <v>2065.0237597440005</v>
      </c>
    </row>
    <row r="496" spans="1:9" x14ac:dyDescent="0.35">
      <c r="A496" s="18" t="s">
        <v>1669</v>
      </c>
      <c r="B496" s="18" t="s">
        <v>2327</v>
      </c>
      <c r="C496" s="20">
        <v>45600</v>
      </c>
      <c r="D496" s="11">
        <v>1610.3096000000003</v>
      </c>
      <c r="E496" s="27">
        <f t="shared" si="35"/>
        <v>1792.5966467200003</v>
      </c>
      <c r="F496" s="6">
        <f t="shared" si="36"/>
        <v>2330.3756407360006</v>
      </c>
      <c r="G496" s="7">
        <f t="shared" si="37"/>
        <v>2509.6353054080005</v>
      </c>
      <c r="H496" s="8">
        <f t="shared" si="38"/>
        <v>2688.8949700800003</v>
      </c>
      <c r="I496" s="9">
        <f t="shared" si="39"/>
        <v>2868.1546347520007</v>
      </c>
    </row>
    <row r="497" spans="1:9" x14ac:dyDescent="0.35">
      <c r="A497" s="18" t="s">
        <v>1670</v>
      </c>
      <c r="B497" s="18" t="s">
        <v>2328</v>
      </c>
      <c r="C497" s="20">
        <v>45600</v>
      </c>
      <c r="D497" s="11">
        <v>2576.5207999999998</v>
      </c>
      <c r="E497" s="27">
        <f t="shared" si="35"/>
        <v>2868.1829545599999</v>
      </c>
      <c r="F497" s="6">
        <f t="shared" si="36"/>
        <v>3728.6378409280001</v>
      </c>
      <c r="G497" s="7">
        <f t="shared" si="37"/>
        <v>4015.4561363839994</v>
      </c>
      <c r="H497" s="8">
        <f t="shared" si="38"/>
        <v>4302.27443184</v>
      </c>
      <c r="I497" s="9">
        <f t="shared" si="39"/>
        <v>4589.0927272959998</v>
      </c>
    </row>
    <row r="498" spans="1:9" x14ac:dyDescent="0.35">
      <c r="C498" s="20">
        <v>45600</v>
      </c>
      <c r="D498" s="11">
        <v>0</v>
      </c>
      <c r="E498" s="27">
        <f t="shared" si="35"/>
        <v>0</v>
      </c>
      <c r="F498" s="6">
        <f t="shared" si="36"/>
        <v>0</v>
      </c>
      <c r="G498" s="7">
        <f t="shared" si="37"/>
        <v>0</v>
      </c>
      <c r="H498" s="8">
        <f t="shared" si="38"/>
        <v>0</v>
      </c>
      <c r="I498" s="9">
        <f t="shared" si="39"/>
        <v>0</v>
      </c>
    </row>
    <row r="499" spans="1:9" x14ac:dyDescent="0.35">
      <c r="A499" s="18" t="s">
        <v>1671</v>
      </c>
      <c r="B499" s="18" t="s">
        <v>2329</v>
      </c>
      <c r="C499" s="20">
        <v>45600</v>
      </c>
      <c r="D499" s="11">
        <v>307.42173000000003</v>
      </c>
      <c r="E499" s="27">
        <f t="shared" si="35"/>
        <v>342.22186983600005</v>
      </c>
      <c r="F499" s="6">
        <f t="shared" si="36"/>
        <v>444.88843078680009</v>
      </c>
      <c r="G499" s="7">
        <f t="shared" si="37"/>
        <v>479.11061777040004</v>
      </c>
      <c r="H499" s="8">
        <f t="shared" si="38"/>
        <v>513.33280475400011</v>
      </c>
      <c r="I499" s="9">
        <f t="shared" si="39"/>
        <v>547.55499173760006</v>
      </c>
    </row>
    <row r="500" spans="1:9" x14ac:dyDescent="0.35">
      <c r="A500" s="18" t="s">
        <v>1672</v>
      </c>
      <c r="B500" s="18" t="s">
        <v>2330</v>
      </c>
      <c r="C500" s="20">
        <v>45600</v>
      </c>
      <c r="D500" s="11">
        <v>430.39042200000006</v>
      </c>
      <c r="E500" s="27">
        <f t="shared" si="35"/>
        <v>479.1106177704001</v>
      </c>
      <c r="F500" s="6">
        <f t="shared" si="36"/>
        <v>622.84380310152017</v>
      </c>
      <c r="G500" s="7">
        <f t="shared" si="37"/>
        <v>670.75486487856006</v>
      </c>
      <c r="H500" s="8">
        <f t="shared" si="38"/>
        <v>718.66592665560017</v>
      </c>
      <c r="I500" s="9">
        <f t="shared" si="39"/>
        <v>766.57698843264018</v>
      </c>
    </row>
    <row r="501" spans="1:9" x14ac:dyDescent="0.35">
      <c r="A501" s="18" t="s">
        <v>1673</v>
      </c>
      <c r="B501" s="18" t="s">
        <v>2331</v>
      </c>
      <c r="C501" s="20">
        <v>45600</v>
      </c>
      <c r="D501" s="11">
        <v>762.4088955000002</v>
      </c>
      <c r="E501" s="27">
        <f t="shared" si="35"/>
        <v>848.71358247060016</v>
      </c>
      <c r="F501" s="6">
        <f t="shared" si="36"/>
        <v>1103.3276572117802</v>
      </c>
      <c r="G501" s="7">
        <f t="shared" si="37"/>
        <v>1188.1990154588402</v>
      </c>
      <c r="H501" s="8">
        <f t="shared" si="38"/>
        <v>1273.0703737059002</v>
      </c>
      <c r="I501" s="9">
        <f t="shared" si="39"/>
        <v>1357.9417319529603</v>
      </c>
    </row>
    <row r="502" spans="1:9" x14ac:dyDescent="0.35">
      <c r="C502" s="20">
        <v>45600</v>
      </c>
      <c r="D502" s="11">
        <v>0</v>
      </c>
      <c r="E502" s="27">
        <f t="shared" si="35"/>
        <v>0</v>
      </c>
      <c r="F502" s="6">
        <f t="shared" si="36"/>
        <v>0</v>
      </c>
      <c r="G502" s="7">
        <f t="shared" si="37"/>
        <v>0</v>
      </c>
      <c r="H502" s="8">
        <f t="shared" si="38"/>
        <v>0</v>
      </c>
      <c r="I502" s="9">
        <f t="shared" si="39"/>
        <v>0</v>
      </c>
    </row>
    <row r="503" spans="1:9" x14ac:dyDescent="0.35">
      <c r="A503" s="18" t="s">
        <v>1674</v>
      </c>
      <c r="B503" s="18" t="s">
        <v>2332</v>
      </c>
      <c r="C503" s="20">
        <v>45600</v>
      </c>
      <c r="D503" s="11">
        <v>309.09600000000006</v>
      </c>
      <c r="E503" s="27">
        <f t="shared" si="35"/>
        <v>344.0856672000001</v>
      </c>
      <c r="F503" s="6">
        <f t="shared" si="36"/>
        <v>447.31136736000013</v>
      </c>
      <c r="G503" s="7">
        <f t="shared" si="37"/>
        <v>481.71993408000009</v>
      </c>
      <c r="H503" s="8">
        <f t="shared" si="38"/>
        <v>516.12850080000021</v>
      </c>
      <c r="I503" s="9">
        <f t="shared" si="39"/>
        <v>550.53706752000016</v>
      </c>
    </row>
    <row r="504" spans="1:9" x14ac:dyDescent="0.35">
      <c r="A504" s="18" t="s">
        <v>1675</v>
      </c>
      <c r="B504" s="18" t="s">
        <v>2333</v>
      </c>
      <c r="C504" s="20">
        <v>45600</v>
      </c>
      <c r="D504" s="11">
        <v>450.76500000000004</v>
      </c>
      <c r="E504" s="27">
        <f t="shared" si="35"/>
        <v>501.79159800000002</v>
      </c>
      <c r="F504" s="6">
        <f t="shared" si="36"/>
        <v>652.32907740000007</v>
      </c>
      <c r="G504" s="7">
        <f t="shared" si="37"/>
        <v>702.50823719999994</v>
      </c>
      <c r="H504" s="8">
        <f t="shared" si="38"/>
        <v>752.68739700000003</v>
      </c>
      <c r="I504" s="9">
        <f t="shared" si="39"/>
        <v>802.86655680000013</v>
      </c>
    </row>
    <row r="505" spans="1:9" x14ac:dyDescent="0.35">
      <c r="A505" s="18" t="s">
        <v>1676</v>
      </c>
      <c r="B505" s="18" t="s">
        <v>2334</v>
      </c>
      <c r="C505" s="20">
        <v>45600</v>
      </c>
      <c r="D505" s="11">
        <v>740.83400000000006</v>
      </c>
      <c r="E505" s="27">
        <f t="shared" si="35"/>
        <v>824.69640880000009</v>
      </c>
      <c r="F505" s="6">
        <f t="shared" si="36"/>
        <v>1072.1053314400001</v>
      </c>
      <c r="G505" s="7">
        <f t="shared" si="37"/>
        <v>1154.5749723200001</v>
      </c>
      <c r="H505" s="8">
        <f t="shared" si="38"/>
        <v>1237.0446132000002</v>
      </c>
      <c r="I505" s="9">
        <f t="shared" si="39"/>
        <v>1319.5142540800002</v>
      </c>
    </row>
    <row r="506" spans="1:9" x14ac:dyDescent="0.35">
      <c r="A506" s="18" t="s">
        <v>1677</v>
      </c>
      <c r="B506" s="18" t="s">
        <v>2335</v>
      </c>
      <c r="C506" s="20">
        <v>45600</v>
      </c>
      <c r="D506" s="11">
        <v>1159.3962000000001</v>
      </c>
      <c r="E506" s="27">
        <f t="shared" si="35"/>
        <v>1290.6398498400001</v>
      </c>
      <c r="F506" s="6">
        <f t="shared" si="36"/>
        <v>1677.8318047920002</v>
      </c>
      <c r="G506" s="7">
        <f t="shared" si="37"/>
        <v>1806.8957897760001</v>
      </c>
      <c r="H506" s="8">
        <f t="shared" si="38"/>
        <v>1935.9597747600001</v>
      </c>
      <c r="I506" s="9">
        <f t="shared" si="39"/>
        <v>2065.0237597440005</v>
      </c>
    </row>
    <row r="507" spans="1:9" x14ac:dyDescent="0.35">
      <c r="A507" s="18" t="s">
        <v>1678</v>
      </c>
      <c r="B507" s="18" t="s">
        <v>2336</v>
      </c>
      <c r="C507" s="20">
        <v>45600</v>
      </c>
      <c r="D507" s="11">
        <v>1610.3096000000003</v>
      </c>
      <c r="E507" s="27">
        <f t="shared" si="35"/>
        <v>1792.5966467200003</v>
      </c>
      <c r="F507" s="6">
        <f t="shared" si="36"/>
        <v>2330.3756407360006</v>
      </c>
      <c r="G507" s="7">
        <f t="shared" si="37"/>
        <v>2509.6353054080005</v>
      </c>
      <c r="H507" s="8">
        <f t="shared" si="38"/>
        <v>2688.8949700800003</v>
      </c>
      <c r="I507" s="9">
        <f t="shared" si="39"/>
        <v>2868.1546347520007</v>
      </c>
    </row>
    <row r="508" spans="1:9" x14ac:dyDescent="0.35">
      <c r="A508" s="18" t="s">
        <v>1679</v>
      </c>
      <c r="B508" s="18" t="s">
        <v>2337</v>
      </c>
      <c r="C508" s="20">
        <v>45600</v>
      </c>
      <c r="D508" s="11">
        <v>2576.5207999999998</v>
      </c>
      <c r="E508" s="27">
        <f t="shared" si="35"/>
        <v>2868.1829545599999</v>
      </c>
      <c r="F508" s="6">
        <f t="shared" si="36"/>
        <v>3728.6378409280001</v>
      </c>
      <c r="G508" s="7">
        <f t="shared" si="37"/>
        <v>4015.4561363839994</v>
      </c>
      <c r="H508" s="8">
        <f t="shared" si="38"/>
        <v>4302.27443184</v>
      </c>
      <c r="I508" s="9">
        <f t="shared" si="39"/>
        <v>4589.0927272959998</v>
      </c>
    </row>
    <row r="509" spans="1:9" x14ac:dyDescent="0.35">
      <c r="C509" s="20">
        <v>45600</v>
      </c>
      <c r="D509" s="11">
        <v>0</v>
      </c>
      <c r="E509" s="27">
        <f t="shared" si="35"/>
        <v>0</v>
      </c>
      <c r="F509" s="6">
        <f t="shared" si="36"/>
        <v>0</v>
      </c>
      <c r="G509" s="7">
        <f t="shared" si="37"/>
        <v>0</v>
      </c>
      <c r="H509" s="8">
        <f t="shared" si="38"/>
        <v>0</v>
      </c>
      <c r="I509" s="9">
        <f t="shared" si="39"/>
        <v>0</v>
      </c>
    </row>
    <row r="510" spans="1:9" x14ac:dyDescent="0.35">
      <c r="A510" s="18" t="s">
        <v>1680</v>
      </c>
      <c r="B510" s="18" t="s">
        <v>2338</v>
      </c>
      <c r="C510" s="20">
        <v>45600</v>
      </c>
      <c r="D510" s="11">
        <v>0</v>
      </c>
      <c r="E510" s="27">
        <f t="shared" si="35"/>
        <v>0</v>
      </c>
      <c r="F510" s="6">
        <f t="shared" si="36"/>
        <v>0</v>
      </c>
      <c r="G510" s="7">
        <f t="shared" si="37"/>
        <v>0</v>
      </c>
      <c r="H510" s="8">
        <f t="shared" si="38"/>
        <v>0</v>
      </c>
      <c r="I510" s="9">
        <f t="shared" si="39"/>
        <v>0</v>
      </c>
    </row>
    <row r="511" spans="1:9" x14ac:dyDescent="0.35">
      <c r="A511" s="18" t="s">
        <v>1681</v>
      </c>
      <c r="B511" s="18" t="s">
        <v>2339</v>
      </c>
      <c r="C511" s="20">
        <v>45600</v>
      </c>
      <c r="D511" s="11">
        <v>430.39042200000006</v>
      </c>
      <c r="E511" s="27">
        <f t="shared" si="35"/>
        <v>479.1106177704001</v>
      </c>
      <c r="F511" s="6">
        <f t="shared" si="36"/>
        <v>622.84380310152017</v>
      </c>
      <c r="G511" s="7">
        <f t="shared" si="37"/>
        <v>670.75486487856006</v>
      </c>
      <c r="H511" s="8">
        <f t="shared" si="38"/>
        <v>718.66592665560017</v>
      </c>
      <c r="I511" s="9">
        <f t="shared" si="39"/>
        <v>766.57698843264018</v>
      </c>
    </row>
    <row r="512" spans="1:9" x14ac:dyDescent="0.35">
      <c r="A512" s="18" t="s">
        <v>1682</v>
      </c>
      <c r="B512" s="18" t="s">
        <v>2340</v>
      </c>
      <c r="C512" s="20">
        <v>45600</v>
      </c>
      <c r="D512" s="11">
        <v>762.5591505000001</v>
      </c>
      <c r="E512" s="27">
        <f t="shared" si="35"/>
        <v>848.88084633660014</v>
      </c>
      <c r="F512" s="6">
        <f t="shared" si="36"/>
        <v>1103.5451002375803</v>
      </c>
      <c r="G512" s="7">
        <f t="shared" si="37"/>
        <v>1188.4331848712402</v>
      </c>
      <c r="H512" s="8">
        <f t="shared" si="38"/>
        <v>1273.3212695049001</v>
      </c>
      <c r="I512" s="9">
        <f t="shared" si="39"/>
        <v>1358.2093541385602</v>
      </c>
    </row>
    <row r="513" spans="1:9" x14ac:dyDescent="0.35">
      <c r="C513" s="20">
        <v>45600</v>
      </c>
      <c r="D513" s="11">
        <v>0</v>
      </c>
      <c r="E513" s="27">
        <f t="shared" si="35"/>
        <v>0</v>
      </c>
      <c r="F513" s="6">
        <f t="shared" si="36"/>
        <v>0</v>
      </c>
      <c r="G513" s="7">
        <f t="shared" si="37"/>
        <v>0</v>
      </c>
      <c r="H513" s="8">
        <f t="shared" si="38"/>
        <v>0</v>
      </c>
      <c r="I513" s="9">
        <f t="shared" si="39"/>
        <v>0</v>
      </c>
    </row>
    <row r="514" spans="1:9" x14ac:dyDescent="0.35">
      <c r="A514" s="18" t="s">
        <v>1683</v>
      </c>
      <c r="B514" s="18" t="s">
        <v>2341</v>
      </c>
      <c r="C514" s="20">
        <v>45600</v>
      </c>
      <c r="D514" s="11">
        <v>212.3970121350001</v>
      </c>
      <c r="E514" s="27">
        <f t="shared" si="35"/>
        <v>236.44035390868208</v>
      </c>
      <c r="F514" s="6">
        <f t="shared" si="36"/>
        <v>307.3724600812867</v>
      </c>
      <c r="G514" s="7">
        <f t="shared" si="37"/>
        <v>331.01649547215487</v>
      </c>
      <c r="H514" s="8">
        <f t="shared" si="38"/>
        <v>354.66053086302315</v>
      </c>
      <c r="I514" s="9">
        <f t="shared" si="39"/>
        <v>378.30456625389138</v>
      </c>
    </row>
    <row r="515" spans="1:9" x14ac:dyDescent="0.35">
      <c r="A515" s="18" t="s">
        <v>1684</v>
      </c>
      <c r="B515" s="18" t="s">
        <v>2342</v>
      </c>
      <c r="C515" s="20">
        <v>45600</v>
      </c>
      <c r="D515" s="11">
        <v>308.63564014500008</v>
      </c>
      <c r="E515" s="27">
        <f t="shared" si="35"/>
        <v>343.57319460941409</v>
      </c>
      <c r="F515" s="6">
        <f t="shared" si="36"/>
        <v>446.64515299223831</v>
      </c>
      <c r="G515" s="7">
        <f t="shared" si="37"/>
        <v>481.00247245317968</v>
      </c>
      <c r="H515" s="8">
        <f t="shared" si="38"/>
        <v>515.35979191412116</v>
      </c>
      <c r="I515" s="9">
        <f t="shared" si="39"/>
        <v>549.71711137506259</v>
      </c>
    </row>
    <row r="516" spans="1:9" x14ac:dyDescent="0.35">
      <c r="A516" s="18" t="s">
        <v>1685</v>
      </c>
      <c r="B516" s="18" t="s">
        <v>2343</v>
      </c>
      <c r="C516" s="20">
        <v>45600</v>
      </c>
      <c r="D516" s="11">
        <v>636.74087242500013</v>
      </c>
      <c r="E516" s="27">
        <f t="shared" si="35"/>
        <v>708.81993918351009</v>
      </c>
      <c r="F516" s="6">
        <f t="shared" si="36"/>
        <v>921.46592093856316</v>
      </c>
      <c r="G516" s="7">
        <f t="shared" si="37"/>
        <v>992.34791485691403</v>
      </c>
      <c r="H516" s="8">
        <f t="shared" si="38"/>
        <v>1063.2299087752651</v>
      </c>
      <c r="I516" s="9">
        <f t="shared" si="39"/>
        <v>1134.1119026936162</v>
      </c>
    </row>
    <row r="517" spans="1:9" x14ac:dyDescent="0.35">
      <c r="A517" s="18" t="s">
        <v>1686</v>
      </c>
      <c r="B517" s="18" t="s">
        <v>2344</v>
      </c>
      <c r="C517" s="20">
        <v>45600</v>
      </c>
      <c r="D517" s="11">
        <v>985.93950262500016</v>
      </c>
      <c r="E517" s="27">
        <f t="shared" si="35"/>
        <v>1097.5478543221502</v>
      </c>
      <c r="F517" s="6">
        <f t="shared" si="36"/>
        <v>1426.8122106187952</v>
      </c>
      <c r="G517" s="7">
        <f t="shared" si="37"/>
        <v>1536.5669960510102</v>
      </c>
      <c r="H517" s="8">
        <f t="shared" si="38"/>
        <v>1646.3217814832253</v>
      </c>
      <c r="I517" s="9">
        <f t="shared" si="39"/>
        <v>1756.0765669154405</v>
      </c>
    </row>
    <row r="518" spans="1:9" x14ac:dyDescent="0.35">
      <c r="A518" s="18" t="s">
        <v>1687</v>
      </c>
      <c r="B518" s="18" t="s">
        <v>2345</v>
      </c>
      <c r="C518" s="20">
        <v>45600</v>
      </c>
      <c r="D518" s="11">
        <v>1241.8898798250004</v>
      </c>
      <c r="E518" s="27">
        <f t="shared" si="35"/>
        <v>1382.4718142211905</v>
      </c>
      <c r="F518" s="6">
        <f t="shared" si="36"/>
        <v>1797.2133584875476</v>
      </c>
      <c r="G518" s="7">
        <f t="shared" si="37"/>
        <v>1935.4605399096665</v>
      </c>
      <c r="H518" s="8">
        <f t="shared" si="38"/>
        <v>2073.7077213317857</v>
      </c>
      <c r="I518" s="9">
        <f t="shared" si="39"/>
        <v>2211.9549027539047</v>
      </c>
    </row>
    <row r="519" spans="1:9" x14ac:dyDescent="0.35">
      <c r="A519" s="18" t="s">
        <v>1688</v>
      </c>
      <c r="B519" s="18" t="s">
        <v>2346</v>
      </c>
      <c r="C519" s="20">
        <v>45600</v>
      </c>
      <c r="D519" s="11">
        <v>2376.3834958500001</v>
      </c>
      <c r="E519" s="27">
        <f t="shared" si="35"/>
        <v>2645.39010758022</v>
      </c>
      <c r="F519" s="6">
        <f t="shared" si="36"/>
        <v>3439.0071398542864</v>
      </c>
      <c r="G519" s="7">
        <f t="shared" si="37"/>
        <v>3703.5461506123079</v>
      </c>
      <c r="H519" s="8">
        <f t="shared" si="38"/>
        <v>3968.0851613703298</v>
      </c>
      <c r="I519" s="9">
        <f t="shared" si="39"/>
        <v>4232.6241721283523</v>
      </c>
    </row>
    <row r="520" spans="1:9" x14ac:dyDescent="0.35">
      <c r="C520" s="20">
        <v>45600</v>
      </c>
      <c r="D520" s="11">
        <v>0</v>
      </c>
      <c r="E520" s="27">
        <f t="shared" si="35"/>
        <v>0</v>
      </c>
      <c r="F520" s="6">
        <f t="shared" si="36"/>
        <v>0</v>
      </c>
      <c r="G520" s="7">
        <f t="shared" si="37"/>
        <v>0</v>
      </c>
      <c r="H520" s="8">
        <f t="shared" si="38"/>
        <v>0</v>
      </c>
      <c r="I520" s="9">
        <f t="shared" si="39"/>
        <v>0</v>
      </c>
    </row>
    <row r="521" spans="1:9" x14ac:dyDescent="0.35">
      <c r="A521" s="18" t="s">
        <v>1689</v>
      </c>
      <c r="B521" s="18" t="s">
        <v>2347</v>
      </c>
      <c r="C521" s="20">
        <v>45600</v>
      </c>
      <c r="D521" s="11">
        <v>299.27866027500005</v>
      </c>
      <c r="E521" s="27">
        <f t="shared" si="35"/>
        <v>333.15700461813003</v>
      </c>
      <c r="F521" s="6">
        <f t="shared" si="36"/>
        <v>433.10410600356903</v>
      </c>
      <c r="G521" s="7">
        <f t="shared" si="37"/>
        <v>466.41980646538201</v>
      </c>
      <c r="H521" s="8">
        <f t="shared" si="38"/>
        <v>499.73550692719505</v>
      </c>
      <c r="I521" s="9">
        <f t="shared" si="39"/>
        <v>533.05120738900803</v>
      </c>
    </row>
    <row r="522" spans="1:9" x14ac:dyDescent="0.35">
      <c r="A522" s="18" t="s">
        <v>1690</v>
      </c>
      <c r="B522" s="18" t="s">
        <v>2348</v>
      </c>
      <c r="C522" s="20">
        <v>45600</v>
      </c>
      <c r="D522" s="11">
        <v>497.19003862500006</v>
      </c>
      <c r="E522" s="27">
        <f t="shared" si="35"/>
        <v>553.47195099735006</v>
      </c>
      <c r="F522" s="6">
        <f t="shared" si="36"/>
        <v>719.51353629655512</v>
      </c>
      <c r="G522" s="7">
        <f t="shared" si="37"/>
        <v>774.86073139629002</v>
      </c>
      <c r="H522" s="8">
        <f t="shared" si="38"/>
        <v>830.20792649602504</v>
      </c>
      <c r="I522" s="9">
        <f t="shared" si="39"/>
        <v>885.55512159576017</v>
      </c>
    </row>
    <row r="523" spans="1:9" x14ac:dyDescent="0.35">
      <c r="A523" s="18" t="s">
        <v>1691</v>
      </c>
      <c r="B523" s="18" t="s">
        <v>2349</v>
      </c>
      <c r="C523" s="20">
        <v>45600</v>
      </c>
      <c r="D523" s="11">
        <v>497.19003862500006</v>
      </c>
      <c r="E523" s="27">
        <f t="shared" si="35"/>
        <v>553.47195099735006</v>
      </c>
      <c r="F523" s="6">
        <f t="shared" si="36"/>
        <v>719.51353629655512</v>
      </c>
      <c r="G523" s="7">
        <f t="shared" si="37"/>
        <v>774.86073139629002</v>
      </c>
      <c r="H523" s="8">
        <f t="shared" si="38"/>
        <v>830.20792649602504</v>
      </c>
      <c r="I523" s="9">
        <f t="shared" si="39"/>
        <v>885.55512159576017</v>
      </c>
    </row>
    <row r="524" spans="1:9" x14ac:dyDescent="0.35">
      <c r="A524" s="18" t="s">
        <v>1692</v>
      </c>
      <c r="B524" s="18" t="s">
        <v>389</v>
      </c>
      <c r="C524" s="20">
        <v>45600</v>
      </c>
      <c r="D524" s="11">
        <v>0</v>
      </c>
      <c r="E524" s="27">
        <f t="shared" ref="E524:E587" si="40">D524*1.21*0.92</f>
        <v>0</v>
      </c>
      <c r="F524" s="6">
        <f t="shared" ref="F524:F590" si="41">E524*1.3</f>
        <v>0</v>
      </c>
      <c r="G524" s="7">
        <f t="shared" ref="G524:G590" si="42">E524*1.4</f>
        <v>0</v>
      </c>
      <c r="H524" s="8">
        <f t="shared" ref="H524:H590" si="43">E524*1.5</f>
        <v>0</v>
      </c>
      <c r="I524" s="9">
        <f t="shared" ref="I524:I590" si="44">E524*1.6</f>
        <v>0</v>
      </c>
    </row>
    <row r="525" spans="1:9" x14ac:dyDescent="0.35">
      <c r="A525" s="18" t="s">
        <v>1693</v>
      </c>
      <c r="B525" s="18" t="s">
        <v>390</v>
      </c>
      <c r="C525" s="20">
        <v>45600</v>
      </c>
      <c r="D525" s="11">
        <v>0</v>
      </c>
      <c r="E525" s="27">
        <f t="shared" si="40"/>
        <v>0</v>
      </c>
      <c r="F525" s="6">
        <f t="shared" si="41"/>
        <v>0</v>
      </c>
      <c r="G525" s="7">
        <f t="shared" si="42"/>
        <v>0</v>
      </c>
      <c r="H525" s="8">
        <f t="shared" si="43"/>
        <v>0</v>
      </c>
      <c r="I525" s="9">
        <f t="shared" si="44"/>
        <v>0</v>
      </c>
    </row>
    <row r="526" spans="1:9" x14ac:dyDescent="0.35">
      <c r="A526" s="18" t="s">
        <v>1694</v>
      </c>
      <c r="B526" s="18" t="s">
        <v>391</v>
      </c>
      <c r="C526" s="20">
        <v>45600</v>
      </c>
      <c r="D526" s="11">
        <v>0</v>
      </c>
      <c r="E526" s="27">
        <f t="shared" si="40"/>
        <v>0</v>
      </c>
      <c r="F526" s="6">
        <f t="shared" si="41"/>
        <v>0</v>
      </c>
      <c r="G526" s="7">
        <f t="shared" si="42"/>
        <v>0</v>
      </c>
      <c r="H526" s="8">
        <f t="shared" si="43"/>
        <v>0</v>
      </c>
      <c r="I526" s="9">
        <f t="shared" si="44"/>
        <v>0</v>
      </c>
    </row>
    <row r="527" spans="1:9" x14ac:dyDescent="0.35">
      <c r="C527" s="20">
        <v>45600</v>
      </c>
      <c r="D527" s="11">
        <v>0</v>
      </c>
      <c r="E527" s="27">
        <f t="shared" si="40"/>
        <v>0</v>
      </c>
      <c r="F527" s="6">
        <f t="shared" si="41"/>
        <v>0</v>
      </c>
      <c r="G527" s="7">
        <f t="shared" si="42"/>
        <v>0</v>
      </c>
      <c r="H527" s="8">
        <f t="shared" si="43"/>
        <v>0</v>
      </c>
      <c r="I527" s="9">
        <f t="shared" si="44"/>
        <v>0</v>
      </c>
    </row>
    <row r="528" spans="1:9" x14ac:dyDescent="0.35">
      <c r="A528" s="18" t="s">
        <v>1695</v>
      </c>
      <c r="B528" s="18" t="s">
        <v>392</v>
      </c>
      <c r="C528" s="20">
        <v>45600</v>
      </c>
      <c r="D528" s="11">
        <v>542.20643662500015</v>
      </c>
      <c r="E528" s="27">
        <f t="shared" si="40"/>
        <v>603.58420525095016</v>
      </c>
      <c r="F528" s="6">
        <f t="shared" si="41"/>
        <v>784.65946682623519</v>
      </c>
      <c r="G528" s="7">
        <f t="shared" si="42"/>
        <v>845.01788735133016</v>
      </c>
      <c r="H528" s="8">
        <f t="shared" si="43"/>
        <v>905.37630787642524</v>
      </c>
      <c r="I528" s="9">
        <f t="shared" si="44"/>
        <v>965.73472840152033</v>
      </c>
    </row>
    <row r="529" spans="1:9" x14ac:dyDescent="0.35">
      <c r="A529" s="18" t="s">
        <v>1696</v>
      </c>
      <c r="B529" s="18" t="s">
        <v>393</v>
      </c>
      <c r="C529" s="20">
        <v>45600</v>
      </c>
      <c r="D529" s="11">
        <v>772.43315782500008</v>
      </c>
      <c r="E529" s="27">
        <f t="shared" si="40"/>
        <v>859.87259129079007</v>
      </c>
      <c r="F529" s="6">
        <f t="shared" si="41"/>
        <v>1117.8343686780272</v>
      </c>
      <c r="G529" s="7">
        <f t="shared" si="42"/>
        <v>1203.8216278071061</v>
      </c>
      <c r="H529" s="8">
        <f t="shared" si="43"/>
        <v>1289.808886936185</v>
      </c>
      <c r="I529" s="9">
        <f t="shared" si="44"/>
        <v>1375.7961460652641</v>
      </c>
    </row>
    <row r="530" spans="1:9" x14ac:dyDescent="0.35">
      <c r="A530" s="18" t="s">
        <v>2574</v>
      </c>
      <c r="B530" s="18" t="s">
        <v>394</v>
      </c>
      <c r="C530" s="20">
        <v>45600</v>
      </c>
      <c r="D530" s="11">
        <v>1261.3433946750001</v>
      </c>
      <c r="E530" s="27">
        <f t="shared" si="40"/>
        <v>1404.1274669522102</v>
      </c>
      <c r="F530" s="6">
        <f t="shared" si="41"/>
        <v>1825.3657070378733</v>
      </c>
      <c r="G530" s="7">
        <f t="shared" si="42"/>
        <v>1965.778453733094</v>
      </c>
      <c r="H530" s="8">
        <f t="shared" si="43"/>
        <v>2106.1912004283154</v>
      </c>
      <c r="I530" s="9">
        <f t="shared" si="44"/>
        <v>2246.6039471235363</v>
      </c>
    </row>
    <row r="531" spans="1:9" x14ac:dyDescent="0.35">
      <c r="A531" s="18" t="s">
        <v>2575</v>
      </c>
      <c r="B531" s="18" t="s">
        <v>395</v>
      </c>
      <c r="C531" s="20">
        <v>45600</v>
      </c>
      <c r="D531" s="11">
        <v>2487.5739989100007</v>
      </c>
      <c r="E531" s="27">
        <f t="shared" si="40"/>
        <v>2769.1673755866127</v>
      </c>
      <c r="F531" s="6">
        <f t="shared" si="41"/>
        <v>3599.9175882625968</v>
      </c>
      <c r="G531" s="7">
        <f t="shared" si="42"/>
        <v>3876.8343258212576</v>
      </c>
      <c r="H531" s="8">
        <f t="shared" si="43"/>
        <v>4153.7510633799193</v>
      </c>
      <c r="I531" s="9">
        <f t="shared" si="44"/>
        <v>4430.6678009385805</v>
      </c>
    </row>
    <row r="532" spans="1:9" x14ac:dyDescent="0.35">
      <c r="A532" s="18" t="s">
        <v>2576</v>
      </c>
      <c r="B532" s="18" t="s">
        <v>396</v>
      </c>
      <c r="C532" s="20">
        <v>45600</v>
      </c>
      <c r="D532" s="11">
        <v>2920.278047400001</v>
      </c>
      <c r="E532" s="27">
        <f t="shared" si="40"/>
        <v>3250.8535223656809</v>
      </c>
      <c r="F532" s="6">
        <f t="shared" si="41"/>
        <v>4226.1095790753852</v>
      </c>
      <c r="G532" s="7">
        <f t="shared" si="42"/>
        <v>4551.194931311953</v>
      </c>
      <c r="H532" s="8">
        <f t="shared" si="43"/>
        <v>4876.2802835485218</v>
      </c>
      <c r="I532" s="9">
        <f t="shared" si="44"/>
        <v>5201.3656357850896</v>
      </c>
    </row>
    <row r="533" spans="1:9" x14ac:dyDescent="0.35">
      <c r="A533" s="18" t="s">
        <v>1227</v>
      </c>
      <c r="B533" s="18" t="s">
        <v>397</v>
      </c>
      <c r="C533" s="20">
        <v>45600</v>
      </c>
      <c r="D533" s="11">
        <v>4239.0977359500002</v>
      </c>
      <c r="E533" s="27">
        <f t="shared" si="40"/>
        <v>4718.9635996595398</v>
      </c>
      <c r="F533" s="6">
        <f t="shared" si="41"/>
        <v>6134.6526795574018</v>
      </c>
      <c r="G533" s="7">
        <f t="shared" si="42"/>
        <v>6606.5490395233555</v>
      </c>
      <c r="H533" s="8">
        <f t="shared" si="43"/>
        <v>7078.4453994893101</v>
      </c>
      <c r="I533" s="9">
        <f t="shared" si="44"/>
        <v>7550.3417594552639</v>
      </c>
    </row>
    <row r="534" spans="1:9" x14ac:dyDescent="0.35">
      <c r="C534" s="20">
        <v>45600</v>
      </c>
      <c r="D534" s="11">
        <v>0</v>
      </c>
      <c r="E534" s="27">
        <f t="shared" si="40"/>
        <v>0</v>
      </c>
      <c r="F534" s="6">
        <f t="shared" si="41"/>
        <v>0</v>
      </c>
      <c r="G534" s="7">
        <f t="shared" si="42"/>
        <v>0</v>
      </c>
      <c r="H534" s="8">
        <f t="shared" si="43"/>
        <v>0</v>
      </c>
      <c r="I534" s="9">
        <f t="shared" si="44"/>
        <v>0</v>
      </c>
    </row>
    <row r="535" spans="1:9" x14ac:dyDescent="0.35">
      <c r="A535" s="18" t="s">
        <v>1228</v>
      </c>
      <c r="B535" s="18" t="s">
        <v>398</v>
      </c>
      <c r="C535" s="20">
        <v>45600</v>
      </c>
      <c r="D535" s="11">
        <v>84.69513738000002</v>
      </c>
      <c r="E535" s="27">
        <f t="shared" si="40"/>
        <v>94.282626931416019</v>
      </c>
      <c r="F535" s="6">
        <f t="shared" si="41"/>
        <v>122.56741501084083</v>
      </c>
      <c r="G535" s="7">
        <f t="shared" si="42"/>
        <v>131.99567770398241</v>
      </c>
      <c r="H535" s="8">
        <f t="shared" si="43"/>
        <v>141.42394039712403</v>
      </c>
      <c r="I535" s="9">
        <f t="shared" si="44"/>
        <v>150.85220309026565</v>
      </c>
    </row>
    <row r="536" spans="1:9" x14ac:dyDescent="0.35">
      <c r="A536" s="18" t="s">
        <v>1229</v>
      </c>
      <c r="B536" s="18" t="s">
        <v>399</v>
      </c>
      <c r="C536" s="20">
        <v>45600</v>
      </c>
      <c r="D536" s="11">
        <v>144.93672427500002</v>
      </c>
      <c r="E536" s="27">
        <f t="shared" si="40"/>
        <v>161.34356146293001</v>
      </c>
      <c r="F536" s="6">
        <f t="shared" si="41"/>
        <v>209.74662990180903</v>
      </c>
      <c r="G536" s="7">
        <f t="shared" si="42"/>
        <v>225.88098604810199</v>
      </c>
      <c r="H536" s="8">
        <f t="shared" si="43"/>
        <v>242.01534219439503</v>
      </c>
      <c r="I536" s="9">
        <f t="shared" si="44"/>
        <v>258.14969834068802</v>
      </c>
    </row>
    <row r="537" spans="1:9" x14ac:dyDescent="0.35">
      <c r="A537" s="18" t="s">
        <v>1230</v>
      </c>
      <c r="B537" s="18" t="s">
        <v>400</v>
      </c>
      <c r="C537" s="20">
        <v>45600</v>
      </c>
      <c r="D537" s="11">
        <v>229.82478907500004</v>
      </c>
      <c r="E537" s="27">
        <f t="shared" si="40"/>
        <v>255.84095519829003</v>
      </c>
      <c r="F537" s="6">
        <f t="shared" si="41"/>
        <v>332.59324175777704</v>
      </c>
      <c r="G537" s="7">
        <f t="shared" si="42"/>
        <v>358.177337277606</v>
      </c>
      <c r="H537" s="8">
        <f t="shared" si="43"/>
        <v>383.76143279743508</v>
      </c>
      <c r="I537" s="9">
        <f t="shared" si="44"/>
        <v>409.3455283172641</v>
      </c>
    </row>
    <row r="538" spans="1:9" ht="16.5" customHeight="1" x14ac:dyDescent="0.35">
      <c r="A538" s="18" t="s">
        <v>1231</v>
      </c>
      <c r="B538" s="18" t="s">
        <v>401</v>
      </c>
      <c r="C538" s="20">
        <v>45600</v>
      </c>
      <c r="D538" s="11">
        <v>509.24800237500006</v>
      </c>
      <c r="E538" s="27">
        <f t="shared" si="40"/>
        <v>566.89487624385004</v>
      </c>
      <c r="F538" s="6">
        <f t="shared" si="41"/>
        <v>736.96333911700503</v>
      </c>
      <c r="G538" s="7">
        <f t="shared" si="42"/>
        <v>793.65282674138996</v>
      </c>
      <c r="H538" s="8">
        <f t="shared" si="43"/>
        <v>850.34231436577511</v>
      </c>
      <c r="I538" s="9">
        <f t="shared" si="44"/>
        <v>907.03180199016015</v>
      </c>
    </row>
    <row r="539" spans="1:9" x14ac:dyDescent="0.35">
      <c r="A539" s="18" t="s">
        <v>1232</v>
      </c>
      <c r="B539" s="18" t="s">
        <v>402</v>
      </c>
      <c r="C539" s="20">
        <v>45600</v>
      </c>
      <c r="D539" s="11">
        <v>692.52905137500022</v>
      </c>
      <c r="E539" s="27">
        <f t="shared" si="40"/>
        <v>770.92333999065022</v>
      </c>
      <c r="F539" s="6">
        <f t="shared" si="41"/>
        <v>1002.2003419878454</v>
      </c>
      <c r="G539" s="7">
        <f t="shared" si="42"/>
        <v>1079.2926759869101</v>
      </c>
      <c r="H539" s="8">
        <f t="shared" si="43"/>
        <v>1156.3850099859753</v>
      </c>
      <c r="I539" s="9">
        <f t="shared" si="44"/>
        <v>1233.4773439850405</v>
      </c>
    </row>
    <row r="540" spans="1:9" x14ac:dyDescent="0.35">
      <c r="A540" s="18" t="s">
        <v>1233</v>
      </c>
      <c r="B540" s="18" t="s">
        <v>403</v>
      </c>
      <c r="C540" s="20">
        <v>45600</v>
      </c>
      <c r="D540" s="11">
        <v>1021.5506889000002</v>
      </c>
      <c r="E540" s="27">
        <f t="shared" si="40"/>
        <v>1137.1902268834801</v>
      </c>
      <c r="F540" s="6">
        <f t="shared" si="41"/>
        <v>1478.3472949485242</v>
      </c>
      <c r="G540" s="7">
        <f t="shared" si="42"/>
        <v>1592.0663176368721</v>
      </c>
      <c r="H540" s="8">
        <f t="shared" si="43"/>
        <v>1705.7853403252202</v>
      </c>
      <c r="I540" s="9">
        <f t="shared" si="44"/>
        <v>1819.5043630135683</v>
      </c>
    </row>
    <row r="541" spans="1:9" x14ac:dyDescent="0.35">
      <c r="C541" s="20">
        <v>45600</v>
      </c>
      <c r="D541" s="11">
        <v>0</v>
      </c>
      <c r="E541" s="27">
        <f t="shared" si="40"/>
        <v>0</v>
      </c>
      <c r="F541" s="6">
        <f t="shared" si="41"/>
        <v>0</v>
      </c>
      <c r="G541" s="7">
        <f t="shared" si="42"/>
        <v>0</v>
      </c>
      <c r="H541" s="8">
        <f t="shared" si="43"/>
        <v>0</v>
      </c>
      <c r="I541" s="9">
        <f t="shared" si="44"/>
        <v>0</v>
      </c>
    </row>
    <row r="542" spans="1:9" x14ac:dyDescent="0.35">
      <c r="A542" s="18" t="s">
        <v>1861</v>
      </c>
      <c r="B542" s="18" t="s">
        <v>1855</v>
      </c>
      <c r="C542" s="20">
        <v>45600</v>
      </c>
      <c r="D542" s="11">
        <v>802.17613507500005</v>
      </c>
      <c r="E542" s="27">
        <f t="shared" si="40"/>
        <v>892.98247356549007</v>
      </c>
      <c r="F542" s="6">
        <f t="shared" si="41"/>
        <v>1160.8772156351372</v>
      </c>
      <c r="G542" s="7">
        <f t="shared" si="42"/>
        <v>1250.1754629916861</v>
      </c>
      <c r="H542" s="8">
        <f t="shared" si="43"/>
        <v>1339.473710348235</v>
      </c>
      <c r="I542" s="9">
        <f t="shared" si="44"/>
        <v>1428.7719577047842</v>
      </c>
    </row>
    <row r="543" spans="1:9" x14ac:dyDescent="0.35">
      <c r="A543" s="18" t="s">
        <v>1862</v>
      </c>
      <c r="B543" s="18" t="s">
        <v>1856</v>
      </c>
      <c r="C543" s="20">
        <v>45600</v>
      </c>
      <c r="D543" s="11">
        <v>993.09389445000022</v>
      </c>
      <c r="E543" s="27">
        <f t="shared" si="40"/>
        <v>1105.5121233017403</v>
      </c>
      <c r="F543" s="6">
        <f t="shared" si="41"/>
        <v>1437.1657602922623</v>
      </c>
      <c r="G543" s="7">
        <f t="shared" si="42"/>
        <v>1547.7169726224363</v>
      </c>
      <c r="H543" s="8">
        <f t="shared" si="43"/>
        <v>1658.2681849526105</v>
      </c>
      <c r="I543" s="9">
        <f t="shared" si="44"/>
        <v>1768.8193972827846</v>
      </c>
    </row>
    <row r="544" spans="1:9" x14ac:dyDescent="0.35">
      <c r="A544" s="18" t="s">
        <v>1863</v>
      </c>
      <c r="B544" s="18" t="s">
        <v>1857</v>
      </c>
      <c r="C544" s="20">
        <v>45600</v>
      </c>
      <c r="D544" s="11">
        <v>1284.3339122250002</v>
      </c>
      <c r="E544" s="27">
        <f t="shared" si="40"/>
        <v>1429.7205110888704</v>
      </c>
      <c r="F544" s="6">
        <f t="shared" si="41"/>
        <v>1858.6366644155314</v>
      </c>
      <c r="G544" s="7">
        <f t="shared" si="42"/>
        <v>2001.6087155244184</v>
      </c>
      <c r="H544" s="8">
        <f t="shared" si="43"/>
        <v>2144.5807666333058</v>
      </c>
      <c r="I544" s="9">
        <f t="shared" si="44"/>
        <v>2287.5528177421925</v>
      </c>
    </row>
    <row r="545" spans="1:9" x14ac:dyDescent="0.35">
      <c r="A545" s="18" t="s">
        <v>1864</v>
      </c>
      <c r="B545" s="18" t="s">
        <v>1858</v>
      </c>
      <c r="C545" s="20">
        <v>45600</v>
      </c>
      <c r="D545" s="11">
        <v>1900.6566327000007</v>
      </c>
      <c r="E545" s="27">
        <f t="shared" si="40"/>
        <v>2115.8109635216406</v>
      </c>
      <c r="F545" s="6">
        <f t="shared" si="41"/>
        <v>2750.5542525781329</v>
      </c>
      <c r="G545" s="7">
        <f t="shared" si="42"/>
        <v>2962.1353489302965</v>
      </c>
      <c r="H545" s="8">
        <f t="shared" si="43"/>
        <v>3173.7164452824609</v>
      </c>
      <c r="I545" s="9">
        <f t="shared" si="44"/>
        <v>3385.2975416346253</v>
      </c>
    </row>
    <row r="546" spans="1:9" x14ac:dyDescent="0.35">
      <c r="A546" s="18" t="s">
        <v>1865</v>
      </c>
      <c r="B546" s="18" t="s">
        <v>1859</v>
      </c>
      <c r="C546" s="20">
        <v>45600</v>
      </c>
      <c r="D546" s="11">
        <v>2237.3149806000006</v>
      </c>
      <c r="E546" s="27">
        <f t="shared" si="40"/>
        <v>2490.5790364039208</v>
      </c>
      <c r="F546" s="6">
        <f t="shared" si="41"/>
        <v>3237.7527473250971</v>
      </c>
      <c r="G546" s="7">
        <f t="shared" si="42"/>
        <v>3486.810650965489</v>
      </c>
      <c r="H546" s="8">
        <f t="shared" si="43"/>
        <v>3735.8685546058814</v>
      </c>
      <c r="I546" s="9">
        <f t="shared" si="44"/>
        <v>3984.9264582462733</v>
      </c>
    </row>
    <row r="547" spans="1:9" x14ac:dyDescent="0.35">
      <c r="A547" s="18" t="s">
        <v>1866</v>
      </c>
      <c r="B547" s="18" t="s">
        <v>1860</v>
      </c>
      <c r="C547" s="20">
        <v>45600</v>
      </c>
      <c r="D547" s="11">
        <v>2736.5146798500004</v>
      </c>
      <c r="E547" s="27">
        <f t="shared" si="40"/>
        <v>3046.2881416090204</v>
      </c>
      <c r="F547" s="6">
        <f t="shared" si="41"/>
        <v>3960.1745840917265</v>
      </c>
      <c r="G547" s="7">
        <f t="shared" si="42"/>
        <v>4264.8033982526285</v>
      </c>
      <c r="H547" s="8">
        <f t="shared" si="43"/>
        <v>4569.4322124135306</v>
      </c>
      <c r="I547" s="9">
        <f t="shared" si="44"/>
        <v>4874.0610265744326</v>
      </c>
    </row>
    <row r="548" spans="1:9" x14ac:dyDescent="0.35">
      <c r="C548" s="20">
        <v>45600</v>
      </c>
      <c r="D548" s="11">
        <v>0</v>
      </c>
      <c r="E548" s="27">
        <f t="shared" si="40"/>
        <v>0</v>
      </c>
      <c r="F548" s="6">
        <f t="shared" si="41"/>
        <v>0</v>
      </c>
      <c r="G548" s="7">
        <f t="shared" si="42"/>
        <v>0</v>
      </c>
      <c r="H548" s="8">
        <f t="shared" si="43"/>
        <v>0</v>
      </c>
      <c r="I548" s="9">
        <f t="shared" si="44"/>
        <v>0</v>
      </c>
    </row>
    <row r="549" spans="1:9" x14ac:dyDescent="0.35">
      <c r="A549" s="18" t="s">
        <v>1867</v>
      </c>
      <c r="B549" s="18" t="s">
        <v>1869</v>
      </c>
      <c r="C549" s="20">
        <v>45600</v>
      </c>
      <c r="D549" s="11">
        <v>454.26368767500009</v>
      </c>
      <c r="E549" s="27">
        <f t="shared" si="40"/>
        <v>505.68633711981005</v>
      </c>
      <c r="F549" s="6">
        <f t="shared" si="41"/>
        <v>657.39223825575311</v>
      </c>
      <c r="G549" s="7">
        <f t="shared" si="42"/>
        <v>707.96087196773408</v>
      </c>
      <c r="H549" s="8">
        <f t="shared" si="43"/>
        <v>758.52950567971504</v>
      </c>
      <c r="I549" s="9">
        <f t="shared" si="44"/>
        <v>809.09813939169612</v>
      </c>
    </row>
    <row r="550" spans="1:9" x14ac:dyDescent="0.35">
      <c r="A550" s="18" t="s">
        <v>1868</v>
      </c>
      <c r="B550" s="18" t="s">
        <v>3234</v>
      </c>
      <c r="C550" s="20">
        <v>45600</v>
      </c>
      <c r="D550" s="11">
        <v>676.21060710000017</v>
      </c>
      <c r="E550" s="27">
        <f t="shared" si="40"/>
        <v>752.75764782372028</v>
      </c>
      <c r="F550" s="6">
        <f t="shared" si="41"/>
        <v>978.58494217083637</v>
      </c>
      <c r="G550" s="7">
        <f t="shared" si="42"/>
        <v>1053.8607069532084</v>
      </c>
      <c r="H550" s="8">
        <f t="shared" si="43"/>
        <v>1129.1364717355805</v>
      </c>
      <c r="I550" s="9">
        <f t="shared" si="44"/>
        <v>1204.4122365179526</v>
      </c>
    </row>
    <row r="551" spans="1:9" x14ac:dyDescent="0.35">
      <c r="A551" s="18" t="s">
        <v>3233</v>
      </c>
      <c r="B551" s="18" t="s">
        <v>3235</v>
      </c>
      <c r="C551" s="20">
        <v>45600</v>
      </c>
      <c r="D551" s="11">
        <v>855.47233485000027</v>
      </c>
      <c r="E551" s="27">
        <f t="shared" si="40"/>
        <v>952.31180315502036</v>
      </c>
      <c r="F551" s="6">
        <f t="shared" si="41"/>
        <v>1238.0053441015266</v>
      </c>
      <c r="G551" s="7">
        <f t="shared" si="42"/>
        <v>1333.2365244170285</v>
      </c>
      <c r="H551" s="8">
        <f t="shared" si="43"/>
        <v>1428.4677047325306</v>
      </c>
      <c r="I551" s="9">
        <f t="shared" si="44"/>
        <v>1523.6988850480327</v>
      </c>
    </row>
    <row r="552" spans="1:9" x14ac:dyDescent="0.35">
      <c r="C552" s="20">
        <v>45600</v>
      </c>
      <c r="D552" s="11">
        <v>0</v>
      </c>
      <c r="E552" s="27">
        <f t="shared" si="40"/>
        <v>0</v>
      </c>
      <c r="F552" s="6">
        <f t="shared" si="41"/>
        <v>0</v>
      </c>
      <c r="G552" s="7">
        <f t="shared" si="42"/>
        <v>0</v>
      </c>
      <c r="H552" s="8">
        <f t="shared" si="43"/>
        <v>0</v>
      </c>
      <c r="I552" s="9">
        <f t="shared" si="44"/>
        <v>0</v>
      </c>
    </row>
    <row r="553" spans="1:9" x14ac:dyDescent="0.35">
      <c r="A553" s="18" t="s">
        <v>1870</v>
      </c>
      <c r="B553" s="18" t="s">
        <v>1873</v>
      </c>
      <c r="C553" s="20">
        <v>45600</v>
      </c>
      <c r="D553" s="11">
        <v>188.82771232500005</v>
      </c>
      <c r="E553" s="27">
        <f t="shared" si="40"/>
        <v>210.20300936019007</v>
      </c>
      <c r="F553" s="6">
        <f t="shared" si="41"/>
        <v>273.26391216824709</v>
      </c>
      <c r="G553" s="7">
        <f t="shared" si="42"/>
        <v>294.28421310426609</v>
      </c>
      <c r="H553" s="8">
        <f t="shared" si="43"/>
        <v>315.30451404028508</v>
      </c>
      <c r="I553" s="9">
        <f t="shared" si="44"/>
        <v>336.32481497630414</v>
      </c>
    </row>
    <row r="554" spans="1:9" x14ac:dyDescent="0.35">
      <c r="A554" s="18" t="s">
        <v>1871</v>
      </c>
      <c r="B554" s="18" t="s">
        <v>1874</v>
      </c>
      <c r="C554" s="20">
        <v>45600</v>
      </c>
      <c r="D554" s="11">
        <v>245.17859625000006</v>
      </c>
      <c r="E554" s="27">
        <f t="shared" si="40"/>
        <v>272.93281334550011</v>
      </c>
      <c r="F554" s="6">
        <f t="shared" si="41"/>
        <v>354.81265734915013</v>
      </c>
      <c r="G554" s="7">
        <f t="shared" si="42"/>
        <v>382.10593868370012</v>
      </c>
      <c r="H554" s="8">
        <f t="shared" si="43"/>
        <v>409.39922001825016</v>
      </c>
      <c r="I554" s="9">
        <f t="shared" si="44"/>
        <v>436.69250135280021</v>
      </c>
    </row>
    <row r="555" spans="1:9" x14ac:dyDescent="0.35">
      <c r="A555" s="18" t="s">
        <v>1872</v>
      </c>
      <c r="B555" s="18" t="s">
        <v>1875</v>
      </c>
      <c r="C555" s="20">
        <v>45600</v>
      </c>
      <c r="D555" s="11">
        <v>303.74048250000004</v>
      </c>
      <c r="E555" s="27">
        <f t="shared" si="40"/>
        <v>338.12390511900003</v>
      </c>
      <c r="F555" s="6">
        <f t="shared" si="41"/>
        <v>439.56107665470006</v>
      </c>
      <c r="G555" s="7">
        <f t="shared" si="42"/>
        <v>473.37346716659999</v>
      </c>
      <c r="H555" s="8">
        <f t="shared" si="43"/>
        <v>507.18585767850004</v>
      </c>
      <c r="I555" s="9">
        <f t="shared" si="44"/>
        <v>540.99824819040009</v>
      </c>
    </row>
    <row r="556" spans="1:9" x14ac:dyDescent="0.35">
      <c r="C556" s="20">
        <v>45600</v>
      </c>
      <c r="D556" s="11">
        <v>0</v>
      </c>
      <c r="E556" s="27">
        <f t="shared" si="40"/>
        <v>0</v>
      </c>
      <c r="F556" s="6">
        <f t="shared" si="41"/>
        <v>0</v>
      </c>
      <c r="G556" s="7">
        <f t="shared" si="42"/>
        <v>0</v>
      </c>
      <c r="H556" s="8">
        <f t="shared" si="43"/>
        <v>0</v>
      </c>
      <c r="I556" s="9">
        <f t="shared" si="44"/>
        <v>0</v>
      </c>
    </row>
    <row r="557" spans="1:9" x14ac:dyDescent="0.35">
      <c r="A557" s="18" t="s">
        <v>4823</v>
      </c>
      <c r="B557" s="18" t="s">
        <v>4825</v>
      </c>
      <c r="C557" s="20">
        <v>45600</v>
      </c>
      <c r="D557" s="11">
        <v>195.66055845000005</v>
      </c>
      <c r="E557" s="27">
        <f t="shared" si="40"/>
        <v>217.80933366654006</v>
      </c>
      <c r="F557" s="6">
        <f t="shared" si="41"/>
        <v>283.15213376650206</v>
      </c>
      <c r="G557" s="7">
        <f t="shared" si="42"/>
        <v>304.93306713315604</v>
      </c>
      <c r="H557" s="8">
        <f t="shared" si="43"/>
        <v>326.71400049981008</v>
      </c>
      <c r="I557" s="9">
        <f t="shared" si="44"/>
        <v>348.49493386646412</v>
      </c>
    </row>
    <row r="558" spans="1:9" x14ac:dyDescent="0.35">
      <c r="A558" s="18" t="s">
        <v>4824</v>
      </c>
      <c r="B558" s="18" t="s">
        <v>4826</v>
      </c>
      <c r="C558" s="20">
        <v>45600</v>
      </c>
      <c r="D558" s="11">
        <v>247.42941615000004</v>
      </c>
      <c r="E558" s="27">
        <f t="shared" si="40"/>
        <v>275.43842605818008</v>
      </c>
      <c r="F558" s="6">
        <f t="shared" si="41"/>
        <v>358.0699538756341</v>
      </c>
      <c r="G558" s="7">
        <f t="shared" si="42"/>
        <v>385.61379648145208</v>
      </c>
      <c r="H558" s="8">
        <f t="shared" si="43"/>
        <v>413.15763908727013</v>
      </c>
      <c r="I558" s="9">
        <f t="shared" si="44"/>
        <v>440.70148169308817</v>
      </c>
    </row>
    <row r="559" spans="1:9" x14ac:dyDescent="0.35">
      <c r="C559" s="20">
        <v>45600</v>
      </c>
      <c r="D559" s="11">
        <v>0</v>
      </c>
      <c r="E559" s="27">
        <f t="shared" si="40"/>
        <v>0</v>
      </c>
      <c r="F559" s="6">
        <f t="shared" si="41"/>
        <v>0</v>
      </c>
      <c r="G559" s="7">
        <f t="shared" si="42"/>
        <v>0</v>
      </c>
      <c r="H559" s="8">
        <f t="shared" si="43"/>
        <v>0</v>
      </c>
      <c r="I559" s="9">
        <f t="shared" si="44"/>
        <v>0</v>
      </c>
    </row>
    <row r="560" spans="1:9" x14ac:dyDescent="0.35">
      <c r="A560" s="18" t="s">
        <v>6558</v>
      </c>
      <c r="B560" s="18" t="s">
        <v>6559</v>
      </c>
      <c r="C560" s="20">
        <v>45600</v>
      </c>
      <c r="D560" s="11">
        <v>160.27200000000002</v>
      </c>
      <c r="E560" s="27">
        <f t="shared" si="40"/>
        <v>178.41479040000002</v>
      </c>
      <c r="F560" s="6">
        <f t="shared" si="41"/>
        <v>231.93922752000003</v>
      </c>
      <c r="G560" s="7">
        <f t="shared" si="42"/>
        <v>249.78070656</v>
      </c>
      <c r="H560" s="8">
        <f t="shared" si="43"/>
        <v>267.62218560000002</v>
      </c>
      <c r="I560" s="9">
        <f t="shared" si="44"/>
        <v>285.46366464000005</v>
      </c>
    </row>
    <row r="561" spans="1:9" x14ac:dyDescent="0.35">
      <c r="A561" s="18" t="s">
        <v>6561</v>
      </c>
      <c r="B561" s="18" t="s">
        <v>6560</v>
      </c>
      <c r="C561" s="20">
        <v>45600</v>
      </c>
      <c r="D561" s="11">
        <v>215.92200000000003</v>
      </c>
      <c r="E561" s="27">
        <f t="shared" si="40"/>
        <v>240.36437040000001</v>
      </c>
      <c r="F561" s="6">
        <f t="shared" si="41"/>
        <v>312.47368152000001</v>
      </c>
      <c r="G561" s="7">
        <f t="shared" si="42"/>
        <v>336.51011856000002</v>
      </c>
      <c r="H561" s="8">
        <f t="shared" si="43"/>
        <v>360.54655560000003</v>
      </c>
      <c r="I561" s="9">
        <f t="shared" si="44"/>
        <v>384.58299264000004</v>
      </c>
    </row>
    <row r="562" spans="1:9" ht="18" x14ac:dyDescent="0.4">
      <c r="A562" s="28"/>
      <c r="B562" s="34" t="s">
        <v>3462</v>
      </c>
      <c r="C562" s="29"/>
      <c r="D562" s="11">
        <v>0</v>
      </c>
      <c r="E562" s="27">
        <f t="shared" si="40"/>
        <v>0</v>
      </c>
      <c r="F562" s="6">
        <f t="shared" si="41"/>
        <v>0</v>
      </c>
      <c r="G562" s="7">
        <f t="shared" si="42"/>
        <v>0</v>
      </c>
      <c r="H562" s="8">
        <f t="shared" si="43"/>
        <v>0</v>
      </c>
      <c r="I562" s="9">
        <f t="shared" si="44"/>
        <v>0</v>
      </c>
    </row>
    <row r="563" spans="1:9" x14ac:dyDescent="0.35">
      <c r="A563" s="28" t="s">
        <v>3463</v>
      </c>
      <c r="B563" s="28" t="s">
        <v>3601</v>
      </c>
      <c r="C563" s="29">
        <v>45731</v>
      </c>
      <c r="D563" s="11">
        <v>159.89642640562502</v>
      </c>
      <c r="E563" s="27">
        <f t="shared" si="40"/>
        <v>177.99670187474177</v>
      </c>
      <c r="F563" s="6">
        <f t="shared" si="41"/>
        <v>231.39571243716432</v>
      </c>
      <c r="G563" s="7">
        <f t="shared" si="42"/>
        <v>249.19538262463846</v>
      </c>
      <c r="H563" s="8">
        <f t="shared" si="43"/>
        <v>266.99505281211265</v>
      </c>
      <c r="I563" s="9">
        <f t="shared" si="44"/>
        <v>284.79472299958684</v>
      </c>
    </row>
    <row r="564" spans="1:9" x14ac:dyDescent="0.35">
      <c r="A564" s="28" t="s">
        <v>3464</v>
      </c>
      <c r="B564" s="28" t="s">
        <v>3602</v>
      </c>
      <c r="C564" s="29">
        <v>45731</v>
      </c>
      <c r="D564" s="11">
        <v>254.32164524812504</v>
      </c>
      <c r="E564" s="27">
        <f t="shared" si="40"/>
        <v>283.11085549021277</v>
      </c>
      <c r="F564" s="6">
        <f t="shared" si="41"/>
        <v>368.04411213727661</v>
      </c>
      <c r="G564" s="7">
        <f t="shared" si="42"/>
        <v>396.35519768629786</v>
      </c>
      <c r="H564" s="8">
        <f t="shared" si="43"/>
        <v>424.66628323531916</v>
      </c>
      <c r="I564" s="9">
        <f t="shared" si="44"/>
        <v>452.97736878434046</v>
      </c>
    </row>
    <row r="565" spans="1:9" x14ac:dyDescent="0.35">
      <c r="A565" s="28" t="s">
        <v>3465</v>
      </c>
      <c r="B565" s="28" t="s">
        <v>3603</v>
      </c>
      <c r="C565" s="29">
        <v>45731</v>
      </c>
      <c r="D565" s="11">
        <v>558.91173224250008</v>
      </c>
      <c r="E565" s="27">
        <f t="shared" si="40"/>
        <v>622.18054033235103</v>
      </c>
      <c r="F565" s="6">
        <f t="shared" si="41"/>
        <v>808.83470243205636</v>
      </c>
      <c r="G565" s="7">
        <f t="shared" si="42"/>
        <v>871.0527564652914</v>
      </c>
      <c r="H565" s="8">
        <f t="shared" si="43"/>
        <v>933.27081049852654</v>
      </c>
      <c r="I565" s="9">
        <f t="shared" si="44"/>
        <v>995.48886453176169</v>
      </c>
    </row>
    <row r="566" spans="1:9" x14ac:dyDescent="0.35">
      <c r="A566" s="28" t="s">
        <v>3466</v>
      </c>
      <c r="B566" s="28" t="s">
        <v>3604</v>
      </c>
      <c r="C566" s="29">
        <v>45731</v>
      </c>
      <c r="D566" s="11">
        <v>899.78982809625006</v>
      </c>
      <c r="E566" s="27">
        <f t="shared" si="40"/>
        <v>1001.6460366367455</v>
      </c>
      <c r="F566" s="6">
        <f t="shared" si="41"/>
        <v>1302.1398476277693</v>
      </c>
      <c r="G566" s="7">
        <f t="shared" si="42"/>
        <v>1402.3044512914437</v>
      </c>
      <c r="H566" s="8">
        <f t="shared" si="43"/>
        <v>1502.4690549551183</v>
      </c>
      <c r="I566" s="9">
        <f t="shared" si="44"/>
        <v>1602.6336586187929</v>
      </c>
    </row>
    <row r="567" spans="1:9" x14ac:dyDescent="0.35">
      <c r="A567" s="28" t="s">
        <v>3467</v>
      </c>
      <c r="B567" s="28" t="s">
        <v>3605</v>
      </c>
      <c r="C567" s="29">
        <v>45731</v>
      </c>
      <c r="D567" s="11">
        <v>1261.1420005275002</v>
      </c>
      <c r="E567" s="27">
        <f t="shared" si="40"/>
        <v>1403.9032749872133</v>
      </c>
      <c r="F567" s="6">
        <f t="shared" si="41"/>
        <v>1825.0742574833773</v>
      </c>
      <c r="G567" s="7">
        <f t="shared" si="42"/>
        <v>1965.4645849820986</v>
      </c>
      <c r="H567" s="8">
        <f t="shared" si="43"/>
        <v>2105.8549124808201</v>
      </c>
      <c r="I567" s="9">
        <f t="shared" si="44"/>
        <v>2246.2452399795416</v>
      </c>
    </row>
    <row r="568" spans="1:9" x14ac:dyDescent="0.35">
      <c r="A568" s="28" t="s">
        <v>3468</v>
      </c>
      <c r="B568" s="28" t="s">
        <v>3606</v>
      </c>
      <c r="C568" s="29">
        <v>45731</v>
      </c>
      <c r="D568" s="11">
        <v>2043.0530966868751</v>
      </c>
      <c r="E568" s="27">
        <f t="shared" si="40"/>
        <v>2274.3267072318295</v>
      </c>
      <c r="F568" s="6">
        <f t="shared" si="41"/>
        <v>2956.6247194013786</v>
      </c>
      <c r="G568" s="7">
        <f t="shared" si="42"/>
        <v>3184.0573901245612</v>
      </c>
      <c r="H568" s="8">
        <f t="shared" si="43"/>
        <v>3411.4900608477442</v>
      </c>
      <c r="I568" s="9">
        <f t="shared" si="44"/>
        <v>3638.9227315709272</v>
      </c>
    </row>
    <row r="569" spans="1:9" x14ac:dyDescent="0.35">
      <c r="A569" s="28"/>
      <c r="B569" s="28"/>
      <c r="C569" s="29">
        <v>45731</v>
      </c>
      <c r="D569" s="11">
        <v>0</v>
      </c>
      <c r="E569" s="27">
        <f t="shared" si="40"/>
        <v>0</v>
      </c>
      <c r="F569" s="6">
        <f t="shared" si="41"/>
        <v>0</v>
      </c>
      <c r="G569" s="7">
        <f t="shared" si="42"/>
        <v>0</v>
      </c>
      <c r="H569" s="8">
        <f t="shared" si="43"/>
        <v>0</v>
      </c>
      <c r="I569" s="9">
        <f t="shared" si="44"/>
        <v>0</v>
      </c>
    </row>
    <row r="570" spans="1:9" x14ac:dyDescent="0.35">
      <c r="A570" s="28" t="s">
        <v>3469</v>
      </c>
      <c r="B570" s="28" t="s">
        <v>3607</v>
      </c>
      <c r="C570" s="29">
        <v>45731</v>
      </c>
      <c r="D570" s="11">
        <v>166.69565332874998</v>
      </c>
      <c r="E570" s="27">
        <f t="shared" si="40"/>
        <v>185.5656012855645</v>
      </c>
      <c r="F570" s="6">
        <f t="shared" si="41"/>
        <v>241.23528167123385</v>
      </c>
      <c r="G570" s="7">
        <f t="shared" si="42"/>
        <v>259.79184179979029</v>
      </c>
      <c r="H570" s="8">
        <f t="shared" si="43"/>
        <v>278.34840192834673</v>
      </c>
      <c r="I570" s="9">
        <f t="shared" si="44"/>
        <v>296.90496205690323</v>
      </c>
    </row>
    <row r="571" spans="1:9" x14ac:dyDescent="0.35">
      <c r="A571" s="28" t="s">
        <v>3470</v>
      </c>
      <c r="B571" s="28" t="s">
        <v>3608</v>
      </c>
      <c r="C571" s="29">
        <v>45731</v>
      </c>
      <c r="D571" s="11">
        <v>263.87112126375001</v>
      </c>
      <c r="E571" s="27">
        <f t="shared" si="40"/>
        <v>293.74133219080653</v>
      </c>
      <c r="F571" s="6">
        <f t="shared" si="41"/>
        <v>381.86373184804853</v>
      </c>
      <c r="G571" s="7">
        <f t="shared" si="42"/>
        <v>411.23786506712912</v>
      </c>
      <c r="H571" s="8">
        <f t="shared" si="43"/>
        <v>440.61199828620977</v>
      </c>
      <c r="I571" s="9">
        <f t="shared" si="44"/>
        <v>469.98613150529047</v>
      </c>
    </row>
    <row r="572" spans="1:9" x14ac:dyDescent="0.35">
      <c r="A572" s="28" t="s">
        <v>3471</v>
      </c>
      <c r="B572" s="28" t="s">
        <v>3609</v>
      </c>
      <c r="C572" s="29">
        <v>45731</v>
      </c>
      <c r="D572" s="11">
        <v>452.11039248375005</v>
      </c>
      <c r="E572" s="27">
        <f t="shared" si="40"/>
        <v>503.28928891291054</v>
      </c>
      <c r="F572" s="6">
        <f t="shared" si="41"/>
        <v>654.27607558678369</v>
      </c>
      <c r="G572" s="7">
        <f t="shared" si="42"/>
        <v>704.60500447807476</v>
      </c>
      <c r="H572" s="8">
        <f t="shared" si="43"/>
        <v>754.93393336936583</v>
      </c>
      <c r="I572" s="9">
        <f t="shared" si="44"/>
        <v>805.2628622606569</v>
      </c>
    </row>
    <row r="573" spans="1:9" x14ac:dyDescent="0.35">
      <c r="A573" s="28" t="s">
        <v>3472</v>
      </c>
      <c r="B573" s="28" t="s">
        <v>3610</v>
      </c>
      <c r="C573" s="29">
        <v>45731</v>
      </c>
      <c r="D573" s="11">
        <v>1135.8528752025002</v>
      </c>
      <c r="E573" s="27">
        <f t="shared" si="40"/>
        <v>1264.4314206754232</v>
      </c>
      <c r="F573" s="6">
        <f t="shared" si="41"/>
        <v>1643.7608468780502</v>
      </c>
      <c r="G573" s="7">
        <f t="shared" si="42"/>
        <v>1770.2039889455923</v>
      </c>
      <c r="H573" s="8">
        <f t="shared" si="43"/>
        <v>1896.6471310131346</v>
      </c>
      <c r="I573" s="9">
        <f t="shared" si="44"/>
        <v>2023.0902730806772</v>
      </c>
    </row>
    <row r="574" spans="1:9" x14ac:dyDescent="0.35">
      <c r="A574" s="28" t="s">
        <v>3473</v>
      </c>
      <c r="B574" s="28" t="s">
        <v>3611</v>
      </c>
      <c r="C574" s="29">
        <v>45731</v>
      </c>
      <c r="D574" s="11">
        <v>1682.2356949124999</v>
      </c>
      <c r="E574" s="27">
        <f t="shared" si="40"/>
        <v>1872.664775576595</v>
      </c>
      <c r="F574" s="6">
        <f t="shared" si="41"/>
        <v>2434.4642082495739</v>
      </c>
      <c r="G574" s="7">
        <f t="shared" si="42"/>
        <v>2621.7306858072329</v>
      </c>
      <c r="H574" s="8">
        <f t="shared" si="43"/>
        <v>2808.9971633648925</v>
      </c>
      <c r="I574" s="9">
        <f t="shared" si="44"/>
        <v>2996.2636409225524</v>
      </c>
    </row>
    <row r="575" spans="1:9" x14ac:dyDescent="0.35">
      <c r="A575" s="28" t="s">
        <v>3474</v>
      </c>
      <c r="B575" s="28" t="s">
        <v>3612</v>
      </c>
      <c r="C575" s="29">
        <v>45731</v>
      </c>
      <c r="D575" s="11">
        <v>2670.9502436662497</v>
      </c>
      <c r="E575" s="27">
        <f t="shared" si="40"/>
        <v>2973.3018112492691</v>
      </c>
      <c r="F575" s="6">
        <f t="shared" si="41"/>
        <v>3865.2923546240499</v>
      </c>
      <c r="G575" s="7">
        <f t="shared" si="42"/>
        <v>4162.6225357489766</v>
      </c>
      <c r="H575" s="8">
        <f t="shared" si="43"/>
        <v>4459.9527168739041</v>
      </c>
      <c r="I575" s="9">
        <f t="shared" si="44"/>
        <v>4757.2828979988308</v>
      </c>
    </row>
    <row r="576" spans="1:9" x14ac:dyDescent="0.35">
      <c r="A576" s="28"/>
      <c r="B576" s="28"/>
      <c r="C576" s="29">
        <v>45731</v>
      </c>
      <c r="D576" s="11">
        <v>0</v>
      </c>
      <c r="E576" s="27">
        <f t="shared" si="40"/>
        <v>0</v>
      </c>
      <c r="F576" s="6">
        <f t="shared" si="41"/>
        <v>0</v>
      </c>
      <c r="G576" s="7">
        <f t="shared" si="42"/>
        <v>0</v>
      </c>
      <c r="H576" s="8">
        <f t="shared" si="43"/>
        <v>0</v>
      </c>
      <c r="I576" s="9">
        <f t="shared" si="44"/>
        <v>0</v>
      </c>
    </row>
    <row r="577" spans="1:9" x14ac:dyDescent="0.35">
      <c r="A577" s="28" t="s">
        <v>3475</v>
      </c>
      <c r="B577" s="28" t="s">
        <v>3613</v>
      </c>
      <c r="C577" s="29">
        <v>45731</v>
      </c>
      <c r="D577" s="11">
        <v>343.24636590562505</v>
      </c>
      <c r="E577" s="27">
        <f t="shared" si="40"/>
        <v>382.10185452614178</v>
      </c>
      <c r="F577" s="6">
        <f t="shared" si="41"/>
        <v>496.7324108839843</v>
      </c>
      <c r="G577" s="7">
        <f t="shared" si="42"/>
        <v>534.94259633659851</v>
      </c>
      <c r="H577" s="8">
        <f t="shared" si="43"/>
        <v>573.15278178921267</v>
      </c>
      <c r="I577" s="9">
        <f t="shared" si="44"/>
        <v>611.36296724182682</v>
      </c>
    </row>
    <row r="578" spans="1:9" x14ac:dyDescent="0.35">
      <c r="A578" s="28" t="s">
        <v>3476</v>
      </c>
      <c r="B578" s="28" t="s">
        <v>3614</v>
      </c>
      <c r="C578" s="29">
        <v>45731</v>
      </c>
      <c r="D578" s="11">
        <v>452.11039248375005</v>
      </c>
      <c r="E578" s="27">
        <f t="shared" si="40"/>
        <v>503.28928891291054</v>
      </c>
      <c r="F578" s="6">
        <f t="shared" si="41"/>
        <v>654.27607558678369</v>
      </c>
      <c r="G578" s="7">
        <f t="shared" si="42"/>
        <v>704.60500447807476</v>
      </c>
      <c r="H578" s="8">
        <f t="shared" si="43"/>
        <v>754.93393336936583</v>
      </c>
      <c r="I578" s="9">
        <f t="shared" si="44"/>
        <v>805.2628622606569</v>
      </c>
    </row>
    <row r="579" spans="1:9" x14ac:dyDescent="0.35">
      <c r="A579" s="28" t="s">
        <v>3477</v>
      </c>
      <c r="B579" s="28" t="s">
        <v>3615</v>
      </c>
      <c r="C579" s="29">
        <v>45731</v>
      </c>
      <c r="D579" s="11">
        <v>819.80341698937491</v>
      </c>
      <c r="E579" s="27">
        <f t="shared" si="40"/>
        <v>912.60516379257217</v>
      </c>
      <c r="F579" s="6">
        <f t="shared" si="41"/>
        <v>1186.3867129303439</v>
      </c>
      <c r="G579" s="7">
        <f t="shared" si="42"/>
        <v>1277.647229309601</v>
      </c>
      <c r="H579" s="8">
        <f t="shared" si="43"/>
        <v>1368.9077456888583</v>
      </c>
      <c r="I579" s="9">
        <f t="shared" si="44"/>
        <v>1460.1682620681156</v>
      </c>
    </row>
    <row r="580" spans="1:9" x14ac:dyDescent="0.35">
      <c r="A580" s="28"/>
      <c r="B580" s="28"/>
      <c r="C580" s="29">
        <v>45731</v>
      </c>
      <c r="D580" s="11">
        <v>0</v>
      </c>
      <c r="E580" s="27">
        <f t="shared" si="40"/>
        <v>0</v>
      </c>
      <c r="F580" s="6">
        <f t="shared" si="41"/>
        <v>0</v>
      </c>
      <c r="G580" s="7">
        <f t="shared" si="42"/>
        <v>0</v>
      </c>
      <c r="H580" s="8">
        <f t="shared" si="43"/>
        <v>0</v>
      </c>
      <c r="I580" s="9">
        <f t="shared" si="44"/>
        <v>0</v>
      </c>
    </row>
    <row r="581" spans="1:9" x14ac:dyDescent="0.35">
      <c r="A581" s="28" t="s">
        <v>3478</v>
      </c>
      <c r="B581" s="28" t="s">
        <v>3616</v>
      </c>
      <c r="C581" s="29">
        <v>45731</v>
      </c>
      <c r="D581" s="11">
        <v>981.07496794125018</v>
      </c>
      <c r="E581" s="27">
        <f t="shared" si="40"/>
        <v>1092.1326543121995</v>
      </c>
      <c r="F581" s="6">
        <f t="shared" si="41"/>
        <v>1419.7724506058594</v>
      </c>
      <c r="G581" s="7">
        <f t="shared" si="42"/>
        <v>1528.9857160370793</v>
      </c>
      <c r="H581" s="8">
        <f t="shared" si="43"/>
        <v>1638.1989814682993</v>
      </c>
      <c r="I581" s="9">
        <f t="shared" si="44"/>
        <v>1747.4122468995192</v>
      </c>
    </row>
    <row r="582" spans="1:9" x14ac:dyDescent="0.35">
      <c r="A582" s="28" t="s">
        <v>3479</v>
      </c>
      <c r="B582" s="28" t="s">
        <v>3617</v>
      </c>
      <c r="C582" s="29">
        <v>45731</v>
      </c>
      <c r="D582" s="11">
        <v>1679.9438206687503</v>
      </c>
      <c r="E582" s="27">
        <f t="shared" si="40"/>
        <v>1870.1134611684529</v>
      </c>
      <c r="F582" s="6">
        <f t="shared" si="41"/>
        <v>2431.1474995189888</v>
      </c>
      <c r="G582" s="7">
        <f t="shared" si="42"/>
        <v>2618.158845635834</v>
      </c>
      <c r="H582" s="8">
        <f t="shared" si="43"/>
        <v>2805.1701917526793</v>
      </c>
      <c r="I582" s="9">
        <f t="shared" si="44"/>
        <v>2992.1815378695246</v>
      </c>
    </row>
    <row r="583" spans="1:9" x14ac:dyDescent="0.35">
      <c r="A583" s="28" t="s">
        <v>3480</v>
      </c>
      <c r="B583" s="28" t="s">
        <v>3618</v>
      </c>
      <c r="C583" s="29">
        <v>45731</v>
      </c>
      <c r="D583" s="11">
        <v>3349.4978114324999</v>
      </c>
      <c r="E583" s="27">
        <f t="shared" si="40"/>
        <v>3728.6609636866592</v>
      </c>
      <c r="F583" s="6">
        <f t="shared" si="41"/>
        <v>4847.2592527926572</v>
      </c>
      <c r="G583" s="7">
        <f t="shared" si="42"/>
        <v>5220.1253491613224</v>
      </c>
      <c r="H583" s="8">
        <f t="shared" si="43"/>
        <v>5592.9914455299886</v>
      </c>
      <c r="I583" s="9">
        <f t="shared" si="44"/>
        <v>5965.8575418986547</v>
      </c>
    </row>
    <row r="584" spans="1:9" x14ac:dyDescent="0.35">
      <c r="A584" s="28"/>
      <c r="B584" s="28"/>
      <c r="C584" s="29">
        <v>45731</v>
      </c>
      <c r="D584" s="11">
        <v>0</v>
      </c>
      <c r="E584" s="27">
        <f t="shared" si="40"/>
        <v>0</v>
      </c>
      <c r="F584" s="6">
        <f t="shared" si="41"/>
        <v>0</v>
      </c>
      <c r="G584" s="7">
        <f t="shared" si="42"/>
        <v>0</v>
      </c>
      <c r="H584" s="8">
        <f t="shared" si="43"/>
        <v>0</v>
      </c>
      <c r="I584" s="9">
        <f t="shared" si="44"/>
        <v>0</v>
      </c>
    </row>
    <row r="585" spans="1:9" x14ac:dyDescent="0.35">
      <c r="A585" s="28" t="s">
        <v>3481</v>
      </c>
      <c r="B585" s="28" t="s">
        <v>3619</v>
      </c>
      <c r="C585" s="29">
        <v>45731</v>
      </c>
      <c r="D585" s="11">
        <v>219.7143441675</v>
      </c>
      <c r="E585" s="27">
        <f t="shared" si="40"/>
        <v>244.58600792726102</v>
      </c>
      <c r="F585" s="6">
        <f t="shared" si="41"/>
        <v>317.96181030543931</v>
      </c>
      <c r="G585" s="7">
        <f t="shared" si="42"/>
        <v>342.4204110981654</v>
      </c>
      <c r="H585" s="8">
        <f t="shared" si="43"/>
        <v>366.87901189089155</v>
      </c>
      <c r="I585" s="9">
        <f t="shared" si="44"/>
        <v>391.33761268361764</v>
      </c>
    </row>
    <row r="586" spans="1:9" x14ac:dyDescent="0.35">
      <c r="A586" s="28" t="s">
        <v>3482</v>
      </c>
      <c r="B586" s="28" t="s">
        <v>3620</v>
      </c>
      <c r="C586" s="29">
        <v>45731</v>
      </c>
      <c r="D586" s="11">
        <v>351.11513414249998</v>
      </c>
      <c r="E586" s="27">
        <f t="shared" si="40"/>
        <v>390.86136732743097</v>
      </c>
      <c r="F586" s="6">
        <f t="shared" si="41"/>
        <v>508.11977752566025</v>
      </c>
      <c r="G586" s="7">
        <f t="shared" si="42"/>
        <v>547.20591425840337</v>
      </c>
      <c r="H586" s="8">
        <f t="shared" si="43"/>
        <v>586.29205099114643</v>
      </c>
      <c r="I586" s="9">
        <f t="shared" si="44"/>
        <v>625.3781877238896</v>
      </c>
    </row>
    <row r="587" spans="1:9" x14ac:dyDescent="0.35">
      <c r="A587" s="28" t="s">
        <v>3483</v>
      </c>
      <c r="B587" s="28" t="s">
        <v>3621</v>
      </c>
      <c r="C587" s="29">
        <v>45731</v>
      </c>
      <c r="D587" s="11">
        <v>686.72191923562502</v>
      </c>
      <c r="E587" s="27">
        <f t="shared" si="40"/>
        <v>764.4588404930978</v>
      </c>
      <c r="F587" s="6">
        <f t="shared" si="41"/>
        <v>993.79649264102716</v>
      </c>
      <c r="G587" s="7">
        <f t="shared" si="42"/>
        <v>1070.2423766903369</v>
      </c>
      <c r="H587" s="8">
        <f t="shared" si="43"/>
        <v>1146.6882607396467</v>
      </c>
      <c r="I587" s="9">
        <f t="shared" si="44"/>
        <v>1223.1341447889565</v>
      </c>
    </row>
    <row r="588" spans="1:9" x14ac:dyDescent="0.35">
      <c r="A588" s="28" t="s">
        <v>3484</v>
      </c>
      <c r="B588" s="28" t="s">
        <v>3622</v>
      </c>
      <c r="C588" s="29">
        <v>45731</v>
      </c>
      <c r="D588" s="11">
        <v>1026.6832653918752</v>
      </c>
      <c r="E588" s="27">
        <f t="shared" ref="E588:E651" si="45">D588*1.21*0.92</f>
        <v>1142.9038110342356</v>
      </c>
      <c r="F588" s="6">
        <f t="shared" si="41"/>
        <v>1485.7749543445063</v>
      </c>
      <c r="G588" s="7">
        <f t="shared" si="42"/>
        <v>1600.0653354479298</v>
      </c>
      <c r="H588" s="8">
        <f t="shared" si="43"/>
        <v>1714.3557165513535</v>
      </c>
      <c r="I588" s="9">
        <f t="shared" si="44"/>
        <v>1828.6460976547769</v>
      </c>
    </row>
    <row r="589" spans="1:9" x14ac:dyDescent="0.35">
      <c r="A589" s="28" t="s">
        <v>3485</v>
      </c>
      <c r="B589" s="28" t="s">
        <v>3623</v>
      </c>
      <c r="C589" s="29">
        <v>45731</v>
      </c>
      <c r="D589" s="11">
        <v>1428.1432370887501</v>
      </c>
      <c r="E589" s="27">
        <f t="shared" si="45"/>
        <v>1589.8090515271965</v>
      </c>
      <c r="F589" s="6">
        <f t="shared" si="41"/>
        <v>2066.7517669853555</v>
      </c>
      <c r="G589" s="7">
        <f t="shared" si="42"/>
        <v>2225.732672138075</v>
      </c>
      <c r="H589" s="8">
        <f t="shared" si="43"/>
        <v>2384.713577290795</v>
      </c>
      <c r="I589" s="9">
        <f t="shared" si="44"/>
        <v>2543.6944824435145</v>
      </c>
    </row>
    <row r="590" spans="1:9" x14ac:dyDescent="0.35">
      <c r="A590" s="28" t="s">
        <v>3486</v>
      </c>
      <c r="B590" s="28" t="s">
        <v>3624</v>
      </c>
      <c r="C590" s="29">
        <v>45731</v>
      </c>
      <c r="D590" s="11">
        <v>2556.3565314787502</v>
      </c>
      <c r="E590" s="27">
        <f t="shared" si="45"/>
        <v>2845.7360908421447</v>
      </c>
      <c r="F590" s="6">
        <f t="shared" si="41"/>
        <v>3699.4569180947883</v>
      </c>
      <c r="G590" s="7">
        <f t="shared" si="42"/>
        <v>3984.0305271790021</v>
      </c>
      <c r="H590" s="8">
        <f t="shared" si="43"/>
        <v>4268.6041362632168</v>
      </c>
      <c r="I590" s="9">
        <f t="shared" si="44"/>
        <v>4553.1777453474315</v>
      </c>
    </row>
    <row r="591" spans="1:9" x14ac:dyDescent="0.35">
      <c r="A591" s="28"/>
      <c r="B591" s="28"/>
      <c r="C591" s="29">
        <v>45731</v>
      </c>
      <c r="D591" s="11">
        <v>0</v>
      </c>
      <c r="E591" s="27">
        <f t="shared" si="45"/>
        <v>0</v>
      </c>
      <c r="F591" s="6">
        <f t="shared" ref="F591:F654" si="46">E591*1.3</f>
        <v>0</v>
      </c>
      <c r="G591" s="7">
        <f t="shared" ref="G591:G654" si="47">E591*1.4</f>
        <v>0</v>
      </c>
      <c r="H591" s="8">
        <f t="shared" ref="H591:H654" si="48">E591*1.5</f>
        <v>0</v>
      </c>
      <c r="I591" s="9">
        <f t="shared" ref="I591:I654" si="49">E591*1.6</f>
        <v>0</v>
      </c>
    </row>
    <row r="592" spans="1:9" x14ac:dyDescent="0.35">
      <c r="A592" s="28" t="s">
        <v>3487</v>
      </c>
      <c r="B592" s="28" t="s">
        <v>3625</v>
      </c>
      <c r="C592" s="29">
        <v>45731</v>
      </c>
      <c r="D592" s="11">
        <v>129.10891573125002</v>
      </c>
      <c r="E592" s="27">
        <f t="shared" si="45"/>
        <v>143.72404499202753</v>
      </c>
      <c r="F592" s="6">
        <f t="shared" si="46"/>
        <v>186.84125848963581</v>
      </c>
      <c r="G592" s="7">
        <f t="shared" si="47"/>
        <v>201.21366298883854</v>
      </c>
      <c r="H592" s="8">
        <f t="shared" si="48"/>
        <v>215.58606748804129</v>
      </c>
      <c r="I592" s="9">
        <f t="shared" si="49"/>
        <v>229.95847198724405</v>
      </c>
    </row>
    <row r="593" spans="1:9" x14ac:dyDescent="0.35">
      <c r="A593" s="28" t="s">
        <v>3488</v>
      </c>
      <c r="B593" s="28" t="s">
        <v>3626</v>
      </c>
      <c r="C593" s="29">
        <v>45731</v>
      </c>
      <c r="D593" s="11">
        <v>185.79460536000002</v>
      </c>
      <c r="E593" s="27">
        <f t="shared" si="45"/>
        <v>206.82655468675202</v>
      </c>
      <c r="F593" s="6">
        <f t="shared" si="46"/>
        <v>268.87452109277763</v>
      </c>
      <c r="G593" s="7">
        <f t="shared" si="47"/>
        <v>289.55717656145282</v>
      </c>
      <c r="H593" s="8">
        <f t="shared" si="48"/>
        <v>310.23983203012801</v>
      </c>
      <c r="I593" s="9">
        <f t="shared" si="49"/>
        <v>330.92248749880326</v>
      </c>
    </row>
    <row r="594" spans="1:9" x14ac:dyDescent="0.35">
      <c r="A594" s="28" t="s">
        <v>3489</v>
      </c>
      <c r="B594" s="28" t="s">
        <v>3627</v>
      </c>
      <c r="C594" s="29">
        <v>45731</v>
      </c>
      <c r="D594" s="11">
        <v>408.10640700375006</v>
      </c>
      <c r="E594" s="27">
        <f t="shared" si="45"/>
        <v>454.30405227657462</v>
      </c>
      <c r="F594" s="6">
        <f t="shared" si="46"/>
        <v>590.59526795954707</v>
      </c>
      <c r="G594" s="7">
        <f t="shared" si="47"/>
        <v>636.02567318720446</v>
      </c>
      <c r="H594" s="8">
        <f t="shared" si="48"/>
        <v>681.45607841486196</v>
      </c>
      <c r="I594" s="9">
        <f t="shared" si="49"/>
        <v>726.88648364251947</v>
      </c>
    </row>
    <row r="595" spans="1:9" x14ac:dyDescent="0.35">
      <c r="A595" s="28" t="s">
        <v>3490</v>
      </c>
      <c r="B595" s="28" t="s">
        <v>3628</v>
      </c>
      <c r="C595" s="29">
        <v>45731</v>
      </c>
      <c r="D595" s="11">
        <v>702.53585151750008</v>
      </c>
      <c r="E595" s="27">
        <f t="shared" si="45"/>
        <v>782.06290990928107</v>
      </c>
      <c r="F595" s="6">
        <f t="shared" si="46"/>
        <v>1016.6817828820655</v>
      </c>
      <c r="G595" s="7">
        <f t="shared" si="47"/>
        <v>1094.8880738729933</v>
      </c>
      <c r="H595" s="8">
        <f t="shared" si="48"/>
        <v>1173.0943648639216</v>
      </c>
      <c r="I595" s="9">
        <f t="shared" si="49"/>
        <v>1251.3006558548498</v>
      </c>
    </row>
    <row r="596" spans="1:9" x14ac:dyDescent="0.35">
      <c r="A596" s="28" t="s">
        <v>3491</v>
      </c>
      <c r="B596" s="28" t="s">
        <v>3629</v>
      </c>
      <c r="C596" s="29">
        <v>45731</v>
      </c>
      <c r="D596" s="11">
        <v>875.19037788000003</v>
      </c>
      <c r="E596" s="27">
        <f t="shared" si="45"/>
        <v>974.26192865601615</v>
      </c>
      <c r="F596" s="6">
        <f t="shared" si="46"/>
        <v>1266.540507252821</v>
      </c>
      <c r="G596" s="7">
        <f t="shared" si="47"/>
        <v>1363.9667001184225</v>
      </c>
      <c r="H596" s="8">
        <f t="shared" si="48"/>
        <v>1461.3928929840242</v>
      </c>
      <c r="I596" s="9">
        <f t="shared" si="49"/>
        <v>1558.8190858496259</v>
      </c>
    </row>
    <row r="597" spans="1:9" x14ac:dyDescent="0.35">
      <c r="A597" s="28" t="s">
        <v>3492</v>
      </c>
      <c r="B597" s="28" t="s">
        <v>3630</v>
      </c>
      <c r="C597" s="29">
        <v>45731</v>
      </c>
      <c r="D597" s="11">
        <v>1448.6173136662503</v>
      </c>
      <c r="E597" s="27">
        <f t="shared" si="45"/>
        <v>1612.6007935732698</v>
      </c>
      <c r="F597" s="6">
        <f t="shared" si="46"/>
        <v>2096.3810316452509</v>
      </c>
      <c r="G597" s="7">
        <f t="shared" si="47"/>
        <v>2257.6411110025774</v>
      </c>
      <c r="H597" s="8">
        <f t="shared" si="48"/>
        <v>2418.9011903599048</v>
      </c>
      <c r="I597" s="9">
        <f t="shared" si="49"/>
        <v>2580.1612697172318</v>
      </c>
    </row>
    <row r="598" spans="1:9" x14ac:dyDescent="0.35">
      <c r="A598" s="28"/>
      <c r="B598" s="28"/>
      <c r="C598" s="29">
        <v>45731</v>
      </c>
      <c r="D598" s="11">
        <v>0</v>
      </c>
      <c r="E598" s="27">
        <f t="shared" si="45"/>
        <v>0</v>
      </c>
      <c r="F598" s="6">
        <f t="shared" si="46"/>
        <v>0</v>
      </c>
      <c r="G598" s="7">
        <f t="shared" si="47"/>
        <v>0</v>
      </c>
      <c r="H598" s="8">
        <f t="shared" si="48"/>
        <v>0</v>
      </c>
      <c r="I598" s="9">
        <f t="shared" si="49"/>
        <v>0</v>
      </c>
    </row>
    <row r="599" spans="1:9" x14ac:dyDescent="0.35">
      <c r="A599" s="28" t="s">
        <v>3493</v>
      </c>
      <c r="B599" s="28" t="s">
        <v>3631</v>
      </c>
      <c r="C599" s="29">
        <v>45731</v>
      </c>
      <c r="D599" s="11">
        <v>95.647551772500009</v>
      </c>
      <c r="E599" s="27">
        <f t="shared" si="45"/>
        <v>106.474854633147</v>
      </c>
      <c r="F599" s="6">
        <f t="shared" si="46"/>
        <v>138.41731102309112</v>
      </c>
      <c r="G599" s="7">
        <f t="shared" si="47"/>
        <v>149.06479648640578</v>
      </c>
      <c r="H599" s="8">
        <f t="shared" si="48"/>
        <v>159.71228194972051</v>
      </c>
      <c r="I599" s="9">
        <f t="shared" si="49"/>
        <v>170.35976741303523</v>
      </c>
    </row>
    <row r="600" spans="1:9" x14ac:dyDescent="0.35">
      <c r="A600" s="28" t="s">
        <v>3494</v>
      </c>
      <c r="B600" s="28" t="s">
        <v>3632</v>
      </c>
      <c r="C600" s="29">
        <v>45731</v>
      </c>
      <c r="D600" s="11">
        <v>137.89443366562503</v>
      </c>
      <c r="E600" s="27">
        <f t="shared" si="45"/>
        <v>153.50408355657379</v>
      </c>
      <c r="F600" s="6">
        <f t="shared" si="46"/>
        <v>199.55530862354593</v>
      </c>
      <c r="G600" s="7">
        <f t="shared" si="47"/>
        <v>214.90571697920331</v>
      </c>
      <c r="H600" s="8">
        <f t="shared" si="48"/>
        <v>230.25612533486068</v>
      </c>
      <c r="I600" s="9">
        <f t="shared" si="49"/>
        <v>245.60653369051806</v>
      </c>
    </row>
    <row r="601" spans="1:9" x14ac:dyDescent="0.35">
      <c r="A601" s="28" t="s">
        <v>3495</v>
      </c>
      <c r="B601" s="28" t="s">
        <v>3633</v>
      </c>
      <c r="C601" s="29">
        <v>45731</v>
      </c>
      <c r="D601" s="11">
        <v>219.7143441675</v>
      </c>
      <c r="E601" s="27">
        <f t="shared" si="45"/>
        <v>244.58600792726102</v>
      </c>
      <c r="F601" s="6">
        <f t="shared" si="46"/>
        <v>317.96181030543931</v>
      </c>
      <c r="G601" s="7">
        <f t="shared" si="47"/>
        <v>342.4204110981654</v>
      </c>
      <c r="H601" s="8">
        <f t="shared" si="48"/>
        <v>366.87901189089155</v>
      </c>
      <c r="I601" s="9">
        <f t="shared" si="49"/>
        <v>391.33761268361764</v>
      </c>
    </row>
    <row r="602" spans="1:9" x14ac:dyDescent="0.35">
      <c r="A602" s="28" t="s">
        <v>3496</v>
      </c>
      <c r="B602" s="28" t="s">
        <v>3634</v>
      </c>
      <c r="C602" s="29">
        <v>45731</v>
      </c>
      <c r="D602" s="11">
        <v>301.992629518125</v>
      </c>
      <c r="E602" s="27">
        <f t="shared" si="45"/>
        <v>336.17819517957673</v>
      </c>
      <c r="F602" s="6">
        <f t="shared" si="46"/>
        <v>437.03165373344979</v>
      </c>
      <c r="G602" s="7">
        <f t="shared" si="47"/>
        <v>470.64947325140741</v>
      </c>
      <c r="H602" s="8">
        <f t="shared" si="48"/>
        <v>504.2672927693651</v>
      </c>
      <c r="I602" s="9">
        <f t="shared" si="49"/>
        <v>537.88511228732284</v>
      </c>
    </row>
    <row r="603" spans="1:9" x14ac:dyDescent="0.35">
      <c r="A603" s="28" t="s">
        <v>3497</v>
      </c>
      <c r="B603" s="28" t="s">
        <v>3635</v>
      </c>
      <c r="C603" s="29">
        <v>45731</v>
      </c>
      <c r="D603" s="11">
        <v>534.00669879375005</v>
      </c>
      <c r="E603" s="27">
        <f t="shared" si="45"/>
        <v>594.45625709720252</v>
      </c>
      <c r="F603" s="6">
        <f t="shared" si="46"/>
        <v>772.79313422636335</v>
      </c>
      <c r="G603" s="7">
        <f t="shared" si="47"/>
        <v>832.23875993608351</v>
      </c>
      <c r="H603" s="8">
        <f t="shared" si="48"/>
        <v>891.68438564580379</v>
      </c>
      <c r="I603" s="9">
        <f t="shared" si="49"/>
        <v>951.13001135552406</v>
      </c>
    </row>
    <row r="604" spans="1:9" x14ac:dyDescent="0.35">
      <c r="A604" s="28" t="s">
        <v>3498</v>
      </c>
      <c r="B604" s="28" t="s">
        <v>3636</v>
      </c>
      <c r="C604" s="29">
        <v>45731</v>
      </c>
      <c r="D604" s="11">
        <v>816.67118885625007</v>
      </c>
      <c r="E604" s="27">
        <f t="shared" si="45"/>
        <v>909.11836743477761</v>
      </c>
      <c r="F604" s="6">
        <f t="shared" si="46"/>
        <v>1181.853877665211</v>
      </c>
      <c r="G604" s="7">
        <f t="shared" si="47"/>
        <v>1272.7657144086886</v>
      </c>
      <c r="H604" s="8">
        <f t="shared" si="48"/>
        <v>1363.6775511521664</v>
      </c>
      <c r="I604" s="9">
        <f t="shared" si="49"/>
        <v>1454.5893878956442</v>
      </c>
    </row>
    <row r="605" spans="1:9" x14ac:dyDescent="0.35">
      <c r="A605" s="28"/>
      <c r="B605" s="28"/>
      <c r="C605" s="29">
        <v>45731</v>
      </c>
      <c r="D605" s="11">
        <v>0</v>
      </c>
      <c r="E605" s="27">
        <f t="shared" si="45"/>
        <v>0</v>
      </c>
      <c r="F605" s="6">
        <f t="shared" si="46"/>
        <v>0</v>
      </c>
      <c r="G605" s="7">
        <f t="shared" si="47"/>
        <v>0</v>
      </c>
      <c r="H605" s="8">
        <f t="shared" si="48"/>
        <v>0</v>
      </c>
      <c r="I605" s="9">
        <f t="shared" si="49"/>
        <v>0</v>
      </c>
    </row>
    <row r="606" spans="1:9" x14ac:dyDescent="0.35">
      <c r="A606" s="28" t="s">
        <v>3499</v>
      </c>
      <c r="B606" s="28" t="s">
        <v>3637</v>
      </c>
      <c r="C606" s="29">
        <v>45731</v>
      </c>
      <c r="D606" s="11">
        <v>102.52317450375</v>
      </c>
      <c r="E606" s="27">
        <f t="shared" si="45"/>
        <v>114.1287978575745</v>
      </c>
      <c r="F606" s="6">
        <f t="shared" si="46"/>
        <v>148.36743721484686</v>
      </c>
      <c r="G606" s="7">
        <f t="shared" si="47"/>
        <v>159.7803170006043</v>
      </c>
      <c r="H606" s="8">
        <f t="shared" si="48"/>
        <v>171.19319678636174</v>
      </c>
      <c r="I606" s="9">
        <f t="shared" si="49"/>
        <v>182.60607657211921</v>
      </c>
    </row>
    <row r="607" spans="1:9" x14ac:dyDescent="0.35">
      <c r="A607" s="28" t="s">
        <v>3500</v>
      </c>
      <c r="B607" s="28" t="s">
        <v>3638</v>
      </c>
      <c r="C607" s="29">
        <v>45731</v>
      </c>
      <c r="D607" s="11">
        <v>111.53787986250002</v>
      </c>
      <c r="E607" s="27">
        <f t="shared" si="45"/>
        <v>124.16396786293501</v>
      </c>
      <c r="F607" s="6">
        <f t="shared" si="46"/>
        <v>161.41315822181551</v>
      </c>
      <c r="G607" s="7">
        <f t="shared" si="47"/>
        <v>173.829555008109</v>
      </c>
      <c r="H607" s="8">
        <f t="shared" si="48"/>
        <v>186.24595179440252</v>
      </c>
      <c r="I607" s="9">
        <f t="shared" si="49"/>
        <v>198.66234858069603</v>
      </c>
    </row>
    <row r="608" spans="1:9" x14ac:dyDescent="0.35">
      <c r="A608" s="28" t="s">
        <v>3501</v>
      </c>
      <c r="B608" s="28" t="s">
        <v>3639</v>
      </c>
      <c r="C608" s="29">
        <v>45731</v>
      </c>
      <c r="D608" s="11">
        <v>187.62810475500001</v>
      </c>
      <c r="E608" s="27">
        <f t="shared" si="45"/>
        <v>208.86760621326601</v>
      </c>
      <c r="F608" s="6">
        <f t="shared" si="46"/>
        <v>271.52788807724585</v>
      </c>
      <c r="G608" s="7">
        <f t="shared" si="47"/>
        <v>292.41464869857242</v>
      </c>
      <c r="H608" s="8">
        <f t="shared" si="48"/>
        <v>313.30140931989899</v>
      </c>
      <c r="I608" s="9">
        <f t="shared" si="49"/>
        <v>334.18816994122562</v>
      </c>
    </row>
    <row r="609" spans="1:9" x14ac:dyDescent="0.35">
      <c r="A609" s="28" t="s">
        <v>3502</v>
      </c>
      <c r="B609" s="28" t="s">
        <v>3640</v>
      </c>
      <c r="C609" s="29">
        <v>45731</v>
      </c>
      <c r="D609" s="11">
        <v>273.19140985500002</v>
      </c>
      <c r="E609" s="27">
        <f t="shared" si="45"/>
        <v>304.116677450586</v>
      </c>
      <c r="F609" s="6">
        <f t="shared" si="46"/>
        <v>395.35168068576183</v>
      </c>
      <c r="G609" s="7">
        <f t="shared" si="47"/>
        <v>425.76334843082037</v>
      </c>
      <c r="H609" s="8">
        <f t="shared" si="48"/>
        <v>456.17501617587902</v>
      </c>
      <c r="I609" s="9">
        <f t="shared" si="49"/>
        <v>486.58668392093762</v>
      </c>
    </row>
    <row r="610" spans="1:9" x14ac:dyDescent="0.35">
      <c r="A610" s="28" t="s">
        <v>3503</v>
      </c>
      <c r="B610" s="28" t="s">
        <v>3641</v>
      </c>
      <c r="C610" s="29">
        <v>45731</v>
      </c>
      <c r="D610" s="11">
        <v>305.43044088375001</v>
      </c>
      <c r="E610" s="27">
        <f t="shared" si="45"/>
        <v>340.00516679179054</v>
      </c>
      <c r="F610" s="6">
        <f t="shared" si="46"/>
        <v>442.00671682932773</v>
      </c>
      <c r="G610" s="7">
        <f t="shared" si="47"/>
        <v>476.00723350850672</v>
      </c>
      <c r="H610" s="8">
        <f t="shared" si="48"/>
        <v>510.00775018768582</v>
      </c>
      <c r="I610" s="9">
        <f t="shared" si="49"/>
        <v>544.00826686686491</v>
      </c>
    </row>
    <row r="611" spans="1:9" x14ac:dyDescent="0.35">
      <c r="A611" s="28" t="s">
        <v>3504</v>
      </c>
      <c r="B611" s="28" t="s">
        <v>3642</v>
      </c>
      <c r="C611" s="29">
        <v>45731</v>
      </c>
      <c r="D611" s="11">
        <v>782.59865843250009</v>
      </c>
      <c r="E611" s="27">
        <f t="shared" si="45"/>
        <v>871.18882656705921</v>
      </c>
      <c r="F611" s="6">
        <f t="shared" si="46"/>
        <v>1132.5454745371769</v>
      </c>
      <c r="G611" s="7">
        <f t="shared" si="47"/>
        <v>1219.6643571938828</v>
      </c>
      <c r="H611" s="8">
        <f t="shared" si="48"/>
        <v>1306.7832398505889</v>
      </c>
      <c r="I611" s="9">
        <f t="shared" si="49"/>
        <v>1393.9021225072947</v>
      </c>
    </row>
    <row r="612" spans="1:9" x14ac:dyDescent="0.35">
      <c r="A612" s="28"/>
      <c r="B612" s="28"/>
      <c r="C612" s="29">
        <v>45731</v>
      </c>
      <c r="D612" s="11">
        <v>0</v>
      </c>
      <c r="E612" s="27">
        <f t="shared" si="45"/>
        <v>0</v>
      </c>
      <c r="F612" s="6">
        <f t="shared" si="46"/>
        <v>0</v>
      </c>
      <c r="G612" s="7">
        <f t="shared" si="47"/>
        <v>0</v>
      </c>
      <c r="H612" s="8">
        <f t="shared" si="48"/>
        <v>0</v>
      </c>
      <c r="I612" s="9">
        <f t="shared" si="49"/>
        <v>0</v>
      </c>
    </row>
    <row r="613" spans="1:9" x14ac:dyDescent="0.35">
      <c r="A613" s="28" t="s">
        <v>3505</v>
      </c>
      <c r="B613" s="28" t="s">
        <v>3595</v>
      </c>
      <c r="C613" s="29">
        <v>45731</v>
      </c>
      <c r="D613" s="11">
        <v>89.383095506250015</v>
      </c>
      <c r="E613" s="27">
        <f t="shared" si="45"/>
        <v>99.501261917557514</v>
      </c>
      <c r="F613" s="6">
        <f t="shared" si="46"/>
        <v>129.35164049282477</v>
      </c>
      <c r="G613" s="7">
        <f t="shared" si="47"/>
        <v>139.30176668458051</v>
      </c>
      <c r="H613" s="8">
        <f t="shared" si="48"/>
        <v>149.25189287633629</v>
      </c>
      <c r="I613" s="9">
        <f t="shared" si="49"/>
        <v>159.20201906809203</v>
      </c>
    </row>
    <row r="614" spans="1:9" x14ac:dyDescent="0.35">
      <c r="A614" s="28" t="s">
        <v>3506</v>
      </c>
      <c r="B614" s="28" t="s">
        <v>3596</v>
      </c>
      <c r="C614" s="29">
        <v>45731</v>
      </c>
      <c r="D614" s="11">
        <v>124.67795886</v>
      </c>
      <c r="E614" s="27">
        <f t="shared" si="45"/>
        <v>138.79150380295201</v>
      </c>
      <c r="F614" s="6">
        <f t="shared" si="46"/>
        <v>180.42895494383762</v>
      </c>
      <c r="G614" s="7">
        <f t="shared" si="47"/>
        <v>194.30810532413281</v>
      </c>
      <c r="H614" s="8">
        <f t="shared" si="48"/>
        <v>208.18725570442803</v>
      </c>
      <c r="I614" s="9">
        <f t="shared" si="49"/>
        <v>222.06640608472321</v>
      </c>
    </row>
    <row r="615" spans="1:9" x14ac:dyDescent="0.35">
      <c r="A615" s="28" t="s">
        <v>3507</v>
      </c>
      <c r="B615" s="28" t="s">
        <v>3597</v>
      </c>
      <c r="C615" s="29">
        <v>45731</v>
      </c>
      <c r="D615" s="11">
        <v>232.70163154875004</v>
      </c>
      <c r="E615" s="27">
        <f t="shared" si="45"/>
        <v>259.04345624006856</v>
      </c>
      <c r="F615" s="6">
        <f t="shared" si="46"/>
        <v>336.75649311208917</v>
      </c>
      <c r="G615" s="7">
        <f t="shared" si="47"/>
        <v>362.66083873609597</v>
      </c>
      <c r="H615" s="8">
        <f t="shared" si="48"/>
        <v>388.56518436010288</v>
      </c>
      <c r="I615" s="9">
        <f t="shared" si="49"/>
        <v>414.46952998410973</v>
      </c>
    </row>
    <row r="616" spans="1:9" x14ac:dyDescent="0.35">
      <c r="A616" s="28" t="s">
        <v>3508</v>
      </c>
      <c r="B616" s="28" t="s">
        <v>3598</v>
      </c>
      <c r="C616" s="29">
        <v>45731</v>
      </c>
      <c r="D616" s="11">
        <v>447.06826914750008</v>
      </c>
      <c r="E616" s="27">
        <f t="shared" si="45"/>
        <v>497.67639721499705</v>
      </c>
      <c r="F616" s="6">
        <f t="shared" si="46"/>
        <v>646.97931637949614</v>
      </c>
      <c r="G616" s="7">
        <f t="shared" si="47"/>
        <v>696.74695610099582</v>
      </c>
      <c r="H616" s="8">
        <f t="shared" si="48"/>
        <v>746.51459582249561</v>
      </c>
      <c r="I616" s="9">
        <f t="shared" si="49"/>
        <v>796.28223554399528</v>
      </c>
    </row>
    <row r="617" spans="1:9" x14ac:dyDescent="0.35">
      <c r="A617" s="28" t="s">
        <v>3509</v>
      </c>
      <c r="B617" s="28" t="s">
        <v>3599</v>
      </c>
      <c r="C617" s="29">
        <v>45731</v>
      </c>
      <c r="D617" s="11">
        <v>766.70833034249995</v>
      </c>
      <c r="E617" s="27">
        <f t="shared" si="45"/>
        <v>853.49971333727092</v>
      </c>
      <c r="F617" s="6">
        <f t="shared" si="46"/>
        <v>1109.5496273384522</v>
      </c>
      <c r="G617" s="7">
        <f t="shared" si="47"/>
        <v>1194.8995986721793</v>
      </c>
      <c r="H617" s="8">
        <f t="shared" si="48"/>
        <v>1280.2495700059064</v>
      </c>
      <c r="I617" s="9">
        <f t="shared" si="49"/>
        <v>1365.5995413396336</v>
      </c>
    </row>
    <row r="618" spans="1:9" x14ac:dyDescent="0.35">
      <c r="A618" s="28" t="s">
        <v>3510</v>
      </c>
      <c r="B618" s="28" t="s">
        <v>3600</v>
      </c>
      <c r="C618" s="29">
        <v>45731</v>
      </c>
      <c r="D618" s="11">
        <v>1037.4550743375</v>
      </c>
      <c r="E618" s="27">
        <f t="shared" si="45"/>
        <v>1154.894988752505</v>
      </c>
      <c r="F618" s="6">
        <f t="shared" si="46"/>
        <v>1501.3634853782567</v>
      </c>
      <c r="G618" s="7">
        <f t="shared" si="47"/>
        <v>1616.852984253507</v>
      </c>
      <c r="H618" s="8">
        <f t="shared" si="48"/>
        <v>1732.3424831287575</v>
      </c>
      <c r="I618" s="9">
        <f t="shared" si="49"/>
        <v>1847.8319820040081</v>
      </c>
    </row>
    <row r="619" spans="1:9" x14ac:dyDescent="0.35">
      <c r="A619" s="28"/>
      <c r="B619" s="28"/>
      <c r="C619" s="29">
        <v>45731</v>
      </c>
      <c r="D619" s="11">
        <v>0</v>
      </c>
      <c r="E619" s="27">
        <f t="shared" si="45"/>
        <v>0</v>
      </c>
      <c r="F619" s="6">
        <f t="shared" si="46"/>
        <v>0</v>
      </c>
      <c r="G619" s="7">
        <f t="shared" si="47"/>
        <v>0</v>
      </c>
      <c r="H619" s="8">
        <f t="shared" si="48"/>
        <v>0</v>
      </c>
      <c r="I619" s="9">
        <f t="shared" si="49"/>
        <v>0</v>
      </c>
    </row>
    <row r="620" spans="1:9" x14ac:dyDescent="0.35">
      <c r="A620" s="28" t="s">
        <v>3511</v>
      </c>
      <c r="B620" s="28" t="s">
        <v>3643</v>
      </c>
      <c r="C620" s="29">
        <v>45731</v>
      </c>
      <c r="D620" s="11">
        <v>433.77539853374992</v>
      </c>
      <c r="E620" s="27">
        <f t="shared" si="45"/>
        <v>482.8787736477704</v>
      </c>
      <c r="F620" s="6">
        <f t="shared" si="46"/>
        <v>627.7424057421016</v>
      </c>
      <c r="G620" s="7">
        <f t="shared" si="47"/>
        <v>676.03028310687853</v>
      </c>
      <c r="H620" s="8">
        <f t="shared" si="48"/>
        <v>724.31816047165557</v>
      </c>
      <c r="I620" s="9">
        <f t="shared" si="49"/>
        <v>772.60603783643273</v>
      </c>
    </row>
    <row r="621" spans="1:9" x14ac:dyDescent="0.35">
      <c r="A621" s="28" t="s">
        <v>3512</v>
      </c>
      <c r="B621" s="28" t="s">
        <v>3644</v>
      </c>
      <c r="C621" s="29">
        <v>45731</v>
      </c>
      <c r="D621" s="11">
        <v>550.7373807731251</v>
      </c>
      <c r="E621" s="27">
        <f t="shared" si="45"/>
        <v>613.08085227664287</v>
      </c>
      <c r="F621" s="6">
        <f t="shared" si="46"/>
        <v>797.00510795963578</v>
      </c>
      <c r="G621" s="7">
        <f t="shared" si="47"/>
        <v>858.31319318729993</v>
      </c>
      <c r="H621" s="8">
        <f t="shared" si="48"/>
        <v>919.62127841496431</v>
      </c>
      <c r="I621" s="9">
        <f t="shared" si="49"/>
        <v>980.92936364262869</v>
      </c>
    </row>
    <row r="622" spans="1:9" x14ac:dyDescent="0.35">
      <c r="A622" s="28" t="s">
        <v>3513</v>
      </c>
      <c r="B622" s="28" t="s">
        <v>3645</v>
      </c>
      <c r="C622" s="29">
        <v>45731</v>
      </c>
      <c r="D622" s="11">
        <v>944.8633548900001</v>
      </c>
      <c r="E622" s="27">
        <f t="shared" si="45"/>
        <v>1051.821886663548</v>
      </c>
      <c r="F622" s="6">
        <f t="shared" si="46"/>
        <v>1367.3684526626123</v>
      </c>
      <c r="G622" s="7">
        <f t="shared" si="47"/>
        <v>1472.550641328967</v>
      </c>
      <c r="H622" s="8">
        <f t="shared" si="48"/>
        <v>1577.7328299953219</v>
      </c>
      <c r="I622" s="9">
        <f t="shared" si="49"/>
        <v>1682.9150186616769</v>
      </c>
    </row>
    <row r="623" spans="1:9" x14ac:dyDescent="0.35">
      <c r="A623" s="28"/>
      <c r="B623" s="28"/>
      <c r="C623" s="29">
        <v>45731</v>
      </c>
      <c r="D623" s="11">
        <v>0</v>
      </c>
      <c r="E623" s="27">
        <f t="shared" si="45"/>
        <v>0</v>
      </c>
      <c r="F623" s="6">
        <f t="shared" si="46"/>
        <v>0</v>
      </c>
      <c r="G623" s="7">
        <f t="shared" si="47"/>
        <v>0</v>
      </c>
      <c r="H623" s="8">
        <f t="shared" si="48"/>
        <v>0</v>
      </c>
      <c r="I623" s="9">
        <f t="shared" si="49"/>
        <v>0</v>
      </c>
    </row>
    <row r="624" spans="1:9" x14ac:dyDescent="0.35">
      <c r="A624" s="28" t="s">
        <v>3514</v>
      </c>
      <c r="B624" s="28" t="s">
        <v>3646</v>
      </c>
      <c r="C624" s="29">
        <v>45731</v>
      </c>
      <c r="D624" s="11">
        <v>373.26991849875014</v>
      </c>
      <c r="E624" s="27">
        <f t="shared" si="45"/>
        <v>415.52407327280866</v>
      </c>
      <c r="F624" s="6">
        <f t="shared" si="46"/>
        <v>540.18129525465133</v>
      </c>
      <c r="G624" s="7">
        <f t="shared" si="47"/>
        <v>581.73370258193211</v>
      </c>
      <c r="H624" s="8">
        <f t="shared" si="48"/>
        <v>623.286109909213</v>
      </c>
      <c r="I624" s="9">
        <f t="shared" si="49"/>
        <v>664.83851723649389</v>
      </c>
    </row>
    <row r="625" spans="1:9" x14ac:dyDescent="0.35">
      <c r="A625" s="28" t="s">
        <v>3515</v>
      </c>
      <c r="B625" s="28" t="s">
        <v>3647</v>
      </c>
      <c r="C625" s="29">
        <v>45731</v>
      </c>
      <c r="D625" s="11">
        <v>475.79309300249992</v>
      </c>
      <c r="E625" s="27">
        <f t="shared" si="45"/>
        <v>529.65287113038289</v>
      </c>
      <c r="F625" s="6">
        <f t="shared" si="46"/>
        <v>688.54873246949774</v>
      </c>
      <c r="G625" s="7">
        <f t="shared" si="47"/>
        <v>741.51401958253598</v>
      </c>
      <c r="H625" s="8">
        <f t="shared" si="48"/>
        <v>794.47930669557434</v>
      </c>
      <c r="I625" s="9">
        <f t="shared" si="49"/>
        <v>847.44459380861269</v>
      </c>
    </row>
    <row r="626" spans="1:9" x14ac:dyDescent="0.35">
      <c r="A626" s="28" t="s">
        <v>3516</v>
      </c>
      <c r="B626" s="28" t="s">
        <v>3648</v>
      </c>
      <c r="C626" s="29">
        <v>45731</v>
      </c>
      <c r="D626" s="11">
        <v>831.49197563250004</v>
      </c>
      <c r="E626" s="27">
        <f t="shared" si="45"/>
        <v>925.61686727409904</v>
      </c>
      <c r="F626" s="6">
        <f t="shared" si="46"/>
        <v>1203.3019274563287</v>
      </c>
      <c r="G626" s="7">
        <f t="shared" si="47"/>
        <v>1295.8636141837385</v>
      </c>
      <c r="H626" s="8">
        <f t="shared" si="48"/>
        <v>1388.4253009111485</v>
      </c>
      <c r="I626" s="9">
        <f t="shared" si="49"/>
        <v>1480.9869876385585</v>
      </c>
    </row>
    <row r="627" spans="1:9" x14ac:dyDescent="0.35">
      <c r="A627" s="28" t="s">
        <v>3517</v>
      </c>
      <c r="B627" s="28" t="s">
        <v>3650</v>
      </c>
      <c r="C627" s="29">
        <v>45731</v>
      </c>
      <c r="D627" s="11">
        <v>1955.5035005756249</v>
      </c>
      <c r="E627" s="27">
        <f t="shared" si="45"/>
        <v>2176.8664968407857</v>
      </c>
      <c r="F627" s="6">
        <f t="shared" si="46"/>
        <v>2829.9264458930215</v>
      </c>
      <c r="G627" s="7">
        <f t="shared" si="47"/>
        <v>3047.6130955770996</v>
      </c>
      <c r="H627" s="8">
        <f t="shared" si="48"/>
        <v>3265.2997452611785</v>
      </c>
      <c r="I627" s="9">
        <f t="shared" si="49"/>
        <v>3482.9863949452574</v>
      </c>
    </row>
    <row r="628" spans="1:9" x14ac:dyDescent="0.35">
      <c r="A628" s="28" t="s">
        <v>3518</v>
      </c>
      <c r="B628" s="28" t="s">
        <v>3651</v>
      </c>
      <c r="C628" s="29">
        <v>45731</v>
      </c>
      <c r="D628" s="11">
        <v>2670.9502436662497</v>
      </c>
      <c r="E628" s="27">
        <f t="shared" si="45"/>
        <v>2973.3018112492691</v>
      </c>
      <c r="F628" s="6">
        <f t="shared" si="46"/>
        <v>3865.2923546240499</v>
      </c>
      <c r="G628" s="7">
        <f t="shared" si="47"/>
        <v>4162.6225357489766</v>
      </c>
      <c r="H628" s="8">
        <f t="shared" si="48"/>
        <v>4459.9527168739041</v>
      </c>
      <c r="I628" s="9">
        <f t="shared" si="49"/>
        <v>4757.2828979988308</v>
      </c>
    </row>
    <row r="629" spans="1:9" x14ac:dyDescent="0.35">
      <c r="A629" s="28" t="s">
        <v>3519</v>
      </c>
      <c r="B629" s="28" t="s">
        <v>3649</v>
      </c>
      <c r="C629" s="29">
        <v>45731</v>
      </c>
      <c r="D629" s="11">
        <v>5006.8284728962508</v>
      </c>
      <c r="E629" s="27">
        <f t="shared" si="45"/>
        <v>5573.6014560281064</v>
      </c>
      <c r="F629" s="6">
        <f t="shared" si="46"/>
        <v>7245.6818928365383</v>
      </c>
      <c r="G629" s="7">
        <f t="shared" si="47"/>
        <v>7803.0420384393483</v>
      </c>
      <c r="H629" s="8">
        <f t="shared" si="48"/>
        <v>8360.4021840421592</v>
      </c>
      <c r="I629" s="9">
        <f t="shared" si="49"/>
        <v>8917.762329644971</v>
      </c>
    </row>
    <row r="630" spans="1:9" x14ac:dyDescent="0.35">
      <c r="A630" s="28"/>
      <c r="B630" s="28"/>
      <c r="C630" s="29">
        <v>45731</v>
      </c>
      <c r="D630" s="11">
        <v>0</v>
      </c>
      <c r="E630" s="27">
        <f t="shared" si="45"/>
        <v>0</v>
      </c>
      <c r="F630" s="6">
        <f t="shared" si="46"/>
        <v>0</v>
      </c>
      <c r="G630" s="7">
        <f t="shared" si="47"/>
        <v>0</v>
      </c>
      <c r="H630" s="8">
        <f t="shared" si="48"/>
        <v>0</v>
      </c>
      <c r="I630" s="9">
        <f t="shared" si="49"/>
        <v>0</v>
      </c>
    </row>
    <row r="631" spans="1:9" x14ac:dyDescent="0.35">
      <c r="A631" s="28" t="s">
        <v>3520</v>
      </c>
      <c r="B631" s="28" t="s">
        <v>3652</v>
      </c>
      <c r="C631" s="29">
        <v>45731</v>
      </c>
      <c r="D631" s="11">
        <v>264.17670449625001</v>
      </c>
      <c r="E631" s="27">
        <f t="shared" si="45"/>
        <v>294.0815074452255</v>
      </c>
      <c r="F631" s="6">
        <f t="shared" si="46"/>
        <v>382.30595967879316</v>
      </c>
      <c r="G631" s="7">
        <f t="shared" si="47"/>
        <v>411.71411042331567</v>
      </c>
      <c r="H631" s="8">
        <f t="shared" si="48"/>
        <v>441.12226116783825</v>
      </c>
      <c r="I631" s="9">
        <f t="shared" si="49"/>
        <v>470.53041191236082</v>
      </c>
    </row>
    <row r="632" spans="1:9" x14ac:dyDescent="0.35">
      <c r="A632" s="28" t="s">
        <v>3521</v>
      </c>
      <c r="B632" s="28" t="s">
        <v>3653</v>
      </c>
      <c r="C632" s="29">
        <v>45731</v>
      </c>
      <c r="D632" s="11">
        <v>341.10728327812501</v>
      </c>
      <c r="E632" s="27">
        <f t="shared" si="45"/>
        <v>379.72062774520879</v>
      </c>
      <c r="F632" s="6">
        <f t="shared" si="46"/>
        <v>493.63681606877145</v>
      </c>
      <c r="G632" s="7">
        <f t="shared" si="47"/>
        <v>531.60887884329225</v>
      </c>
      <c r="H632" s="8">
        <f t="shared" si="48"/>
        <v>569.58094161781321</v>
      </c>
      <c r="I632" s="9">
        <f t="shared" si="49"/>
        <v>607.55300439233406</v>
      </c>
    </row>
    <row r="633" spans="1:9" x14ac:dyDescent="0.35">
      <c r="A633" s="28"/>
      <c r="B633" s="28"/>
      <c r="C633" s="29">
        <v>45731</v>
      </c>
      <c r="D633" s="11">
        <v>0</v>
      </c>
      <c r="E633" s="27">
        <f t="shared" si="45"/>
        <v>0</v>
      </c>
      <c r="F633" s="6">
        <f t="shared" si="46"/>
        <v>0</v>
      </c>
      <c r="G633" s="7">
        <f t="shared" si="47"/>
        <v>0</v>
      </c>
      <c r="H633" s="8">
        <f t="shared" si="48"/>
        <v>0</v>
      </c>
      <c r="I633" s="9">
        <f t="shared" si="49"/>
        <v>0</v>
      </c>
    </row>
    <row r="634" spans="1:9" x14ac:dyDescent="0.35">
      <c r="A634" s="28" t="s">
        <v>3522</v>
      </c>
      <c r="B634" s="28" t="s">
        <v>3654</v>
      </c>
      <c r="C634" s="29">
        <v>45731</v>
      </c>
      <c r="D634" s="11">
        <v>881.53122995437525</v>
      </c>
      <c r="E634" s="27">
        <f t="shared" si="45"/>
        <v>981.32056518521051</v>
      </c>
      <c r="F634" s="6">
        <f t="shared" si="46"/>
        <v>1275.7167347407737</v>
      </c>
      <c r="G634" s="7">
        <f t="shared" si="47"/>
        <v>1373.8487912592946</v>
      </c>
      <c r="H634" s="8">
        <f t="shared" si="48"/>
        <v>1471.9808477778158</v>
      </c>
      <c r="I634" s="9">
        <f t="shared" si="49"/>
        <v>1570.1129042963369</v>
      </c>
    </row>
    <row r="635" spans="1:9" x14ac:dyDescent="0.35">
      <c r="A635" s="28" t="s">
        <v>3523</v>
      </c>
      <c r="B635" s="28" t="s">
        <v>3655</v>
      </c>
      <c r="C635" s="29">
        <v>45731</v>
      </c>
      <c r="D635" s="11">
        <v>1501.78879612125</v>
      </c>
      <c r="E635" s="27">
        <f t="shared" si="45"/>
        <v>1671.7912878421755</v>
      </c>
      <c r="F635" s="6">
        <f t="shared" si="46"/>
        <v>2173.3286741948282</v>
      </c>
      <c r="G635" s="7">
        <f t="shared" si="47"/>
        <v>2340.5078029790457</v>
      </c>
      <c r="H635" s="8">
        <f t="shared" si="48"/>
        <v>2507.6869317632631</v>
      </c>
      <c r="I635" s="9">
        <f t="shared" si="49"/>
        <v>2674.8660605474811</v>
      </c>
    </row>
    <row r="636" spans="1:9" x14ac:dyDescent="0.35">
      <c r="A636" s="28" t="s">
        <v>3524</v>
      </c>
      <c r="B636" s="28" t="s">
        <v>3656</v>
      </c>
      <c r="C636" s="29">
        <v>45731</v>
      </c>
      <c r="D636" s="11">
        <v>2374.1525291006255</v>
      </c>
      <c r="E636" s="27">
        <f t="shared" si="45"/>
        <v>2642.9065953948166</v>
      </c>
      <c r="F636" s="6">
        <f t="shared" si="46"/>
        <v>3435.7785740132617</v>
      </c>
      <c r="G636" s="7">
        <f t="shared" si="47"/>
        <v>3700.0692335527428</v>
      </c>
      <c r="H636" s="8">
        <f t="shared" si="48"/>
        <v>3964.3598930922249</v>
      </c>
      <c r="I636" s="9">
        <f t="shared" si="49"/>
        <v>4228.6505526317069</v>
      </c>
    </row>
    <row r="637" spans="1:9" x14ac:dyDescent="0.35">
      <c r="A637" s="28"/>
      <c r="B637" s="28"/>
      <c r="C637" s="29">
        <v>45731</v>
      </c>
      <c r="D637" s="11">
        <v>0</v>
      </c>
      <c r="E637" s="27">
        <f t="shared" si="45"/>
        <v>0</v>
      </c>
      <c r="F637" s="6">
        <f t="shared" si="46"/>
        <v>0</v>
      </c>
      <c r="G637" s="7">
        <f t="shared" si="47"/>
        <v>0</v>
      </c>
      <c r="H637" s="8">
        <f t="shared" si="48"/>
        <v>0</v>
      </c>
      <c r="I637" s="9">
        <f t="shared" si="49"/>
        <v>0</v>
      </c>
    </row>
    <row r="638" spans="1:9" x14ac:dyDescent="0.35">
      <c r="A638" s="28" t="s">
        <v>3525</v>
      </c>
      <c r="B638" s="28" t="s">
        <v>3708</v>
      </c>
      <c r="C638" s="29">
        <v>45731</v>
      </c>
      <c r="D638" s="11">
        <v>503.1427923112501</v>
      </c>
      <c r="E638" s="27">
        <f t="shared" si="45"/>
        <v>560.09855640088358</v>
      </c>
      <c r="F638" s="6">
        <f t="shared" si="46"/>
        <v>728.12812332114868</v>
      </c>
      <c r="G638" s="7">
        <f t="shared" si="47"/>
        <v>784.13797896123697</v>
      </c>
      <c r="H638" s="8">
        <f t="shared" si="48"/>
        <v>840.14783460132537</v>
      </c>
      <c r="I638" s="9">
        <f t="shared" si="49"/>
        <v>896.15769024141377</v>
      </c>
    </row>
    <row r="639" spans="1:9" x14ac:dyDescent="0.35">
      <c r="A639" s="28" t="s">
        <v>3526</v>
      </c>
      <c r="B639" s="28" t="s">
        <v>3709</v>
      </c>
      <c r="C639" s="29">
        <v>45731</v>
      </c>
      <c r="D639" s="11">
        <v>448.90176854250006</v>
      </c>
      <c r="E639" s="27">
        <f t="shared" si="45"/>
        <v>499.71744874151113</v>
      </c>
      <c r="F639" s="6">
        <f t="shared" si="46"/>
        <v>649.63268336396447</v>
      </c>
      <c r="G639" s="7">
        <f t="shared" si="47"/>
        <v>699.60442823811559</v>
      </c>
      <c r="H639" s="8">
        <f t="shared" si="48"/>
        <v>749.5761731122667</v>
      </c>
      <c r="I639" s="9">
        <f t="shared" si="49"/>
        <v>799.54791798641781</v>
      </c>
    </row>
    <row r="640" spans="1:9" x14ac:dyDescent="0.35">
      <c r="A640" s="28" t="s">
        <v>3528</v>
      </c>
      <c r="B640" s="28" t="s">
        <v>3710</v>
      </c>
      <c r="C640" s="29">
        <v>45731</v>
      </c>
      <c r="D640" s="11">
        <v>723.4683029437499</v>
      </c>
      <c r="E640" s="27">
        <f t="shared" si="45"/>
        <v>805.36491483698239</v>
      </c>
      <c r="F640" s="6">
        <f t="shared" si="46"/>
        <v>1046.9743892880772</v>
      </c>
      <c r="G640" s="7">
        <f t="shared" si="47"/>
        <v>1127.5108807717752</v>
      </c>
      <c r="H640" s="8">
        <f t="shared" si="48"/>
        <v>1208.0473722554736</v>
      </c>
      <c r="I640" s="9">
        <f t="shared" si="49"/>
        <v>1288.5838637391719</v>
      </c>
    </row>
    <row r="641" spans="1:9" x14ac:dyDescent="0.35">
      <c r="A641" s="28" t="s">
        <v>3527</v>
      </c>
      <c r="B641" s="28" t="s">
        <v>3711</v>
      </c>
      <c r="C641" s="29">
        <v>45731</v>
      </c>
      <c r="D641" s="11">
        <v>596.34567822375004</v>
      </c>
      <c r="E641" s="27">
        <f t="shared" si="45"/>
        <v>663.85200899867857</v>
      </c>
      <c r="F641" s="6">
        <f t="shared" si="46"/>
        <v>863.00761169828218</v>
      </c>
      <c r="G641" s="7">
        <f t="shared" si="47"/>
        <v>929.39281259814993</v>
      </c>
      <c r="H641" s="8">
        <f t="shared" si="48"/>
        <v>995.7780134980178</v>
      </c>
      <c r="I641" s="9">
        <f t="shared" si="49"/>
        <v>1062.1632143978857</v>
      </c>
    </row>
    <row r="642" spans="1:9" x14ac:dyDescent="0.35">
      <c r="A642" s="28"/>
      <c r="B642" s="28"/>
      <c r="C642" s="29">
        <v>45731</v>
      </c>
      <c r="D642" s="11">
        <v>0</v>
      </c>
      <c r="E642" s="27">
        <f t="shared" si="45"/>
        <v>0</v>
      </c>
      <c r="F642" s="6">
        <f t="shared" si="46"/>
        <v>0</v>
      </c>
      <c r="G642" s="7">
        <f t="shared" si="47"/>
        <v>0</v>
      </c>
      <c r="H642" s="8">
        <f t="shared" si="48"/>
        <v>0</v>
      </c>
      <c r="I642" s="9">
        <f t="shared" si="49"/>
        <v>0</v>
      </c>
    </row>
    <row r="643" spans="1:9" x14ac:dyDescent="0.35">
      <c r="A643" s="28" t="s">
        <v>3529</v>
      </c>
      <c r="B643" s="28" t="s">
        <v>3712</v>
      </c>
      <c r="C643" s="29">
        <v>45731</v>
      </c>
      <c r="D643" s="11">
        <v>1086.5775789618751</v>
      </c>
      <c r="E643" s="27">
        <f t="shared" si="45"/>
        <v>1209.5781609003593</v>
      </c>
      <c r="F643" s="6">
        <f t="shared" si="46"/>
        <v>1572.4516091704672</v>
      </c>
      <c r="G643" s="7">
        <f t="shared" si="47"/>
        <v>1693.409425260503</v>
      </c>
      <c r="H643" s="8">
        <f t="shared" si="48"/>
        <v>1814.367241350539</v>
      </c>
      <c r="I643" s="9">
        <f t="shared" si="49"/>
        <v>1935.3250574405749</v>
      </c>
    </row>
    <row r="644" spans="1:9" x14ac:dyDescent="0.35">
      <c r="A644" s="28" t="s">
        <v>3530</v>
      </c>
      <c r="B644" s="28" t="s">
        <v>3713</v>
      </c>
      <c r="C644" s="29">
        <v>45731</v>
      </c>
      <c r="D644" s="11">
        <v>856.09142584874985</v>
      </c>
      <c r="E644" s="27">
        <f t="shared" si="45"/>
        <v>953.0009752548284</v>
      </c>
      <c r="F644" s="6">
        <f t="shared" si="46"/>
        <v>1238.901267831277</v>
      </c>
      <c r="G644" s="7">
        <f t="shared" si="47"/>
        <v>1334.2013653567597</v>
      </c>
      <c r="H644" s="8">
        <f t="shared" si="48"/>
        <v>1429.5014628822425</v>
      </c>
      <c r="I644" s="9">
        <f t="shared" si="49"/>
        <v>1524.8015604077254</v>
      </c>
    </row>
    <row r="645" spans="1:9" x14ac:dyDescent="0.35">
      <c r="A645" s="28" t="s">
        <v>3531</v>
      </c>
      <c r="B645" s="28" t="s">
        <v>3714</v>
      </c>
      <c r="C645" s="29">
        <v>45731</v>
      </c>
      <c r="D645" s="11">
        <v>717.81501314250011</v>
      </c>
      <c r="E645" s="27">
        <f t="shared" si="45"/>
        <v>799.07167263023109</v>
      </c>
      <c r="F645" s="6">
        <f t="shared" si="46"/>
        <v>1038.7931744193004</v>
      </c>
      <c r="G645" s="7">
        <f t="shared" si="47"/>
        <v>1118.7003416823234</v>
      </c>
      <c r="H645" s="8">
        <f t="shared" si="48"/>
        <v>1198.6075089453466</v>
      </c>
      <c r="I645" s="9">
        <f t="shared" si="49"/>
        <v>1278.5146762083698</v>
      </c>
    </row>
    <row r="646" spans="1:9" x14ac:dyDescent="0.35">
      <c r="A646" s="28" t="s">
        <v>3532</v>
      </c>
      <c r="B646" s="28" t="s">
        <v>3715</v>
      </c>
      <c r="C646" s="29">
        <v>45731</v>
      </c>
      <c r="D646" s="11">
        <v>1086.5775789618751</v>
      </c>
      <c r="E646" s="27">
        <f t="shared" si="45"/>
        <v>1209.5781609003593</v>
      </c>
      <c r="F646" s="6">
        <f t="shared" si="46"/>
        <v>1572.4516091704672</v>
      </c>
      <c r="G646" s="7">
        <f t="shared" si="47"/>
        <v>1693.409425260503</v>
      </c>
      <c r="H646" s="8">
        <f t="shared" si="48"/>
        <v>1814.367241350539</v>
      </c>
      <c r="I646" s="9">
        <f t="shared" si="49"/>
        <v>1935.3250574405749</v>
      </c>
    </row>
    <row r="647" spans="1:9" x14ac:dyDescent="0.35">
      <c r="A647" s="28" t="s">
        <v>3533</v>
      </c>
      <c r="B647" s="28" t="s">
        <v>3716</v>
      </c>
      <c r="C647" s="29">
        <v>45731</v>
      </c>
      <c r="D647" s="11">
        <v>799.63492364437514</v>
      </c>
      <c r="E647" s="27">
        <f t="shared" si="45"/>
        <v>890.15359700091847</v>
      </c>
      <c r="F647" s="6">
        <f t="shared" si="46"/>
        <v>1157.199676101194</v>
      </c>
      <c r="G647" s="7">
        <f t="shared" si="47"/>
        <v>1246.2150358012857</v>
      </c>
      <c r="H647" s="8">
        <f t="shared" si="48"/>
        <v>1335.2303955013776</v>
      </c>
      <c r="I647" s="9">
        <f t="shared" si="49"/>
        <v>1424.2457552014696</v>
      </c>
    </row>
    <row r="648" spans="1:9" x14ac:dyDescent="0.35">
      <c r="A648" s="28" t="s">
        <v>3534</v>
      </c>
      <c r="B648" s="28" t="s">
        <v>3717</v>
      </c>
      <c r="C648" s="29">
        <v>45731</v>
      </c>
      <c r="D648" s="11">
        <v>799.63492364437514</v>
      </c>
      <c r="E648" s="27">
        <f t="shared" si="45"/>
        <v>890.15359700091847</v>
      </c>
      <c r="F648" s="6">
        <f t="shared" si="46"/>
        <v>1157.199676101194</v>
      </c>
      <c r="G648" s="7">
        <f t="shared" si="47"/>
        <v>1246.2150358012857</v>
      </c>
      <c r="H648" s="8">
        <f t="shared" si="48"/>
        <v>1335.2303955013776</v>
      </c>
      <c r="I648" s="9">
        <f t="shared" si="49"/>
        <v>1424.2457552014696</v>
      </c>
    </row>
    <row r="649" spans="1:9" x14ac:dyDescent="0.35">
      <c r="A649" s="28"/>
      <c r="B649" s="28"/>
      <c r="C649" s="29">
        <v>45731</v>
      </c>
      <c r="D649" s="11">
        <v>0</v>
      </c>
      <c r="E649" s="27">
        <f t="shared" si="45"/>
        <v>0</v>
      </c>
      <c r="F649" s="6">
        <f t="shared" si="46"/>
        <v>0</v>
      </c>
      <c r="G649" s="7">
        <f t="shared" si="47"/>
        <v>0</v>
      </c>
      <c r="H649" s="8">
        <f t="shared" si="48"/>
        <v>0</v>
      </c>
      <c r="I649" s="9">
        <f t="shared" si="49"/>
        <v>0</v>
      </c>
    </row>
    <row r="650" spans="1:9" x14ac:dyDescent="0.35">
      <c r="A650" s="28" t="s">
        <v>3535</v>
      </c>
      <c r="B650" s="28" t="s">
        <v>3718</v>
      </c>
      <c r="C650" s="29">
        <v>45731</v>
      </c>
      <c r="D650" s="11">
        <v>193.05220713187498</v>
      </c>
      <c r="E650" s="27">
        <f t="shared" si="45"/>
        <v>214.90571697920325</v>
      </c>
      <c r="F650" s="6">
        <f t="shared" si="46"/>
        <v>279.37743207296421</v>
      </c>
      <c r="G650" s="7">
        <f t="shared" si="47"/>
        <v>300.86800377088451</v>
      </c>
      <c r="H650" s="8">
        <f t="shared" si="48"/>
        <v>322.35857546880487</v>
      </c>
      <c r="I650" s="9">
        <f t="shared" si="49"/>
        <v>343.84914716672523</v>
      </c>
    </row>
    <row r="651" spans="1:9" x14ac:dyDescent="0.35">
      <c r="A651" s="28" t="s">
        <v>3536</v>
      </c>
      <c r="B651" s="28" t="s">
        <v>3719</v>
      </c>
      <c r="C651" s="29">
        <v>45731</v>
      </c>
      <c r="D651" s="11">
        <v>596.34567822375004</v>
      </c>
      <c r="E651" s="27">
        <f t="shared" si="45"/>
        <v>663.85200899867857</v>
      </c>
      <c r="F651" s="6">
        <f t="shared" si="46"/>
        <v>863.00761169828218</v>
      </c>
      <c r="G651" s="7">
        <f t="shared" si="47"/>
        <v>929.39281259814993</v>
      </c>
      <c r="H651" s="8">
        <f t="shared" si="48"/>
        <v>995.7780134980178</v>
      </c>
      <c r="I651" s="9">
        <f t="shared" si="49"/>
        <v>1062.1632143978857</v>
      </c>
    </row>
    <row r="652" spans="1:9" x14ac:dyDescent="0.35">
      <c r="A652" s="28" t="s">
        <v>3537</v>
      </c>
      <c r="B652" s="28" t="s">
        <v>3720</v>
      </c>
      <c r="C652" s="29">
        <v>45731</v>
      </c>
      <c r="D652" s="11">
        <v>193.05220713187498</v>
      </c>
      <c r="E652" s="27">
        <f t="shared" ref="E652:E715" si="50">D652*1.21*0.92</f>
        <v>214.90571697920325</v>
      </c>
      <c r="F652" s="6">
        <f t="shared" si="46"/>
        <v>279.37743207296421</v>
      </c>
      <c r="G652" s="7">
        <f t="shared" si="47"/>
        <v>300.86800377088451</v>
      </c>
      <c r="H652" s="8">
        <f t="shared" si="48"/>
        <v>322.35857546880487</v>
      </c>
      <c r="I652" s="9">
        <f t="shared" si="49"/>
        <v>343.84914716672523</v>
      </c>
    </row>
    <row r="653" spans="1:9" x14ac:dyDescent="0.35">
      <c r="A653" s="28" t="s">
        <v>3538</v>
      </c>
      <c r="B653" s="28" t="s">
        <v>3721</v>
      </c>
      <c r="C653" s="29">
        <v>45731</v>
      </c>
      <c r="D653" s="11">
        <v>401.15438846437502</v>
      </c>
      <c r="E653" s="27">
        <f t="shared" si="50"/>
        <v>446.56506523854227</v>
      </c>
      <c r="F653" s="6">
        <f t="shared" si="46"/>
        <v>580.534584810105</v>
      </c>
      <c r="G653" s="7">
        <f t="shared" si="47"/>
        <v>625.19109133395909</v>
      </c>
      <c r="H653" s="8">
        <f t="shared" si="48"/>
        <v>669.84759785781341</v>
      </c>
      <c r="I653" s="9">
        <f t="shared" si="49"/>
        <v>714.50410438166773</v>
      </c>
    </row>
    <row r="654" spans="1:9" x14ac:dyDescent="0.35">
      <c r="A654" s="28" t="s">
        <v>3539</v>
      </c>
      <c r="B654" s="28" t="s">
        <v>3722</v>
      </c>
      <c r="C654" s="29">
        <v>45731</v>
      </c>
      <c r="D654" s="11">
        <v>343.24636590562505</v>
      </c>
      <c r="E654" s="27">
        <f t="shared" si="50"/>
        <v>382.10185452614178</v>
      </c>
      <c r="F654" s="6">
        <f t="shared" si="46"/>
        <v>496.7324108839843</v>
      </c>
      <c r="G654" s="7">
        <f t="shared" si="47"/>
        <v>534.94259633659851</v>
      </c>
      <c r="H654" s="8">
        <f t="shared" si="48"/>
        <v>573.15278178921267</v>
      </c>
      <c r="I654" s="9">
        <f t="shared" si="49"/>
        <v>611.36296724182682</v>
      </c>
    </row>
    <row r="655" spans="1:9" x14ac:dyDescent="0.35">
      <c r="A655" s="28"/>
      <c r="B655" s="28"/>
      <c r="C655" s="29">
        <v>45731</v>
      </c>
      <c r="D655" s="11">
        <v>0</v>
      </c>
      <c r="E655" s="27">
        <f t="shared" si="50"/>
        <v>0</v>
      </c>
      <c r="F655" s="6">
        <f t="shared" ref="F655:F718" si="51">E655*1.3</f>
        <v>0</v>
      </c>
      <c r="G655" s="7">
        <f t="shared" ref="G655:G718" si="52">E655*1.4</f>
        <v>0</v>
      </c>
      <c r="H655" s="8">
        <f t="shared" ref="H655:H718" si="53">E655*1.5</f>
        <v>0</v>
      </c>
      <c r="I655" s="9">
        <f t="shared" ref="I655:I718" si="54">E655*1.6</f>
        <v>0</v>
      </c>
    </row>
    <row r="656" spans="1:9" x14ac:dyDescent="0.35">
      <c r="A656" s="28" t="s">
        <v>3540</v>
      </c>
      <c r="B656" s="28" t="s">
        <v>3723</v>
      </c>
      <c r="C656" s="29">
        <v>45731</v>
      </c>
      <c r="D656" s="11">
        <v>177.39106646625001</v>
      </c>
      <c r="E656" s="27">
        <f t="shared" si="50"/>
        <v>197.47173519022951</v>
      </c>
      <c r="F656" s="6">
        <f t="shared" si="51"/>
        <v>256.71325574729838</v>
      </c>
      <c r="G656" s="7">
        <f t="shared" si="52"/>
        <v>276.46042926632128</v>
      </c>
      <c r="H656" s="8">
        <f t="shared" si="53"/>
        <v>296.20760278534425</v>
      </c>
      <c r="I656" s="9">
        <f t="shared" si="54"/>
        <v>315.95477630436721</v>
      </c>
    </row>
    <row r="657" spans="1:9" x14ac:dyDescent="0.35">
      <c r="A657" s="28" t="s">
        <v>3542</v>
      </c>
      <c r="B657" s="28" t="s">
        <v>3725</v>
      </c>
      <c r="C657" s="29">
        <v>45731</v>
      </c>
      <c r="D657" s="11">
        <v>278.92109546437501</v>
      </c>
      <c r="E657" s="27">
        <f t="shared" si="50"/>
        <v>310.49496347094225</v>
      </c>
      <c r="F657" s="6">
        <f t="shared" si="51"/>
        <v>403.64345251222494</v>
      </c>
      <c r="G657" s="7">
        <f t="shared" si="52"/>
        <v>434.69294885931913</v>
      </c>
      <c r="H657" s="8">
        <f t="shared" si="53"/>
        <v>465.74244520641338</v>
      </c>
      <c r="I657" s="9">
        <f t="shared" si="54"/>
        <v>496.79194155350763</v>
      </c>
    </row>
    <row r="658" spans="1:9" x14ac:dyDescent="0.35">
      <c r="A658" s="28" t="s">
        <v>3541</v>
      </c>
      <c r="B658" s="28" t="s">
        <v>3724</v>
      </c>
      <c r="C658" s="29">
        <v>45731</v>
      </c>
      <c r="D658" s="11">
        <v>301.61065047749997</v>
      </c>
      <c r="E658" s="27">
        <f t="shared" si="50"/>
        <v>335.75297611155298</v>
      </c>
      <c r="F658" s="6">
        <f t="shared" si="51"/>
        <v>436.47886894501892</v>
      </c>
      <c r="G658" s="7">
        <f t="shared" si="52"/>
        <v>470.05416655617415</v>
      </c>
      <c r="H658" s="8">
        <f t="shared" si="53"/>
        <v>503.6294641673295</v>
      </c>
      <c r="I658" s="9">
        <f t="shared" si="54"/>
        <v>537.20476177848479</v>
      </c>
    </row>
    <row r="659" spans="1:9" x14ac:dyDescent="0.35">
      <c r="A659" s="28"/>
      <c r="B659" s="28"/>
      <c r="C659" s="29">
        <v>45731</v>
      </c>
      <c r="D659" s="11">
        <v>0</v>
      </c>
      <c r="E659" s="27">
        <f t="shared" si="50"/>
        <v>0</v>
      </c>
      <c r="F659" s="6">
        <f t="shared" si="51"/>
        <v>0</v>
      </c>
      <c r="G659" s="7">
        <f t="shared" si="52"/>
        <v>0</v>
      </c>
      <c r="H659" s="8">
        <f t="shared" si="53"/>
        <v>0</v>
      </c>
      <c r="I659" s="9">
        <f t="shared" si="54"/>
        <v>0</v>
      </c>
    </row>
    <row r="660" spans="1:9" x14ac:dyDescent="0.35">
      <c r="A660" s="28" t="s">
        <v>3543</v>
      </c>
      <c r="B660" s="28" t="s">
        <v>3726</v>
      </c>
      <c r="C660" s="29">
        <v>45731</v>
      </c>
      <c r="D660" s="11">
        <v>401.15438846437502</v>
      </c>
      <c r="E660" s="27">
        <f t="shared" si="50"/>
        <v>446.56506523854227</v>
      </c>
      <c r="F660" s="6">
        <f t="shared" si="51"/>
        <v>580.534584810105</v>
      </c>
      <c r="G660" s="7">
        <f t="shared" si="52"/>
        <v>625.19109133395909</v>
      </c>
      <c r="H660" s="8">
        <f t="shared" si="53"/>
        <v>669.84759785781341</v>
      </c>
      <c r="I660" s="9">
        <f t="shared" si="54"/>
        <v>714.50410438166773</v>
      </c>
    </row>
    <row r="661" spans="1:9" x14ac:dyDescent="0.35">
      <c r="A661" s="28"/>
      <c r="B661" s="28"/>
      <c r="C661" s="29">
        <v>45731</v>
      </c>
      <c r="D661" s="11">
        <v>0</v>
      </c>
      <c r="E661" s="27">
        <f t="shared" si="50"/>
        <v>0</v>
      </c>
      <c r="F661" s="6">
        <f t="shared" si="51"/>
        <v>0</v>
      </c>
      <c r="G661" s="7">
        <f t="shared" si="52"/>
        <v>0</v>
      </c>
      <c r="H661" s="8">
        <f t="shared" si="53"/>
        <v>0</v>
      </c>
      <c r="I661" s="9">
        <f t="shared" si="54"/>
        <v>0</v>
      </c>
    </row>
    <row r="662" spans="1:9" x14ac:dyDescent="0.35">
      <c r="A662" s="28" t="s">
        <v>3544</v>
      </c>
      <c r="B662" s="28" t="s">
        <v>3657</v>
      </c>
      <c r="C662" s="29">
        <v>45731</v>
      </c>
      <c r="D662" s="11">
        <v>81.819910501874986</v>
      </c>
      <c r="E662" s="27">
        <f t="shared" si="50"/>
        <v>91.081924370687233</v>
      </c>
      <c r="F662" s="6">
        <f t="shared" si="51"/>
        <v>118.4065016818934</v>
      </c>
      <c r="G662" s="7">
        <f t="shared" si="52"/>
        <v>127.51469411896211</v>
      </c>
      <c r="H662" s="8">
        <f t="shared" si="53"/>
        <v>136.62288655603083</v>
      </c>
      <c r="I662" s="9">
        <f t="shared" si="54"/>
        <v>145.73107899309957</v>
      </c>
    </row>
    <row r="663" spans="1:9" x14ac:dyDescent="0.35">
      <c r="A663" s="28" t="s">
        <v>3545</v>
      </c>
      <c r="B663" s="28" t="s">
        <v>3658</v>
      </c>
      <c r="C663" s="29">
        <v>45731</v>
      </c>
      <c r="D663" s="11">
        <v>193.05220713187498</v>
      </c>
      <c r="E663" s="27">
        <f t="shared" si="50"/>
        <v>214.90571697920325</v>
      </c>
      <c r="F663" s="6">
        <f t="shared" si="51"/>
        <v>279.37743207296421</v>
      </c>
      <c r="G663" s="7">
        <f t="shared" si="52"/>
        <v>300.86800377088451</v>
      </c>
      <c r="H663" s="8">
        <f t="shared" si="53"/>
        <v>322.35857546880487</v>
      </c>
      <c r="I663" s="9">
        <f t="shared" si="54"/>
        <v>343.84914716672523</v>
      </c>
    </row>
    <row r="664" spans="1:9" x14ac:dyDescent="0.35">
      <c r="A664" s="28" t="s">
        <v>3546</v>
      </c>
      <c r="B664" s="28" t="s">
        <v>3659</v>
      </c>
      <c r="C664" s="29">
        <v>45731</v>
      </c>
      <c r="D664" s="11">
        <v>219.7143441675</v>
      </c>
      <c r="E664" s="27">
        <f t="shared" si="50"/>
        <v>244.58600792726102</v>
      </c>
      <c r="F664" s="6">
        <f t="shared" si="51"/>
        <v>317.96181030543931</v>
      </c>
      <c r="G664" s="7">
        <f t="shared" si="52"/>
        <v>342.4204110981654</v>
      </c>
      <c r="H664" s="8">
        <f t="shared" si="53"/>
        <v>366.87901189089155</v>
      </c>
      <c r="I664" s="9">
        <f t="shared" si="54"/>
        <v>391.33761268361764</v>
      </c>
    </row>
    <row r="665" spans="1:9" x14ac:dyDescent="0.35">
      <c r="A665" s="28" t="s">
        <v>3547</v>
      </c>
      <c r="B665" s="28" t="s">
        <v>3660</v>
      </c>
      <c r="C665" s="29">
        <v>45731</v>
      </c>
      <c r="D665" s="11">
        <v>94.425218842500001</v>
      </c>
      <c r="E665" s="27">
        <f t="shared" si="50"/>
        <v>105.114153615471</v>
      </c>
      <c r="F665" s="6">
        <f t="shared" si="51"/>
        <v>136.64839970011229</v>
      </c>
      <c r="G665" s="7">
        <f t="shared" si="52"/>
        <v>147.15981506165937</v>
      </c>
      <c r="H665" s="8">
        <f t="shared" si="53"/>
        <v>157.67123042320651</v>
      </c>
      <c r="I665" s="9">
        <f t="shared" si="54"/>
        <v>168.18264578475362</v>
      </c>
    </row>
    <row r="666" spans="1:9" x14ac:dyDescent="0.35">
      <c r="A666" s="28" t="s">
        <v>3548</v>
      </c>
      <c r="B666" s="28" t="s">
        <v>3661</v>
      </c>
      <c r="C666" s="29">
        <v>45731</v>
      </c>
      <c r="D666" s="11">
        <v>129.18531153937499</v>
      </c>
      <c r="E666" s="27">
        <f t="shared" si="50"/>
        <v>143.80908880563226</v>
      </c>
      <c r="F666" s="6">
        <f t="shared" si="51"/>
        <v>186.95181544732193</v>
      </c>
      <c r="G666" s="7">
        <f t="shared" si="52"/>
        <v>201.33272432788516</v>
      </c>
      <c r="H666" s="8">
        <f t="shared" si="53"/>
        <v>215.71363320844839</v>
      </c>
      <c r="I666" s="9">
        <f t="shared" si="54"/>
        <v>230.09454208901161</v>
      </c>
    </row>
    <row r="667" spans="1:9" x14ac:dyDescent="0.35">
      <c r="A667" s="28" t="s">
        <v>3549</v>
      </c>
      <c r="B667" s="28" t="s">
        <v>3662</v>
      </c>
      <c r="C667" s="29">
        <v>45731</v>
      </c>
      <c r="D667" s="11">
        <v>173.57127605999997</v>
      </c>
      <c r="E667" s="27">
        <f t="shared" si="50"/>
        <v>193.21954450999198</v>
      </c>
      <c r="F667" s="6">
        <f t="shared" si="51"/>
        <v>251.18540786298959</v>
      </c>
      <c r="G667" s="7">
        <f t="shared" si="52"/>
        <v>270.50736231398872</v>
      </c>
      <c r="H667" s="8">
        <f t="shared" si="53"/>
        <v>289.82931676498799</v>
      </c>
      <c r="I667" s="9">
        <f t="shared" si="54"/>
        <v>309.15127121598721</v>
      </c>
    </row>
    <row r="668" spans="1:9" x14ac:dyDescent="0.35">
      <c r="A668" s="28" t="s">
        <v>3550</v>
      </c>
      <c r="B668" s="28" t="s">
        <v>3663</v>
      </c>
      <c r="C668" s="29">
        <v>45731</v>
      </c>
      <c r="D668" s="11">
        <v>325.90451746125007</v>
      </c>
      <c r="E668" s="27">
        <f t="shared" si="50"/>
        <v>362.79690883786355</v>
      </c>
      <c r="F668" s="6">
        <f t="shared" si="51"/>
        <v>471.63598148922262</v>
      </c>
      <c r="G668" s="7">
        <f t="shared" si="52"/>
        <v>507.91567237300893</v>
      </c>
      <c r="H668" s="8">
        <f t="shared" si="53"/>
        <v>544.1953632567953</v>
      </c>
      <c r="I668" s="9">
        <f t="shared" si="54"/>
        <v>580.47505414058173</v>
      </c>
    </row>
    <row r="669" spans="1:9" x14ac:dyDescent="0.35">
      <c r="A669" s="28" t="s">
        <v>3551</v>
      </c>
      <c r="B669" s="28" t="s">
        <v>3664</v>
      </c>
      <c r="C669" s="29">
        <v>45731</v>
      </c>
      <c r="D669" s="11">
        <v>325.90451746125007</v>
      </c>
      <c r="E669" s="27">
        <f t="shared" si="50"/>
        <v>362.79690883786355</v>
      </c>
      <c r="F669" s="6">
        <f t="shared" si="51"/>
        <v>471.63598148922262</v>
      </c>
      <c r="G669" s="7">
        <f t="shared" si="52"/>
        <v>507.91567237300893</v>
      </c>
      <c r="H669" s="8">
        <f t="shared" si="53"/>
        <v>544.1953632567953</v>
      </c>
      <c r="I669" s="9">
        <f t="shared" si="54"/>
        <v>580.47505414058173</v>
      </c>
    </row>
    <row r="670" spans="1:9" x14ac:dyDescent="0.35">
      <c r="A670" s="28" t="s">
        <v>3552</v>
      </c>
      <c r="B670" s="28" t="s">
        <v>3665</v>
      </c>
      <c r="C670" s="29">
        <v>45731</v>
      </c>
      <c r="D670" s="11">
        <v>207.79659810000004</v>
      </c>
      <c r="E670" s="27">
        <f t="shared" si="50"/>
        <v>231.31917300492006</v>
      </c>
      <c r="F670" s="6">
        <f t="shared" si="51"/>
        <v>300.71492490639611</v>
      </c>
      <c r="G670" s="7">
        <f t="shared" si="52"/>
        <v>323.84684220688808</v>
      </c>
      <c r="H670" s="8">
        <f t="shared" si="53"/>
        <v>346.97875950738012</v>
      </c>
      <c r="I670" s="9">
        <f t="shared" si="54"/>
        <v>370.1106768078721</v>
      </c>
    </row>
    <row r="671" spans="1:9" x14ac:dyDescent="0.35">
      <c r="A671" s="28" t="s">
        <v>3553</v>
      </c>
      <c r="B671" s="28" t="s">
        <v>3666</v>
      </c>
      <c r="C671" s="29">
        <v>45731</v>
      </c>
      <c r="D671" s="11">
        <v>400.84880523187508</v>
      </c>
      <c r="E671" s="27">
        <f t="shared" si="50"/>
        <v>446.22488998412337</v>
      </c>
      <c r="F671" s="6">
        <f t="shared" si="51"/>
        <v>580.09235697936037</v>
      </c>
      <c r="G671" s="7">
        <f t="shared" si="52"/>
        <v>624.71484597777271</v>
      </c>
      <c r="H671" s="8">
        <f t="shared" si="53"/>
        <v>669.33733497618505</v>
      </c>
      <c r="I671" s="9">
        <f t="shared" si="54"/>
        <v>713.95982397459738</v>
      </c>
    </row>
    <row r="672" spans="1:9" x14ac:dyDescent="0.35">
      <c r="A672" s="28" t="s">
        <v>3554</v>
      </c>
      <c r="B672" s="28" t="s">
        <v>3667</v>
      </c>
      <c r="C672" s="29">
        <v>45731</v>
      </c>
      <c r="D672" s="11">
        <v>371.20723167937507</v>
      </c>
      <c r="E672" s="27">
        <f t="shared" si="50"/>
        <v>413.22789030548034</v>
      </c>
      <c r="F672" s="6">
        <f t="shared" si="51"/>
        <v>537.19625739712444</v>
      </c>
      <c r="G672" s="7">
        <f t="shared" si="52"/>
        <v>578.51904642767249</v>
      </c>
      <c r="H672" s="8">
        <f t="shared" si="53"/>
        <v>619.84183545822054</v>
      </c>
      <c r="I672" s="9">
        <f t="shared" si="54"/>
        <v>661.1646244887686</v>
      </c>
    </row>
    <row r="673" spans="1:9" x14ac:dyDescent="0.35">
      <c r="A673" s="28" t="s">
        <v>3555</v>
      </c>
      <c r="B673" s="28" t="s">
        <v>3668</v>
      </c>
      <c r="C673" s="29">
        <v>45731</v>
      </c>
      <c r="D673" s="11">
        <v>360.74100596625004</v>
      </c>
      <c r="E673" s="27">
        <f t="shared" si="50"/>
        <v>401.57688784162957</v>
      </c>
      <c r="F673" s="6">
        <f t="shared" si="51"/>
        <v>522.04995419411841</v>
      </c>
      <c r="G673" s="7">
        <f t="shared" si="52"/>
        <v>562.20764297828134</v>
      </c>
      <c r="H673" s="8">
        <f t="shared" si="53"/>
        <v>602.36533176244438</v>
      </c>
      <c r="I673" s="9">
        <f t="shared" si="54"/>
        <v>642.52302054660731</v>
      </c>
    </row>
    <row r="674" spans="1:9" x14ac:dyDescent="0.35">
      <c r="A674" s="28" t="s">
        <v>3556</v>
      </c>
      <c r="B674" s="28" t="s">
        <v>3669</v>
      </c>
      <c r="C674" s="29">
        <v>45731</v>
      </c>
      <c r="D674" s="11">
        <v>254.39804105625004</v>
      </c>
      <c r="E674" s="27">
        <f t="shared" si="50"/>
        <v>283.19589930381755</v>
      </c>
      <c r="F674" s="6">
        <f t="shared" si="51"/>
        <v>368.15466909496286</v>
      </c>
      <c r="G674" s="7">
        <f t="shared" si="52"/>
        <v>396.47425902534457</v>
      </c>
      <c r="H674" s="8">
        <f t="shared" si="53"/>
        <v>424.79384895572633</v>
      </c>
      <c r="I674" s="9">
        <f t="shared" si="54"/>
        <v>453.1134388861081</v>
      </c>
    </row>
    <row r="675" spans="1:9" x14ac:dyDescent="0.35">
      <c r="A675" s="28" t="s">
        <v>3557</v>
      </c>
      <c r="B675" s="28" t="s">
        <v>3670</v>
      </c>
      <c r="C675" s="29">
        <v>45731</v>
      </c>
      <c r="D675" s="11">
        <v>1082.3758095150004</v>
      </c>
      <c r="E675" s="27">
        <f t="shared" si="50"/>
        <v>1204.9007511520983</v>
      </c>
      <c r="F675" s="6">
        <f t="shared" si="51"/>
        <v>1566.370976497728</v>
      </c>
      <c r="G675" s="7">
        <f t="shared" si="52"/>
        <v>1686.8610516129377</v>
      </c>
      <c r="H675" s="8">
        <f t="shared" si="53"/>
        <v>1807.3511267281474</v>
      </c>
      <c r="I675" s="9">
        <f t="shared" si="54"/>
        <v>1927.8412018433573</v>
      </c>
    </row>
    <row r="676" spans="1:9" x14ac:dyDescent="0.35">
      <c r="A676" s="28" t="s">
        <v>3558</v>
      </c>
      <c r="B676" s="28" t="s">
        <v>3671</v>
      </c>
      <c r="C676" s="29">
        <v>45731</v>
      </c>
      <c r="D676" s="11">
        <v>1055.102506014375</v>
      </c>
      <c r="E676" s="27">
        <f t="shared" si="50"/>
        <v>1174.5401096952023</v>
      </c>
      <c r="F676" s="6">
        <f t="shared" si="51"/>
        <v>1526.902142603763</v>
      </c>
      <c r="G676" s="7">
        <f t="shared" si="52"/>
        <v>1644.3561535732831</v>
      </c>
      <c r="H676" s="8">
        <f t="shared" si="53"/>
        <v>1761.8101645428035</v>
      </c>
      <c r="I676" s="9">
        <f t="shared" si="54"/>
        <v>1879.2641755123238</v>
      </c>
    </row>
    <row r="677" spans="1:9" x14ac:dyDescent="0.35">
      <c r="A677" s="28" t="s">
        <v>3559</v>
      </c>
      <c r="B677" s="28" t="s">
        <v>3672</v>
      </c>
      <c r="C677" s="29">
        <v>45731</v>
      </c>
      <c r="D677" s="11">
        <v>907.12382567625025</v>
      </c>
      <c r="E677" s="27">
        <f t="shared" si="50"/>
        <v>1009.8102427428018</v>
      </c>
      <c r="F677" s="6">
        <f t="shared" si="51"/>
        <v>1312.7533155656424</v>
      </c>
      <c r="G677" s="7">
        <f t="shared" si="52"/>
        <v>1413.7343398399225</v>
      </c>
      <c r="H677" s="8">
        <f t="shared" si="53"/>
        <v>1514.7153641142027</v>
      </c>
      <c r="I677" s="9">
        <f t="shared" si="54"/>
        <v>1615.696388388483</v>
      </c>
    </row>
    <row r="678" spans="1:9" x14ac:dyDescent="0.35">
      <c r="A678" s="28" t="s">
        <v>3560</v>
      </c>
      <c r="B678" s="28" t="s">
        <v>3673</v>
      </c>
      <c r="C678" s="29">
        <v>45731</v>
      </c>
      <c r="D678" s="11">
        <v>822.17168704125004</v>
      </c>
      <c r="E678" s="27">
        <f t="shared" si="50"/>
        <v>915.24152201431957</v>
      </c>
      <c r="F678" s="6">
        <f t="shared" si="51"/>
        <v>1189.8139786186155</v>
      </c>
      <c r="G678" s="7">
        <f t="shared" si="52"/>
        <v>1281.3381308200474</v>
      </c>
      <c r="H678" s="8">
        <f t="shared" si="53"/>
        <v>1372.8622830214795</v>
      </c>
      <c r="I678" s="9">
        <f t="shared" si="54"/>
        <v>1464.3864352229114</v>
      </c>
    </row>
    <row r="679" spans="1:9" x14ac:dyDescent="0.35">
      <c r="A679" s="28" t="s">
        <v>3561</v>
      </c>
      <c r="B679" s="28" t="s">
        <v>3674</v>
      </c>
      <c r="C679" s="29">
        <v>45731</v>
      </c>
      <c r="D679" s="11">
        <v>822.17168704125004</v>
      </c>
      <c r="E679" s="27">
        <f t="shared" si="50"/>
        <v>915.24152201431957</v>
      </c>
      <c r="F679" s="6">
        <f t="shared" si="51"/>
        <v>1189.8139786186155</v>
      </c>
      <c r="G679" s="7">
        <f t="shared" si="52"/>
        <v>1281.3381308200474</v>
      </c>
      <c r="H679" s="8">
        <f t="shared" si="53"/>
        <v>1372.8622830214795</v>
      </c>
      <c r="I679" s="9">
        <f t="shared" si="54"/>
        <v>1464.3864352229114</v>
      </c>
    </row>
    <row r="680" spans="1:9" x14ac:dyDescent="0.35">
      <c r="A680" s="28" t="s">
        <v>3562</v>
      </c>
      <c r="B680" s="28" t="s">
        <v>3675</v>
      </c>
      <c r="C680" s="29">
        <v>45731</v>
      </c>
      <c r="D680" s="11">
        <v>3240.5573890462506</v>
      </c>
      <c r="E680" s="27">
        <f t="shared" si="50"/>
        <v>3607.3884854862858</v>
      </c>
      <c r="F680" s="6">
        <f t="shared" si="51"/>
        <v>4689.6050311321715</v>
      </c>
      <c r="G680" s="7">
        <f t="shared" si="52"/>
        <v>5050.3438796807995</v>
      </c>
      <c r="H680" s="8">
        <f t="shared" si="53"/>
        <v>5411.0827282294285</v>
      </c>
      <c r="I680" s="9">
        <f t="shared" si="54"/>
        <v>5771.8215767780575</v>
      </c>
    </row>
    <row r="681" spans="1:9" x14ac:dyDescent="0.35">
      <c r="A681" s="28" t="s">
        <v>3563</v>
      </c>
      <c r="B681" s="28" t="s">
        <v>3676</v>
      </c>
      <c r="C681" s="29">
        <v>45731</v>
      </c>
      <c r="D681" s="11">
        <v>2644.9756689037499</v>
      </c>
      <c r="E681" s="27">
        <f t="shared" si="50"/>
        <v>2944.3869146236543</v>
      </c>
      <c r="F681" s="6">
        <f t="shared" si="51"/>
        <v>3827.7029890107506</v>
      </c>
      <c r="G681" s="7">
        <f t="shared" si="52"/>
        <v>4122.1416804731161</v>
      </c>
      <c r="H681" s="8">
        <f t="shared" si="53"/>
        <v>4416.5803719354817</v>
      </c>
      <c r="I681" s="9">
        <f t="shared" si="54"/>
        <v>4711.0190633978473</v>
      </c>
    </row>
    <row r="682" spans="1:9" x14ac:dyDescent="0.35">
      <c r="A682" s="28"/>
      <c r="B682" s="28"/>
      <c r="C682" s="29">
        <v>45731</v>
      </c>
      <c r="D682" s="11">
        <v>0</v>
      </c>
      <c r="E682" s="27">
        <f t="shared" si="50"/>
        <v>0</v>
      </c>
      <c r="F682" s="6">
        <f t="shared" si="51"/>
        <v>0</v>
      </c>
      <c r="G682" s="7">
        <f t="shared" si="52"/>
        <v>0</v>
      </c>
      <c r="H682" s="8">
        <f t="shared" si="53"/>
        <v>0</v>
      </c>
      <c r="I682" s="9">
        <f t="shared" si="54"/>
        <v>0</v>
      </c>
    </row>
    <row r="683" spans="1:9" x14ac:dyDescent="0.35">
      <c r="A683" s="28" t="s">
        <v>3564</v>
      </c>
      <c r="B683" s="28" t="s">
        <v>3677</v>
      </c>
      <c r="C683" s="29">
        <v>45731</v>
      </c>
      <c r="D683" s="11">
        <v>520.56103656375012</v>
      </c>
      <c r="E683" s="27">
        <f t="shared" si="50"/>
        <v>579.48854590276665</v>
      </c>
      <c r="F683" s="6">
        <f t="shared" si="51"/>
        <v>753.33510967359666</v>
      </c>
      <c r="G683" s="7">
        <f t="shared" si="52"/>
        <v>811.28396426387326</v>
      </c>
      <c r="H683" s="8">
        <f t="shared" si="53"/>
        <v>869.23281885414997</v>
      </c>
      <c r="I683" s="9">
        <f t="shared" si="54"/>
        <v>927.18167344442668</v>
      </c>
    </row>
    <row r="684" spans="1:9" x14ac:dyDescent="0.35">
      <c r="A684" s="28" t="s">
        <v>3565</v>
      </c>
      <c r="B684" s="28" t="s">
        <v>3678</v>
      </c>
      <c r="C684" s="29">
        <v>45731</v>
      </c>
      <c r="D684" s="11">
        <v>665.56028038500006</v>
      </c>
      <c r="E684" s="27">
        <f t="shared" si="50"/>
        <v>740.90170412458212</v>
      </c>
      <c r="F684" s="6">
        <f t="shared" si="51"/>
        <v>963.17221536195677</v>
      </c>
      <c r="G684" s="7">
        <f t="shared" si="52"/>
        <v>1037.262385774415</v>
      </c>
      <c r="H684" s="8">
        <f t="shared" si="53"/>
        <v>1111.3525561868732</v>
      </c>
      <c r="I684" s="9">
        <f t="shared" si="54"/>
        <v>1185.4427265993315</v>
      </c>
    </row>
    <row r="685" spans="1:9" x14ac:dyDescent="0.35">
      <c r="A685" s="28" t="s">
        <v>3566</v>
      </c>
      <c r="B685" s="28" t="s">
        <v>3679</v>
      </c>
      <c r="C685" s="29">
        <v>45731</v>
      </c>
      <c r="D685" s="11">
        <v>1124.0115249431249</v>
      </c>
      <c r="E685" s="27">
        <f t="shared" si="50"/>
        <v>1251.2496295666865</v>
      </c>
      <c r="F685" s="6">
        <f t="shared" si="51"/>
        <v>1626.6245184366926</v>
      </c>
      <c r="G685" s="7">
        <f t="shared" si="52"/>
        <v>1751.7494813933611</v>
      </c>
      <c r="H685" s="8">
        <f t="shared" si="53"/>
        <v>1876.8744443500298</v>
      </c>
      <c r="I685" s="9">
        <f t="shared" si="54"/>
        <v>2001.9994073066985</v>
      </c>
    </row>
    <row r="686" spans="1:9" x14ac:dyDescent="0.35">
      <c r="A686" s="28" t="s">
        <v>3567</v>
      </c>
      <c r="B686" s="28" t="s">
        <v>3681</v>
      </c>
      <c r="C686" s="29">
        <v>45731</v>
      </c>
      <c r="D686" s="11">
        <v>2156.6536633687501</v>
      </c>
      <c r="E686" s="27">
        <f t="shared" si="50"/>
        <v>2400.7868580620925</v>
      </c>
      <c r="F686" s="6">
        <f t="shared" si="51"/>
        <v>3121.0229154807203</v>
      </c>
      <c r="G686" s="7">
        <f t="shared" si="52"/>
        <v>3361.1016012869295</v>
      </c>
      <c r="H686" s="8">
        <f t="shared" si="53"/>
        <v>3601.1802870931388</v>
      </c>
      <c r="I686" s="9">
        <f t="shared" si="54"/>
        <v>3841.258972899348</v>
      </c>
    </row>
    <row r="687" spans="1:9" x14ac:dyDescent="0.35">
      <c r="A687" s="28" t="s">
        <v>3568</v>
      </c>
      <c r="B687" s="28" t="s">
        <v>3682</v>
      </c>
      <c r="C687" s="29">
        <v>45731</v>
      </c>
      <c r="D687" s="11">
        <v>4012.7662175737505</v>
      </c>
      <c r="E687" s="27">
        <f t="shared" si="50"/>
        <v>4467.0113534030988</v>
      </c>
      <c r="F687" s="6">
        <f t="shared" si="51"/>
        <v>5807.1147594240283</v>
      </c>
      <c r="G687" s="7">
        <f t="shared" si="52"/>
        <v>6253.8158947643378</v>
      </c>
      <c r="H687" s="8">
        <f t="shared" si="53"/>
        <v>6700.5170301046483</v>
      </c>
      <c r="I687" s="9">
        <f t="shared" si="54"/>
        <v>7147.2181654449587</v>
      </c>
    </row>
    <row r="688" spans="1:9" x14ac:dyDescent="0.35">
      <c r="A688" s="28" t="s">
        <v>3569</v>
      </c>
      <c r="B688" s="28" t="s">
        <v>3680</v>
      </c>
      <c r="C688" s="29">
        <v>45731</v>
      </c>
      <c r="D688" s="11">
        <v>4828.2150735000014</v>
      </c>
      <c r="E688" s="27">
        <f t="shared" si="50"/>
        <v>5374.7690198202017</v>
      </c>
      <c r="F688" s="6">
        <f t="shared" si="51"/>
        <v>6987.1997257662624</v>
      </c>
      <c r="G688" s="7">
        <f t="shared" si="52"/>
        <v>7524.676627748282</v>
      </c>
      <c r="H688" s="8">
        <f t="shared" si="53"/>
        <v>8062.1535297303026</v>
      </c>
      <c r="I688" s="9">
        <f t="shared" si="54"/>
        <v>8599.6304317123231</v>
      </c>
    </row>
    <row r="689" spans="1:9" x14ac:dyDescent="0.35">
      <c r="A689" s="28"/>
      <c r="B689" s="28"/>
      <c r="C689" s="29">
        <v>45731</v>
      </c>
      <c r="D689" s="11">
        <v>0</v>
      </c>
      <c r="E689" s="27">
        <f t="shared" si="50"/>
        <v>0</v>
      </c>
      <c r="F689" s="6">
        <f t="shared" si="51"/>
        <v>0</v>
      </c>
      <c r="G689" s="7">
        <f t="shared" si="52"/>
        <v>0</v>
      </c>
      <c r="H689" s="8">
        <f t="shared" si="53"/>
        <v>0</v>
      </c>
      <c r="I689" s="9">
        <f t="shared" si="54"/>
        <v>0</v>
      </c>
    </row>
    <row r="690" spans="1:9" x14ac:dyDescent="0.35">
      <c r="A690" s="28" t="s">
        <v>3570</v>
      </c>
      <c r="B690" s="28" t="s">
        <v>3683</v>
      </c>
      <c r="C690" s="29">
        <v>45731</v>
      </c>
      <c r="D690" s="11">
        <v>742.41446335875014</v>
      </c>
      <c r="E690" s="27">
        <f t="shared" si="50"/>
        <v>826.45578061096069</v>
      </c>
      <c r="F690" s="6">
        <f t="shared" si="51"/>
        <v>1074.3925147942489</v>
      </c>
      <c r="G690" s="7">
        <f t="shared" si="52"/>
        <v>1157.038092855345</v>
      </c>
      <c r="H690" s="8">
        <f t="shared" si="53"/>
        <v>1239.6836709164411</v>
      </c>
      <c r="I690" s="9">
        <f t="shared" si="54"/>
        <v>1322.3292489775372</v>
      </c>
    </row>
    <row r="691" spans="1:9" x14ac:dyDescent="0.35">
      <c r="A691" s="28" t="s">
        <v>3571</v>
      </c>
      <c r="B691" s="28" t="s">
        <v>3684</v>
      </c>
      <c r="C691" s="29">
        <v>45731</v>
      </c>
      <c r="D691" s="11">
        <v>1135.8528752025002</v>
      </c>
      <c r="E691" s="27">
        <f t="shared" si="50"/>
        <v>1264.4314206754232</v>
      </c>
      <c r="F691" s="6">
        <f t="shared" si="51"/>
        <v>1643.7608468780502</v>
      </c>
      <c r="G691" s="7">
        <f t="shared" si="52"/>
        <v>1770.2039889455923</v>
      </c>
      <c r="H691" s="8">
        <f t="shared" si="53"/>
        <v>1896.6471310131346</v>
      </c>
      <c r="I691" s="9">
        <f t="shared" si="54"/>
        <v>2023.0902730806772</v>
      </c>
    </row>
    <row r="692" spans="1:9" x14ac:dyDescent="0.35">
      <c r="A692" s="28" t="s">
        <v>3572</v>
      </c>
      <c r="B692" s="28" t="s">
        <v>3685</v>
      </c>
      <c r="C692" s="29">
        <v>45731</v>
      </c>
      <c r="D692" s="11">
        <v>1889.3447307393751</v>
      </c>
      <c r="E692" s="27">
        <f t="shared" si="50"/>
        <v>2103.2185542590723</v>
      </c>
      <c r="F692" s="6">
        <f t="shared" si="51"/>
        <v>2734.1841205367941</v>
      </c>
      <c r="G692" s="7">
        <f t="shared" si="52"/>
        <v>2944.5059759627011</v>
      </c>
      <c r="H692" s="8">
        <f t="shared" si="53"/>
        <v>3154.8278313886085</v>
      </c>
      <c r="I692" s="9">
        <f t="shared" si="54"/>
        <v>3365.1496868145159</v>
      </c>
    </row>
    <row r="693" spans="1:9" x14ac:dyDescent="0.35">
      <c r="A693" s="28"/>
      <c r="B693" s="28"/>
      <c r="C693" s="29">
        <v>45731</v>
      </c>
      <c r="D693" s="11">
        <v>0</v>
      </c>
      <c r="E693" s="27">
        <f t="shared" si="50"/>
        <v>0</v>
      </c>
      <c r="F693" s="6">
        <f t="shared" si="51"/>
        <v>0</v>
      </c>
      <c r="G693" s="7">
        <f t="shared" si="52"/>
        <v>0</v>
      </c>
      <c r="H693" s="8">
        <f t="shared" si="53"/>
        <v>0</v>
      </c>
      <c r="I693" s="9">
        <f t="shared" si="54"/>
        <v>0</v>
      </c>
    </row>
    <row r="694" spans="1:9" x14ac:dyDescent="0.35">
      <c r="A694" s="28" t="s">
        <v>3573</v>
      </c>
      <c r="B694" s="28" t="s">
        <v>3686</v>
      </c>
      <c r="C694" s="29">
        <v>45731</v>
      </c>
      <c r="D694" s="11">
        <v>1516.6095828975001</v>
      </c>
      <c r="E694" s="27">
        <f t="shared" si="50"/>
        <v>1688.2897876814973</v>
      </c>
      <c r="F694" s="6">
        <f t="shared" si="51"/>
        <v>2194.7767239859463</v>
      </c>
      <c r="G694" s="7">
        <f t="shared" si="52"/>
        <v>2363.605702754096</v>
      </c>
      <c r="H694" s="8">
        <f t="shared" si="53"/>
        <v>2532.4346815222461</v>
      </c>
      <c r="I694" s="9">
        <f t="shared" si="54"/>
        <v>2701.2636602903958</v>
      </c>
    </row>
    <row r="695" spans="1:9" x14ac:dyDescent="0.35">
      <c r="A695" s="28" t="s">
        <v>3574</v>
      </c>
      <c r="B695" s="28" t="s">
        <v>3687</v>
      </c>
      <c r="C695" s="29">
        <v>45731</v>
      </c>
      <c r="D695" s="11">
        <v>2241.4530103874999</v>
      </c>
      <c r="E695" s="27">
        <f t="shared" si="50"/>
        <v>2495.185491163365</v>
      </c>
      <c r="F695" s="6">
        <f t="shared" si="51"/>
        <v>3243.7411385123746</v>
      </c>
      <c r="G695" s="7">
        <f t="shared" si="52"/>
        <v>3493.2596876287107</v>
      </c>
      <c r="H695" s="8">
        <f t="shared" si="53"/>
        <v>3742.7782367450473</v>
      </c>
      <c r="I695" s="9">
        <f t="shared" si="54"/>
        <v>3992.2967858613843</v>
      </c>
    </row>
    <row r="696" spans="1:9" x14ac:dyDescent="0.35">
      <c r="A696" s="28" t="s">
        <v>3575</v>
      </c>
      <c r="B696" s="28" t="s">
        <v>3688</v>
      </c>
      <c r="C696" s="29">
        <v>45731</v>
      </c>
      <c r="D696" s="11">
        <v>4649.2960908712494</v>
      </c>
      <c r="E696" s="27">
        <f t="shared" si="50"/>
        <v>5175.5964083578747</v>
      </c>
      <c r="F696" s="6">
        <f t="shared" si="51"/>
        <v>6728.2753308652373</v>
      </c>
      <c r="G696" s="7">
        <f t="shared" si="52"/>
        <v>7245.8349717010242</v>
      </c>
      <c r="H696" s="8">
        <f t="shared" si="53"/>
        <v>7763.394612536812</v>
      </c>
      <c r="I696" s="9">
        <f t="shared" si="54"/>
        <v>8280.9542533725999</v>
      </c>
    </row>
    <row r="697" spans="1:9" x14ac:dyDescent="0.35">
      <c r="A697" s="28" t="s">
        <v>3576</v>
      </c>
      <c r="B697" s="28" t="s">
        <v>3689</v>
      </c>
      <c r="C697" s="29">
        <v>45731</v>
      </c>
      <c r="D697" s="11">
        <v>1579.4833329843752</v>
      </c>
      <c r="E697" s="27">
        <f t="shared" si="50"/>
        <v>1758.2808462782066</v>
      </c>
      <c r="F697" s="6">
        <f t="shared" si="51"/>
        <v>2285.7651001616687</v>
      </c>
      <c r="G697" s="7">
        <f t="shared" si="52"/>
        <v>2461.593184789489</v>
      </c>
      <c r="H697" s="8">
        <f t="shared" si="53"/>
        <v>2637.4212694173098</v>
      </c>
      <c r="I697" s="9">
        <f t="shared" si="54"/>
        <v>2813.2493540451305</v>
      </c>
    </row>
    <row r="698" spans="1:9" x14ac:dyDescent="0.35">
      <c r="A698" s="28"/>
      <c r="B698" s="28"/>
      <c r="C698" s="29">
        <v>45731</v>
      </c>
      <c r="D698" s="11">
        <v>0</v>
      </c>
      <c r="E698" s="27">
        <f t="shared" si="50"/>
        <v>0</v>
      </c>
      <c r="F698" s="6">
        <f t="shared" si="51"/>
        <v>0</v>
      </c>
      <c r="G698" s="7">
        <f t="shared" si="52"/>
        <v>0</v>
      </c>
      <c r="H698" s="8">
        <f t="shared" si="53"/>
        <v>0</v>
      </c>
      <c r="I698" s="9">
        <f t="shared" si="54"/>
        <v>0</v>
      </c>
    </row>
    <row r="699" spans="1:9" x14ac:dyDescent="0.35">
      <c r="A699" s="28" t="s">
        <v>3577</v>
      </c>
      <c r="B699" s="28" t="s">
        <v>3690</v>
      </c>
      <c r="C699" s="29">
        <v>45731</v>
      </c>
      <c r="D699" s="11">
        <v>2881.0387160100004</v>
      </c>
      <c r="E699" s="27">
        <f t="shared" si="50"/>
        <v>3207.1722986623322</v>
      </c>
      <c r="F699" s="6">
        <f t="shared" si="51"/>
        <v>4169.3239882610324</v>
      </c>
      <c r="G699" s="7">
        <f t="shared" si="52"/>
        <v>4490.041218127265</v>
      </c>
      <c r="H699" s="8">
        <f t="shared" si="53"/>
        <v>4810.7584479934985</v>
      </c>
      <c r="I699" s="9">
        <f t="shared" si="54"/>
        <v>5131.4756778597321</v>
      </c>
    </row>
    <row r="700" spans="1:9" x14ac:dyDescent="0.35">
      <c r="A700" s="28" t="s">
        <v>3578</v>
      </c>
      <c r="B700" s="28" t="s">
        <v>3691</v>
      </c>
      <c r="C700" s="29">
        <v>45731</v>
      </c>
      <c r="D700" s="11">
        <v>5278.6447582050005</v>
      </c>
      <c r="E700" s="27">
        <f t="shared" si="50"/>
        <v>5876.1873448338065</v>
      </c>
      <c r="F700" s="6">
        <f t="shared" si="51"/>
        <v>7639.0435482839484</v>
      </c>
      <c r="G700" s="7">
        <f t="shared" si="52"/>
        <v>8226.6622827673291</v>
      </c>
      <c r="H700" s="8">
        <f t="shared" si="53"/>
        <v>8814.2810172507088</v>
      </c>
      <c r="I700" s="9">
        <f t="shared" si="54"/>
        <v>9401.8997517340904</v>
      </c>
    </row>
    <row r="701" spans="1:9" x14ac:dyDescent="0.35">
      <c r="A701" s="28"/>
      <c r="B701" s="28"/>
      <c r="C701" s="29">
        <v>45731</v>
      </c>
      <c r="D701" s="11">
        <v>0</v>
      </c>
      <c r="E701" s="27">
        <f t="shared" si="50"/>
        <v>0</v>
      </c>
      <c r="F701" s="6">
        <f t="shared" si="51"/>
        <v>0</v>
      </c>
      <c r="G701" s="7">
        <f t="shared" si="52"/>
        <v>0</v>
      </c>
      <c r="H701" s="8">
        <f t="shared" si="53"/>
        <v>0</v>
      </c>
      <c r="I701" s="9">
        <f t="shared" si="54"/>
        <v>0</v>
      </c>
    </row>
    <row r="702" spans="1:9" x14ac:dyDescent="0.35">
      <c r="A702" s="28" t="s">
        <v>3579</v>
      </c>
      <c r="B702" s="28" t="s">
        <v>3692</v>
      </c>
      <c r="C702" s="29">
        <v>45731</v>
      </c>
      <c r="D702" s="11">
        <v>1698.0496271943753</v>
      </c>
      <c r="E702" s="27">
        <f t="shared" si="50"/>
        <v>1890.2688449927784</v>
      </c>
      <c r="F702" s="6">
        <f t="shared" si="51"/>
        <v>2457.3494984906119</v>
      </c>
      <c r="G702" s="7">
        <f t="shared" si="52"/>
        <v>2646.3763829898899</v>
      </c>
      <c r="H702" s="8">
        <f t="shared" si="53"/>
        <v>2835.4032674891678</v>
      </c>
      <c r="I702" s="9">
        <f t="shared" si="54"/>
        <v>3024.4301519884457</v>
      </c>
    </row>
    <row r="703" spans="1:9" x14ac:dyDescent="0.35">
      <c r="A703" s="28" t="s">
        <v>3580</v>
      </c>
      <c r="B703" s="28" t="s">
        <v>3693</v>
      </c>
      <c r="C703" s="29">
        <v>45731</v>
      </c>
      <c r="D703" s="11">
        <v>2119.8308838525004</v>
      </c>
      <c r="E703" s="27">
        <f t="shared" si="50"/>
        <v>2359.7957399046036</v>
      </c>
      <c r="F703" s="6">
        <f t="shared" si="51"/>
        <v>3067.7344618759848</v>
      </c>
      <c r="G703" s="7">
        <f t="shared" si="52"/>
        <v>3303.7140358664446</v>
      </c>
      <c r="H703" s="8">
        <f t="shared" si="53"/>
        <v>3539.6936098569054</v>
      </c>
      <c r="I703" s="9">
        <f t="shared" si="54"/>
        <v>3775.6731838473661</v>
      </c>
    </row>
    <row r="704" spans="1:9" x14ac:dyDescent="0.35">
      <c r="A704" s="28" t="s">
        <v>3581</v>
      </c>
      <c r="B704" s="28" t="s">
        <v>3694</v>
      </c>
      <c r="C704" s="29">
        <v>45731</v>
      </c>
      <c r="D704" s="11">
        <v>4799.031874796251</v>
      </c>
      <c r="E704" s="27">
        <f t="shared" si="50"/>
        <v>5342.2822830231862</v>
      </c>
      <c r="F704" s="6">
        <f t="shared" si="51"/>
        <v>6944.9669679301423</v>
      </c>
      <c r="G704" s="7">
        <f t="shared" si="52"/>
        <v>7479.1951962324601</v>
      </c>
      <c r="H704" s="8">
        <f t="shared" si="53"/>
        <v>8013.4234245347798</v>
      </c>
      <c r="I704" s="9">
        <f t="shared" si="54"/>
        <v>8547.6516528370976</v>
      </c>
    </row>
    <row r="705" spans="1:9" x14ac:dyDescent="0.35">
      <c r="A705" s="28" t="s">
        <v>3582</v>
      </c>
      <c r="B705" s="28" t="s">
        <v>3695</v>
      </c>
      <c r="C705" s="29">
        <v>45731</v>
      </c>
      <c r="D705" s="11">
        <v>1912.3398689850001</v>
      </c>
      <c r="E705" s="27">
        <f t="shared" si="50"/>
        <v>2128.816742154102</v>
      </c>
      <c r="F705" s="6">
        <f t="shared" si="51"/>
        <v>2767.4617648003327</v>
      </c>
      <c r="G705" s="7">
        <f t="shared" si="52"/>
        <v>2980.3434390157427</v>
      </c>
      <c r="H705" s="8">
        <f t="shared" si="53"/>
        <v>3193.225113231153</v>
      </c>
      <c r="I705" s="9">
        <f t="shared" si="54"/>
        <v>3406.1067874465634</v>
      </c>
    </row>
    <row r="706" spans="1:9" x14ac:dyDescent="0.35">
      <c r="A706" s="28"/>
      <c r="B706" s="28"/>
      <c r="C706" s="29">
        <v>45731</v>
      </c>
      <c r="D706" s="11">
        <v>0</v>
      </c>
      <c r="E706" s="27">
        <f t="shared" si="50"/>
        <v>0</v>
      </c>
      <c r="F706" s="6">
        <f t="shared" si="51"/>
        <v>0</v>
      </c>
      <c r="G706" s="7">
        <f t="shared" si="52"/>
        <v>0</v>
      </c>
      <c r="H706" s="8">
        <f t="shared" si="53"/>
        <v>0</v>
      </c>
      <c r="I706" s="9">
        <f t="shared" si="54"/>
        <v>0</v>
      </c>
    </row>
    <row r="707" spans="1:9" x14ac:dyDescent="0.35">
      <c r="A707" s="28" t="s">
        <v>3583</v>
      </c>
      <c r="B707" s="28" t="s">
        <v>3696</v>
      </c>
      <c r="C707" s="29">
        <v>45731</v>
      </c>
      <c r="D707" s="11">
        <v>1516.6095828975001</v>
      </c>
      <c r="E707" s="27">
        <f t="shared" si="50"/>
        <v>1688.2897876814973</v>
      </c>
      <c r="F707" s="6">
        <f t="shared" si="51"/>
        <v>2194.7767239859463</v>
      </c>
      <c r="G707" s="7">
        <f t="shared" si="52"/>
        <v>2363.605702754096</v>
      </c>
      <c r="H707" s="8">
        <f t="shared" si="53"/>
        <v>2532.4346815222461</v>
      </c>
      <c r="I707" s="9">
        <f t="shared" si="54"/>
        <v>2701.2636602903958</v>
      </c>
    </row>
    <row r="708" spans="1:9" x14ac:dyDescent="0.35">
      <c r="A708" s="28" t="s">
        <v>3584</v>
      </c>
      <c r="B708" s="28" t="s">
        <v>3697</v>
      </c>
      <c r="C708" s="29">
        <v>45731</v>
      </c>
      <c r="D708" s="11">
        <v>2023.4957698068749</v>
      </c>
      <c r="E708" s="27">
        <f t="shared" si="50"/>
        <v>2252.5554909490129</v>
      </c>
      <c r="F708" s="6">
        <f t="shared" si="51"/>
        <v>2928.3221382337169</v>
      </c>
      <c r="G708" s="7">
        <f t="shared" si="52"/>
        <v>3153.5776873286177</v>
      </c>
      <c r="H708" s="8">
        <f t="shared" si="53"/>
        <v>3378.8332364235193</v>
      </c>
      <c r="I708" s="9">
        <f t="shared" si="54"/>
        <v>3604.088785518421</v>
      </c>
    </row>
    <row r="709" spans="1:9" x14ac:dyDescent="0.35">
      <c r="A709" s="28" t="s">
        <v>3585</v>
      </c>
      <c r="B709" s="28" t="s">
        <v>3698</v>
      </c>
      <c r="C709" s="29">
        <v>45731</v>
      </c>
      <c r="D709" s="11">
        <v>4319.877366236251</v>
      </c>
      <c r="E709" s="27">
        <f t="shared" si="50"/>
        <v>4808.8874840941944</v>
      </c>
      <c r="F709" s="6">
        <f t="shared" si="51"/>
        <v>6251.5537293224534</v>
      </c>
      <c r="G709" s="7">
        <f t="shared" si="52"/>
        <v>6732.4424777318718</v>
      </c>
      <c r="H709" s="8">
        <f t="shared" si="53"/>
        <v>7213.3312261412921</v>
      </c>
      <c r="I709" s="9">
        <f t="shared" si="54"/>
        <v>7694.2199745507114</v>
      </c>
    </row>
    <row r="710" spans="1:9" x14ac:dyDescent="0.35">
      <c r="A710" s="28"/>
      <c r="B710" s="28"/>
      <c r="C710" s="29">
        <v>45731</v>
      </c>
      <c r="D710" s="11">
        <v>0</v>
      </c>
      <c r="E710" s="27">
        <f t="shared" si="50"/>
        <v>0</v>
      </c>
      <c r="F710" s="6">
        <f t="shared" si="51"/>
        <v>0</v>
      </c>
      <c r="G710" s="7">
        <f t="shared" si="52"/>
        <v>0</v>
      </c>
      <c r="H710" s="8">
        <f t="shared" si="53"/>
        <v>0</v>
      </c>
      <c r="I710" s="9">
        <f t="shared" si="54"/>
        <v>0</v>
      </c>
    </row>
    <row r="711" spans="1:9" x14ac:dyDescent="0.35">
      <c r="A711" s="28" t="s">
        <v>3586</v>
      </c>
      <c r="B711" s="28" t="s">
        <v>3699</v>
      </c>
      <c r="C711" s="29">
        <v>45731</v>
      </c>
      <c r="D711" s="11">
        <v>1334.7875595600001</v>
      </c>
      <c r="E711" s="27">
        <f t="shared" si="50"/>
        <v>1485.8855113021921</v>
      </c>
      <c r="F711" s="6">
        <f t="shared" si="51"/>
        <v>1931.6511646928498</v>
      </c>
      <c r="G711" s="7">
        <f t="shared" si="52"/>
        <v>2080.2397158230688</v>
      </c>
      <c r="H711" s="8">
        <f t="shared" si="53"/>
        <v>2228.8282669532882</v>
      </c>
      <c r="I711" s="9">
        <f t="shared" si="54"/>
        <v>2377.4168180835072</v>
      </c>
    </row>
    <row r="712" spans="1:9" x14ac:dyDescent="0.35">
      <c r="A712" s="28" t="s">
        <v>3587</v>
      </c>
      <c r="B712" s="28" t="s">
        <v>3700</v>
      </c>
      <c r="C712" s="29">
        <v>45731</v>
      </c>
      <c r="D712" s="11">
        <v>1330.6621859212501</v>
      </c>
      <c r="E712" s="27">
        <f t="shared" si="50"/>
        <v>1481.2931453675355</v>
      </c>
      <c r="F712" s="6">
        <f t="shared" si="51"/>
        <v>1925.6810889777962</v>
      </c>
      <c r="G712" s="7">
        <f t="shared" si="52"/>
        <v>2073.8104035145498</v>
      </c>
      <c r="H712" s="8">
        <f t="shared" si="53"/>
        <v>2221.9397180513033</v>
      </c>
      <c r="I712" s="9">
        <f t="shared" si="54"/>
        <v>2370.0690325880569</v>
      </c>
    </row>
    <row r="713" spans="1:9" x14ac:dyDescent="0.35">
      <c r="A713" s="28" t="s">
        <v>3588</v>
      </c>
      <c r="B713" s="28" t="s">
        <v>3701</v>
      </c>
      <c r="C713" s="29">
        <v>45731</v>
      </c>
      <c r="D713" s="11">
        <v>2317.5432352799999</v>
      </c>
      <c r="E713" s="27">
        <f t="shared" si="50"/>
        <v>2579.8891295136959</v>
      </c>
      <c r="F713" s="6">
        <f t="shared" si="51"/>
        <v>3353.8558683678048</v>
      </c>
      <c r="G713" s="7">
        <f t="shared" si="52"/>
        <v>3611.8447813191742</v>
      </c>
      <c r="H713" s="8">
        <f t="shared" si="53"/>
        <v>3869.8336942705437</v>
      </c>
      <c r="I713" s="9">
        <f t="shared" si="54"/>
        <v>4127.822607221914</v>
      </c>
    </row>
    <row r="714" spans="1:9" x14ac:dyDescent="0.35">
      <c r="A714" s="28"/>
      <c r="B714" s="28"/>
      <c r="C714" s="29">
        <v>45731</v>
      </c>
      <c r="D714" s="11">
        <v>0</v>
      </c>
      <c r="E714" s="27">
        <f t="shared" si="50"/>
        <v>0</v>
      </c>
      <c r="F714" s="6">
        <f t="shared" si="51"/>
        <v>0</v>
      </c>
      <c r="G714" s="7">
        <f t="shared" si="52"/>
        <v>0</v>
      </c>
      <c r="H714" s="8">
        <f t="shared" si="53"/>
        <v>0</v>
      </c>
      <c r="I714" s="9">
        <f t="shared" si="54"/>
        <v>0</v>
      </c>
    </row>
    <row r="715" spans="1:9" x14ac:dyDescent="0.35">
      <c r="A715" s="28" t="s">
        <v>3589</v>
      </c>
      <c r="B715" s="28" t="s">
        <v>3702</v>
      </c>
      <c r="C715" s="29">
        <v>45731</v>
      </c>
      <c r="D715" s="11">
        <v>1872.1556739112502</v>
      </c>
      <c r="E715" s="27">
        <f t="shared" si="50"/>
        <v>2084.083696198004</v>
      </c>
      <c r="F715" s="6">
        <f t="shared" si="51"/>
        <v>2709.3088050574052</v>
      </c>
      <c r="G715" s="7">
        <f t="shared" si="52"/>
        <v>2917.7171746772055</v>
      </c>
      <c r="H715" s="8">
        <f t="shared" si="53"/>
        <v>3126.1255442970059</v>
      </c>
      <c r="I715" s="9">
        <f t="shared" si="54"/>
        <v>3334.5339139168063</v>
      </c>
    </row>
    <row r="716" spans="1:9" x14ac:dyDescent="0.35">
      <c r="A716" s="28" t="s">
        <v>3590</v>
      </c>
      <c r="B716" s="28" t="s">
        <v>3703</v>
      </c>
      <c r="C716" s="29">
        <v>45731</v>
      </c>
      <c r="D716" s="11">
        <v>3096.3221033062505</v>
      </c>
      <c r="E716" s="27">
        <f t="shared" ref="E716:E779" si="55">D716*1.21*0.92</f>
        <v>3446.8257654005179</v>
      </c>
      <c r="F716" s="6">
        <f t="shared" si="51"/>
        <v>4480.8734950206735</v>
      </c>
      <c r="G716" s="7">
        <f t="shared" si="52"/>
        <v>4825.5560715607244</v>
      </c>
      <c r="H716" s="8">
        <f t="shared" si="53"/>
        <v>5170.238648100777</v>
      </c>
      <c r="I716" s="9">
        <f t="shared" si="54"/>
        <v>5514.9212246408288</v>
      </c>
    </row>
    <row r="717" spans="1:9" x14ac:dyDescent="0.35">
      <c r="A717" s="28"/>
      <c r="B717" s="28"/>
      <c r="C717" s="29">
        <v>45731</v>
      </c>
      <c r="D717" s="11">
        <v>0</v>
      </c>
      <c r="E717" s="27">
        <f t="shared" si="55"/>
        <v>0</v>
      </c>
      <c r="F717" s="6">
        <f t="shared" si="51"/>
        <v>0</v>
      </c>
      <c r="G717" s="7">
        <f t="shared" si="52"/>
        <v>0</v>
      </c>
      <c r="H717" s="8">
        <f t="shared" si="53"/>
        <v>0</v>
      </c>
      <c r="I717" s="9">
        <f t="shared" si="54"/>
        <v>0</v>
      </c>
    </row>
    <row r="718" spans="1:9" x14ac:dyDescent="0.35">
      <c r="A718" s="28" t="s">
        <v>3591</v>
      </c>
      <c r="B718" s="28" t="s">
        <v>3704</v>
      </c>
      <c r="C718" s="29">
        <v>45731</v>
      </c>
      <c r="D718" s="11">
        <v>2895.5539195537503</v>
      </c>
      <c r="E718" s="27">
        <f t="shared" si="55"/>
        <v>3223.3306232472351</v>
      </c>
      <c r="F718" s="6">
        <f t="shared" si="51"/>
        <v>4190.3298102214058</v>
      </c>
      <c r="G718" s="7">
        <f t="shared" si="52"/>
        <v>4512.6628725461287</v>
      </c>
      <c r="H718" s="8">
        <f t="shared" si="53"/>
        <v>4834.9959348708526</v>
      </c>
      <c r="I718" s="9">
        <f t="shared" si="54"/>
        <v>5157.3289971955764</v>
      </c>
    </row>
    <row r="719" spans="1:9" x14ac:dyDescent="0.35">
      <c r="A719" s="28" t="s">
        <v>3592</v>
      </c>
      <c r="B719" s="28" t="s">
        <v>3705</v>
      </c>
      <c r="C719" s="29">
        <v>45731</v>
      </c>
      <c r="D719" s="11">
        <v>4514.6102811468763</v>
      </c>
      <c r="E719" s="27">
        <f t="shared" si="55"/>
        <v>5025.6641649727026</v>
      </c>
      <c r="F719" s="6">
        <f t="shared" ref="F719:F775" si="56">E719*1.3</f>
        <v>6533.3634144645139</v>
      </c>
      <c r="G719" s="7">
        <f t="shared" ref="G719:G775" si="57">E719*1.4</f>
        <v>7035.9298309617834</v>
      </c>
      <c r="H719" s="8">
        <f t="shared" ref="H719:H775" si="58">E719*1.5</f>
        <v>7538.4962474590538</v>
      </c>
      <c r="I719" s="9">
        <f t="shared" ref="I719:I775" si="59">E719*1.6</f>
        <v>8041.0626639563243</v>
      </c>
    </row>
    <row r="720" spans="1:9" x14ac:dyDescent="0.35">
      <c r="A720" s="28" t="s">
        <v>3593</v>
      </c>
      <c r="B720" s="28" t="s">
        <v>3706</v>
      </c>
      <c r="C720" s="29">
        <v>45731</v>
      </c>
      <c r="D720" s="11">
        <v>6550.7113592943761</v>
      </c>
      <c r="E720" s="27">
        <f t="shared" si="55"/>
        <v>7292.2518851664991</v>
      </c>
      <c r="F720" s="6">
        <f t="shared" si="56"/>
        <v>9479.9274507164482</v>
      </c>
      <c r="G720" s="7">
        <f t="shared" si="57"/>
        <v>10209.152639233098</v>
      </c>
      <c r="H720" s="8">
        <f t="shared" si="58"/>
        <v>10938.377827749748</v>
      </c>
      <c r="I720" s="9">
        <f t="shared" si="59"/>
        <v>11667.603016266399</v>
      </c>
    </row>
    <row r="721" spans="1:9" x14ac:dyDescent="0.35">
      <c r="A721" s="28"/>
      <c r="B721" s="28"/>
      <c r="C721" s="29">
        <v>45731</v>
      </c>
      <c r="D721" s="11">
        <v>0</v>
      </c>
      <c r="E721" s="27">
        <f t="shared" si="55"/>
        <v>0</v>
      </c>
      <c r="F721" s="6">
        <f t="shared" si="56"/>
        <v>0</v>
      </c>
      <c r="G721" s="7">
        <f t="shared" si="57"/>
        <v>0</v>
      </c>
      <c r="H721" s="8">
        <f t="shared" si="58"/>
        <v>0</v>
      </c>
      <c r="I721" s="9">
        <f t="shared" si="59"/>
        <v>0</v>
      </c>
    </row>
    <row r="722" spans="1:9" x14ac:dyDescent="0.35">
      <c r="A722" s="28" t="s">
        <v>3594</v>
      </c>
      <c r="B722" s="28" t="s">
        <v>3707</v>
      </c>
      <c r="C722" s="29">
        <v>45731</v>
      </c>
      <c r="D722" s="11">
        <v>1823.6443357518749</v>
      </c>
      <c r="E722" s="27">
        <f t="shared" si="55"/>
        <v>2030.080874558987</v>
      </c>
      <c r="F722" s="6">
        <f t="shared" si="56"/>
        <v>2639.1051369266834</v>
      </c>
      <c r="G722" s="7">
        <f t="shared" si="57"/>
        <v>2842.1132243825818</v>
      </c>
      <c r="H722" s="8">
        <f t="shared" si="58"/>
        <v>3045.1213118384803</v>
      </c>
      <c r="I722" s="9">
        <f t="shared" si="59"/>
        <v>3248.1293992943793</v>
      </c>
    </row>
    <row r="723" spans="1:9" ht="15.75" customHeight="1" x14ac:dyDescent="0.4">
      <c r="B723" s="19" t="s">
        <v>1018</v>
      </c>
      <c r="D723" s="11">
        <v>0</v>
      </c>
      <c r="E723" s="27">
        <f t="shared" si="55"/>
        <v>0</v>
      </c>
      <c r="F723" s="6">
        <f t="shared" si="56"/>
        <v>0</v>
      </c>
      <c r="G723" s="7">
        <f t="shared" si="57"/>
        <v>0</v>
      </c>
      <c r="H723" s="8">
        <f t="shared" si="58"/>
        <v>0</v>
      </c>
      <c r="I723" s="9">
        <f t="shared" si="59"/>
        <v>0</v>
      </c>
    </row>
    <row r="724" spans="1:9" x14ac:dyDescent="0.35">
      <c r="A724" s="18" t="s">
        <v>1234</v>
      </c>
      <c r="B724" s="18" t="s">
        <v>2826</v>
      </c>
      <c r="C724" s="20">
        <v>45649</v>
      </c>
      <c r="D724" s="11">
        <v>83.29692</v>
      </c>
      <c r="E724" s="27">
        <f t="shared" si="55"/>
        <v>92.726131343999995</v>
      </c>
      <c r="F724" s="6">
        <f t="shared" si="56"/>
        <v>120.54397074719999</v>
      </c>
      <c r="G724" s="7">
        <f t="shared" si="57"/>
        <v>129.8165838816</v>
      </c>
      <c r="H724" s="8">
        <f t="shared" si="58"/>
        <v>139.08919701599999</v>
      </c>
      <c r="I724" s="9">
        <f t="shared" si="59"/>
        <v>148.3618101504</v>
      </c>
    </row>
    <row r="725" spans="1:9" x14ac:dyDescent="0.35">
      <c r="A725" s="18" t="s">
        <v>1235</v>
      </c>
      <c r="B725" s="18" t="s">
        <v>2827</v>
      </c>
      <c r="C725" s="20">
        <v>45649</v>
      </c>
      <c r="D725" s="11">
        <v>94.72372</v>
      </c>
      <c r="E725" s="27">
        <f t="shared" si="55"/>
        <v>105.44644510400001</v>
      </c>
      <c r="F725" s="6">
        <f t="shared" si="56"/>
        <v>137.08037863520002</v>
      </c>
      <c r="G725" s="7">
        <f t="shared" si="57"/>
        <v>147.62502314560001</v>
      </c>
      <c r="H725" s="8">
        <f t="shared" si="58"/>
        <v>158.169667656</v>
      </c>
      <c r="I725" s="9">
        <f t="shared" si="59"/>
        <v>168.71431216640002</v>
      </c>
    </row>
    <row r="726" spans="1:9" x14ac:dyDescent="0.35">
      <c r="A726" s="18" t="s">
        <v>1236</v>
      </c>
      <c r="B726" s="18" t="s">
        <v>2828</v>
      </c>
      <c r="C726" s="20">
        <v>45649</v>
      </c>
      <c r="D726" s="11">
        <v>124.12175999999999</v>
      </c>
      <c r="E726" s="27">
        <f t="shared" si="55"/>
        <v>138.172343232</v>
      </c>
      <c r="F726" s="6">
        <f t="shared" si="56"/>
        <v>179.62404620160001</v>
      </c>
      <c r="G726" s="7">
        <f t="shared" si="57"/>
        <v>193.44128052479999</v>
      </c>
      <c r="H726" s="8">
        <f t="shared" si="58"/>
        <v>207.258514848</v>
      </c>
      <c r="I726" s="9">
        <f t="shared" si="59"/>
        <v>221.07574917120002</v>
      </c>
    </row>
    <row r="727" spans="1:9" x14ac:dyDescent="0.35">
      <c r="A727" s="18" t="s">
        <v>2801</v>
      </c>
      <c r="B727" s="18" t="s">
        <v>2829</v>
      </c>
      <c r="C727" s="20">
        <v>45649</v>
      </c>
      <c r="D727" s="11">
        <v>335.02572000000004</v>
      </c>
      <c r="E727" s="27">
        <f t="shared" si="55"/>
        <v>372.95063150400006</v>
      </c>
      <c r="F727" s="6">
        <f t="shared" si="56"/>
        <v>484.83582095520006</v>
      </c>
      <c r="G727" s="7">
        <f t="shared" si="57"/>
        <v>522.1308841056001</v>
      </c>
      <c r="H727" s="8">
        <f t="shared" si="58"/>
        <v>559.42594725600009</v>
      </c>
      <c r="I727" s="9">
        <f t="shared" si="59"/>
        <v>596.72101040640007</v>
      </c>
    </row>
    <row r="728" spans="1:9" x14ac:dyDescent="0.35">
      <c r="A728" s="18" t="s">
        <v>2802</v>
      </c>
      <c r="B728" s="18" t="s">
        <v>2830</v>
      </c>
      <c r="C728" s="20">
        <v>45649</v>
      </c>
      <c r="D728" s="11">
        <v>454.65732000000008</v>
      </c>
      <c r="E728" s="27">
        <f t="shared" si="55"/>
        <v>506.12452862400005</v>
      </c>
      <c r="F728" s="6">
        <f t="shared" si="56"/>
        <v>657.96188721120006</v>
      </c>
      <c r="G728" s="7">
        <f t="shared" si="57"/>
        <v>708.57434007360007</v>
      </c>
      <c r="H728" s="8">
        <f t="shared" si="58"/>
        <v>759.18679293600007</v>
      </c>
      <c r="I728" s="9">
        <f t="shared" si="59"/>
        <v>809.79924579840008</v>
      </c>
    </row>
    <row r="729" spans="1:9" x14ac:dyDescent="0.35">
      <c r="A729" s="18" t="s">
        <v>2803</v>
      </c>
      <c r="B729" s="18" t="s">
        <v>2831</v>
      </c>
      <c r="C729" s="20">
        <v>45649</v>
      </c>
      <c r="D729" s="11">
        <v>710.2911600000001</v>
      </c>
      <c r="E729" s="27">
        <f t="shared" si="55"/>
        <v>790.69611931200006</v>
      </c>
      <c r="F729" s="6">
        <f t="shared" si="56"/>
        <v>1027.9049551056</v>
      </c>
      <c r="G729" s="7">
        <f t="shared" si="57"/>
        <v>1106.9745670368</v>
      </c>
      <c r="H729" s="8">
        <f t="shared" si="58"/>
        <v>1186.0441789680001</v>
      </c>
      <c r="I729" s="9">
        <f t="shared" si="59"/>
        <v>1265.1137908992002</v>
      </c>
    </row>
    <row r="730" spans="1:9" x14ac:dyDescent="0.35">
      <c r="A730" s="18" t="s">
        <v>3303</v>
      </c>
      <c r="B730" s="18" t="s">
        <v>3306</v>
      </c>
      <c r="C730" s="20">
        <v>45649</v>
      </c>
      <c r="D730" s="11">
        <v>161.12</v>
      </c>
      <c r="E730" s="27">
        <f t="shared" si="55"/>
        <v>179.35878399999999</v>
      </c>
      <c r="F730" s="6">
        <f t="shared" si="56"/>
        <v>233.16641919999998</v>
      </c>
      <c r="G730" s="7">
        <f t="shared" si="57"/>
        <v>251.10229759999996</v>
      </c>
      <c r="H730" s="8">
        <f t="shared" si="58"/>
        <v>269.03817599999996</v>
      </c>
      <c r="I730" s="9">
        <f t="shared" si="59"/>
        <v>286.9740544</v>
      </c>
    </row>
    <row r="731" spans="1:9" x14ac:dyDescent="0.35">
      <c r="A731" s="18" t="s">
        <v>3304</v>
      </c>
      <c r="B731" s="18" t="s">
        <v>3307</v>
      </c>
      <c r="C731" s="20">
        <v>45649</v>
      </c>
      <c r="D731" s="11">
        <v>297.86</v>
      </c>
      <c r="E731" s="27">
        <f t="shared" si="55"/>
        <v>331.57775199999998</v>
      </c>
      <c r="F731" s="6">
        <f t="shared" si="56"/>
        <v>431.05107759999999</v>
      </c>
      <c r="G731" s="7">
        <f t="shared" si="57"/>
        <v>464.20885279999993</v>
      </c>
      <c r="H731" s="8">
        <f t="shared" si="58"/>
        <v>497.36662799999999</v>
      </c>
      <c r="I731" s="9">
        <f t="shared" si="59"/>
        <v>530.52440319999994</v>
      </c>
    </row>
    <row r="732" spans="1:9" x14ac:dyDescent="0.35">
      <c r="A732" s="18" t="s">
        <v>3305</v>
      </c>
      <c r="B732" s="18" t="s">
        <v>3308</v>
      </c>
      <c r="C732" s="20">
        <v>45649</v>
      </c>
      <c r="D732" s="11">
        <v>331.78000000000003</v>
      </c>
      <c r="E732" s="27">
        <f t="shared" si="55"/>
        <v>369.33749600000004</v>
      </c>
      <c r="F732" s="6">
        <f t="shared" si="56"/>
        <v>480.1387448000001</v>
      </c>
      <c r="G732" s="7">
        <f t="shared" si="57"/>
        <v>517.07249439999998</v>
      </c>
      <c r="H732" s="8">
        <f t="shared" si="58"/>
        <v>554.00624400000004</v>
      </c>
      <c r="I732" s="9">
        <f t="shared" si="59"/>
        <v>590.93999360000009</v>
      </c>
    </row>
    <row r="733" spans="1:9" x14ac:dyDescent="0.35">
      <c r="A733" s="18" t="s">
        <v>5488</v>
      </c>
      <c r="B733" s="18" t="s">
        <v>5491</v>
      </c>
      <c r="C733" s="20">
        <v>45649</v>
      </c>
      <c r="D733" s="11">
        <v>591.48</v>
      </c>
      <c r="E733" s="27">
        <f t="shared" si="55"/>
        <v>658.43553599999996</v>
      </c>
      <c r="F733" s="6">
        <f t="shared" si="56"/>
        <v>855.96619679999992</v>
      </c>
      <c r="G733" s="7">
        <f t="shared" si="57"/>
        <v>921.80975039999987</v>
      </c>
      <c r="H733" s="8">
        <f t="shared" si="58"/>
        <v>987.65330399999993</v>
      </c>
      <c r="I733" s="9">
        <f t="shared" si="59"/>
        <v>1053.4968575999999</v>
      </c>
    </row>
    <row r="734" spans="1:9" x14ac:dyDescent="0.35">
      <c r="A734" s="18" t="s">
        <v>5489</v>
      </c>
      <c r="B734" s="18" t="s">
        <v>5492</v>
      </c>
      <c r="C734" s="20">
        <v>45649</v>
      </c>
      <c r="D734" s="11">
        <v>719.74</v>
      </c>
      <c r="E734" s="27">
        <f t="shared" si="55"/>
        <v>801.21456799999999</v>
      </c>
      <c r="F734" s="6">
        <f t="shared" si="56"/>
        <v>1041.5789384</v>
      </c>
      <c r="G734" s="7">
        <f t="shared" si="57"/>
        <v>1121.7003952</v>
      </c>
      <c r="H734" s="8">
        <f t="shared" si="58"/>
        <v>1201.821852</v>
      </c>
      <c r="I734" s="9">
        <f t="shared" si="59"/>
        <v>1281.9433088000001</v>
      </c>
    </row>
    <row r="735" spans="1:9" x14ac:dyDescent="0.35">
      <c r="A735" s="18" t="s">
        <v>5490</v>
      </c>
      <c r="B735" s="18" t="s">
        <v>5493</v>
      </c>
      <c r="C735" s="20">
        <v>45649</v>
      </c>
      <c r="D735" s="11">
        <v>1195.68</v>
      </c>
      <c r="E735" s="27">
        <f t="shared" si="55"/>
        <v>1331.030976</v>
      </c>
      <c r="F735" s="6">
        <f t="shared" si="56"/>
        <v>1730.3402688000001</v>
      </c>
      <c r="G735" s="7">
        <f t="shared" si="57"/>
        <v>1863.4433663999998</v>
      </c>
      <c r="H735" s="8">
        <f t="shared" si="58"/>
        <v>1996.546464</v>
      </c>
      <c r="I735" s="9">
        <f t="shared" si="59"/>
        <v>2129.6495616000002</v>
      </c>
    </row>
    <row r="736" spans="1:9" x14ac:dyDescent="0.35">
      <c r="C736" s="20">
        <v>45649</v>
      </c>
      <c r="D736" s="11">
        <v>0</v>
      </c>
      <c r="E736" s="27">
        <f t="shared" si="55"/>
        <v>0</v>
      </c>
      <c r="F736" s="6">
        <f t="shared" si="56"/>
        <v>0</v>
      </c>
      <c r="G736" s="7">
        <f t="shared" si="57"/>
        <v>0</v>
      </c>
      <c r="H736" s="8">
        <f t="shared" si="58"/>
        <v>0</v>
      </c>
      <c r="I736" s="9">
        <f t="shared" si="59"/>
        <v>0</v>
      </c>
    </row>
    <row r="737" spans="1:9" x14ac:dyDescent="0.35">
      <c r="A737" s="18" t="s">
        <v>1237</v>
      </c>
      <c r="B737" s="18" t="s">
        <v>2832</v>
      </c>
      <c r="C737" s="20">
        <v>45649</v>
      </c>
      <c r="D737" s="11">
        <v>80.09147999999999</v>
      </c>
      <c r="E737" s="27">
        <f t="shared" si="55"/>
        <v>89.157835535999993</v>
      </c>
      <c r="F737" s="6">
        <f t="shared" si="56"/>
        <v>115.90518619679999</v>
      </c>
      <c r="G737" s="7">
        <f t="shared" si="57"/>
        <v>124.82096975039998</v>
      </c>
      <c r="H737" s="8">
        <f t="shared" si="58"/>
        <v>133.73675330399999</v>
      </c>
      <c r="I737" s="9">
        <f t="shared" si="59"/>
        <v>142.65253685759998</v>
      </c>
    </row>
    <row r="738" spans="1:9" x14ac:dyDescent="0.35">
      <c r="A738" s="18" t="s">
        <v>1238</v>
      </c>
      <c r="B738" s="18" t="s">
        <v>2833</v>
      </c>
      <c r="C738" s="20">
        <v>45649</v>
      </c>
      <c r="D738" s="11">
        <v>111.12192</v>
      </c>
      <c r="E738" s="27">
        <f t="shared" si="55"/>
        <v>123.70092134400001</v>
      </c>
      <c r="F738" s="6">
        <f t="shared" si="56"/>
        <v>160.81119774720003</v>
      </c>
      <c r="G738" s="7">
        <f t="shared" si="57"/>
        <v>173.18128988160001</v>
      </c>
      <c r="H738" s="8">
        <f t="shared" si="58"/>
        <v>185.55138201600002</v>
      </c>
      <c r="I738" s="9">
        <f t="shared" si="59"/>
        <v>197.92147415040003</v>
      </c>
    </row>
    <row r="739" spans="1:9" x14ac:dyDescent="0.35">
      <c r="A739" s="18" t="s">
        <v>1239</v>
      </c>
      <c r="B739" s="18" t="s">
        <v>2834</v>
      </c>
      <c r="C739" s="20">
        <v>45649</v>
      </c>
      <c r="D739" s="11">
        <v>167.49908000000002</v>
      </c>
      <c r="E739" s="27">
        <f t="shared" si="55"/>
        <v>186.45997585600003</v>
      </c>
      <c r="F739" s="6">
        <f t="shared" si="56"/>
        <v>242.39796861280004</v>
      </c>
      <c r="G739" s="7">
        <f t="shared" si="57"/>
        <v>261.04396619840003</v>
      </c>
      <c r="H739" s="8">
        <f t="shared" si="58"/>
        <v>279.68996378400004</v>
      </c>
      <c r="I739" s="9">
        <f t="shared" si="59"/>
        <v>298.33596136960006</v>
      </c>
    </row>
    <row r="740" spans="1:9" x14ac:dyDescent="0.35">
      <c r="A740" s="18" t="s">
        <v>2804</v>
      </c>
      <c r="B740" s="18" t="s">
        <v>2835</v>
      </c>
      <c r="C740" s="20">
        <v>45649</v>
      </c>
      <c r="D740" s="11">
        <v>517.16340000000002</v>
      </c>
      <c r="E740" s="27">
        <f t="shared" si="55"/>
        <v>575.70629687999997</v>
      </c>
      <c r="F740" s="6">
        <f t="shared" si="56"/>
        <v>748.41818594400002</v>
      </c>
      <c r="G740" s="7">
        <f t="shared" si="57"/>
        <v>805.98881563199996</v>
      </c>
      <c r="H740" s="8">
        <f t="shared" si="58"/>
        <v>863.5594453199999</v>
      </c>
      <c r="I740" s="9">
        <f t="shared" si="59"/>
        <v>921.13007500799995</v>
      </c>
    </row>
    <row r="741" spans="1:9" x14ac:dyDescent="0.35">
      <c r="A741" s="18" t="s">
        <v>2805</v>
      </c>
      <c r="B741" s="18" t="s">
        <v>2836</v>
      </c>
      <c r="C741" s="20">
        <v>45649</v>
      </c>
      <c r="D741" s="11">
        <v>743.6191500000001</v>
      </c>
      <c r="E741" s="27">
        <f t="shared" si="55"/>
        <v>827.79683778000015</v>
      </c>
      <c r="F741" s="6">
        <f t="shared" si="56"/>
        <v>1076.1358891140003</v>
      </c>
      <c r="G741" s="7">
        <f t="shared" si="57"/>
        <v>1158.9155728920002</v>
      </c>
      <c r="H741" s="8">
        <f t="shared" si="58"/>
        <v>1241.6952566700002</v>
      </c>
      <c r="I741" s="9">
        <f t="shared" si="59"/>
        <v>1324.4749404480003</v>
      </c>
    </row>
    <row r="742" spans="1:9" x14ac:dyDescent="0.35">
      <c r="A742" s="18" t="s">
        <v>2806</v>
      </c>
      <c r="B742" s="18" t="s">
        <v>2837</v>
      </c>
      <c r="C742" s="20">
        <v>45649</v>
      </c>
      <c r="D742" s="11">
        <v>1152.9567000000002</v>
      </c>
      <c r="E742" s="27">
        <f t="shared" si="55"/>
        <v>1283.4713984400003</v>
      </c>
      <c r="F742" s="6">
        <f t="shared" si="56"/>
        <v>1668.5128179720004</v>
      </c>
      <c r="G742" s="7">
        <f t="shared" si="57"/>
        <v>1796.8599578160001</v>
      </c>
      <c r="H742" s="8">
        <f t="shared" si="58"/>
        <v>1925.2070976600003</v>
      </c>
      <c r="I742" s="9">
        <f t="shared" si="59"/>
        <v>2053.5542375040004</v>
      </c>
    </row>
    <row r="743" spans="1:9" x14ac:dyDescent="0.35">
      <c r="C743" s="20">
        <v>45649</v>
      </c>
      <c r="D743" s="11">
        <v>0</v>
      </c>
      <c r="E743" s="27">
        <f t="shared" si="55"/>
        <v>0</v>
      </c>
      <c r="F743" s="6">
        <f t="shared" si="56"/>
        <v>0</v>
      </c>
      <c r="G743" s="7">
        <f t="shared" si="57"/>
        <v>0</v>
      </c>
      <c r="H743" s="8">
        <f t="shared" si="58"/>
        <v>0</v>
      </c>
      <c r="I743" s="9">
        <f t="shared" si="59"/>
        <v>0</v>
      </c>
    </row>
    <row r="744" spans="1:9" x14ac:dyDescent="0.35">
      <c r="A744" s="18" t="s">
        <v>1240</v>
      </c>
      <c r="B744" s="18" t="s">
        <v>2639</v>
      </c>
      <c r="C744" s="20">
        <v>45649</v>
      </c>
      <c r="D744" s="11">
        <v>61.823439999999991</v>
      </c>
      <c r="E744" s="27">
        <f t="shared" si="55"/>
        <v>68.821853407999981</v>
      </c>
      <c r="F744" s="6">
        <f t="shared" si="56"/>
        <v>89.468409430399973</v>
      </c>
      <c r="G744" s="7">
        <f t="shared" si="57"/>
        <v>96.350594771199965</v>
      </c>
      <c r="H744" s="8">
        <f t="shared" si="58"/>
        <v>103.23278011199997</v>
      </c>
      <c r="I744" s="9">
        <f t="shared" si="59"/>
        <v>110.11496545279998</v>
      </c>
    </row>
    <row r="745" spans="1:9" x14ac:dyDescent="0.35">
      <c r="A745" s="18" t="s">
        <v>339</v>
      </c>
      <c r="B745" s="18" t="s">
        <v>2640</v>
      </c>
      <c r="C745" s="20">
        <v>45649</v>
      </c>
      <c r="D745" s="11">
        <v>71.335880000000003</v>
      </c>
      <c r="E745" s="27">
        <f t="shared" si="55"/>
        <v>79.41110161600001</v>
      </c>
      <c r="F745" s="6">
        <f t="shared" si="56"/>
        <v>103.23443210080002</v>
      </c>
      <c r="G745" s="7">
        <f t="shared" si="57"/>
        <v>111.17554226240001</v>
      </c>
      <c r="H745" s="8">
        <f t="shared" si="58"/>
        <v>119.11665242400002</v>
      </c>
      <c r="I745" s="9">
        <f t="shared" si="59"/>
        <v>127.05776258560002</v>
      </c>
    </row>
    <row r="746" spans="1:9" x14ac:dyDescent="0.35">
      <c r="A746" s="18" t="s">
        <v>340</v>
      </c>
      <c r="B746" s="18" t="s">
        <v>2641</v>
      </c>
      <c r="C746" s="20">
        <v>45649</v>
      </c>
      <c r="D746" s="11">
        <v>106.15052</v>
      </c>
      <c r="E746" s="27">
        <f t="shared" si="55"/>
        <v>118.16675886399999</v>
      </c>
      <c r="F746" s="6">
        <f t="shared" si="56"/>
        <v>153.61678652319998</v>
      </c>
      <c r="G746" s="7">
        <f t="shared" si="57"/>
        <v>165.43346240959997</v>
      </c>
      <c r="H746" s="8">
        <f t="shared" si="58"/>
        <v>177.25013829599999</v>
      </c>
      <c r="I746" s="9">
        <f t="shared" si="59"/>
        <v>189.06681418239998</v>
      </c>
    </row>
    <row r="747" spans="1:9" x14ac:dyDescent="0.35">
      <c r="A747" s="18" t="s">
        <v>2807</v>
      </c>
      <c r="B747" s="18" t="s">
        <v>2642</v>
      </c>
      <c r="C747" s="20">
        <v>45649</v>
      </c>
      <c r="D747" s="11">
        <v>234.54090000000002</v>
      </c>
      <c r="E747" s="27">
        <f t="shared" si="55"/>
        <v>261.09092988000003</v>
      </c>
      <c r="F747" s="6">
        <f t="shared" si="56"/>
        <v>339.41820884400005</v>
      </c>
      <c r="G747" s="7">
        <f t="shared" si="57"/>
        <v>365.52730183200003</v>
      </c>
      <c r="H747" s="8">
        <f t="shared" si="58"/>
        <v>391.63639482000008</v>
      </c>
      <c r="I747" s="9">
        <f t="shared" si="59"/>
        <v>417.74548780800006</v>
      </c>
    </row>
    <row r="748" spans="1:9" x14ac:dyDescent="0.35">
      <c r="A748" s="18" t="s">
        <v>2808</v>
      </c>
      <c r="B748" s="18" t="s">
        <v>2643</v>
      </c>
      <c r="C748" s="20">
        <v>45649</v>
      </c>
      <c r="D748" s="11">
        <v>286.62930000000006</v>
      </c>
      <c r="E748" s="27">
        <f t="shared" si="55"/>
        <v>319.0757367600001</v>
      </c>
      <c r="F748" s="6">
        <f t="shared" si="56"/>
        <v>414.79845778800012</v>
      </c>
      <c r="G748" s="7">
        <f t="shared" si="57"/>
        <v>446.70603146400009</v>
      </c>
      <c r="H748" s="8">
        <f t="shared" si="58"/>
        <v>478.61360514000012</v>
      </c>
      <c r="I748" s="9">
        <f t="shared" si="59"/>
        <v>510.5211788160002</v>
      </c>
    </row>
    <row r="749" spans="1:9" x14ac:dyDescent="0.35">
      <c r="A749" s="18" t="s">
        <v>2809</v>
      </c>
      <c r="B749" s="18" t="s">
        <v>2644</v>
      </c>
      <c r="C749" s="20">
        <v>45649</v>
      </c>
      <c r="D749" s="11">
        <v>462.35610000000008</v>
      </c>
      <c r="E749" s="27">
        <f t="shared" si="55"/>
        <v>514.69481052000015</v>
      </c>
      <c r="F749" s="6">
        <f t="shared" si="56"/>
        <v>669.10325367600024</v>
      </c>
      <c r="G749" s="7">
        <f t="shared" si="57"/>
        <v>720.57273472800011</v>
      </c>
      <c r="H749" s="8">
        <f t="shared" si="58"/>
        <v>772.04221578000022</v>
      </c>
      <c r="I749" s="9">
        <f t="shared" si="59"/>
        <v>823.51169683200033</v>
      </c>
    </row>
    <row r="750" spans="1:9" x14ac:dyDescent="0.35">
      <c r="C750" s="20">
        <v>45649</v>
      </c>
      <c r="D750" s="11">
        <v>0</v>
      </c>
      <c r="E750" s="27">
        <f t="shared" si="55"/>
        <v>0</v>
      </c>
      <c r="F750" s="6">
        <f t="shared" si="56"/>
        <v>0</v>
      </c>
      <c r="G750" s="7">
        <f t="shared" si="57"/>
        <v>0</v>
      </c>
      <c r="H750" s="8">
        <f t="shared" si="58"/>
        <v>0</v>
      </c>
      <c r="I750" s="9">
        <f t="shared" si="59"/>
        <v>0</v>
      </c>
    </row>
    <row r="751" spans="1:9" x14ac:dyDescent="0.35">
      <c r="A751" s="18" t="s">
        <v>341</v>
      </c>
      <c r="B751" s="18" t="s">
        <v>2645</v>
      </c>
      <c r="C751" s="20">
        <v>45649</v>
      </c>
      <c r="D751" s="11">
        <v>70.490000000000009</v>
      </c>
      <c r="E751" s="27">
        <f t="shared" si="55"/>
        <v>78.469468000000006</v>
      </c>
      <c r="F751" s="6">
        <f t="shared" si="56"/>
        <v>102.01030840000001</v>
      </c>
      <c r="G751" s="7">
        <f t="shared" si="57"/>
        <v>109.8572552</v>
      </c>
      <c r="H751" s="8">
        <f t="shared" si="58"/>
        <v>117.70420200000001</v>
      </c>
      <c r="I751" s="9">
        <f t="shared" si="59"/>
        <v>125.55114880000002</v>
      </c>
    </row>
    <row r="752" spans="1:9" x14ac:dyDescent="0.35">
      <c r="A752" s="18" t="s">
        <v>342</v>
      </c>
      <c r="B752" s="18" t="s">
        <v>2646</v>
      </c>
      <c r="C752" s="20">
        <v>45649</v>
      </c>
      <c r="D752" s="11">
        <v>79.215919999999997</v>
      </c>
      <c r="E752" s="27">
        <f t="shared" si="55"/>
        <v>88.183162143999994</v>
      </c>
      <c r="F752" s="6">
        <f t="shared" si="56"/>
        <v>114.63811078719999</v>
      </c>
      <c r="G752" s="7">
        <f t="shared" si="57"/>
        <v>123.45642700159998</v>
      </c>
      <c r="H752" s="8">
        <f t="shared" si="58"/>
        <v>132.27474321599999</v>
      </c>
      <c r="I752" s="9">
        <f t="shared" si="59"/>
        <v>141.09305943039999</v>
      </c>
    </row>
    <row r="753" spans="1:9" x14ac:dyDescent="0.35">
      <c r="A753" s="18" t="s">
        <v>343</v>
      </c>
      <c r="B753" s="18" t="s">
        <v>2647</v>
      </c>
      <c r="C753" s="20">
        <v>45649</v>
      </c>
      <c r="D753" s="11">
        <v>79.824359999999999</v>
      </c>
      <c r="E753" s="27">
        <f t="shared" si="55"/>
        <v>88.860477551999992</v>
      </c>
      <c r="F753" s="6">
        <f t="shared" si="56"/>
        <v>115.5186208176</v>
      </c>
      <c r="G753" s="7">
        <f t="shared" si="57"/>
        <v>124.40466857279998</v>
      </c>
      <c r="H753" s="8">
        <f t="shared" si="58"/>
        <v>133.29071632799997</v>
      </c>
      <c r="I753" s="9">
        <f t="shared" si="59"/>
        <v>142.1767640832</v>
      </c>
    </row>
    <row r="754" spans="1:9" x14ac:dyDescent="0.35">
      <c r="A754" s="18" t="s">
        <v>2810</v>
      </c>
      <c r="B754" s="18" t="s">
        <v>273</v>
      </c>
      <c r="C754" s="20">
        <v>45649</v>
      </c>
      <c r="D754" s="11">
        <v>297.86</v>
      </c>
      <c r="E754" s="27">
        <f t="shared" si="55"/>
        <v>331.57775199999998</v>
      </c>
      <c r="F754" s="6">
        <f t="shared" si="56"/>
        <v>431.05107759999999</v>
      </c>
      <c r="G754" s="7">
        <f t="shared" si="57"/>
        <v>464.20885279999993</v>
      </c>
      <c r="H754" s="8">
        <f t="shared" si="58"/>
        <v>497.36662799999999</v>
      </c>
      <c r="I754" s="9">
        <f t="shared" si="59"/>
        <v>530.52440319999994</v>
      </c>
    </row>
    <row r="755" spans="1:9" x14ac:dyDescent="0.35">
      <c r="A755" s="18" t="s">
        <v>2811</v>
      </c>
      <c r="B755" s="18" t="s">
        <v>2648</v>
      </c>
      <c r="C755" s="20">
        <v>45649</v>
      </c>
      <c r="D755" s="11">
        <v>316.94</v>
      </c>
      <c r="E755" s="27">
        <f t="shared" si="55"/>
        <v>352.81760800000001</v>
      </c>
      <c r="F755" s="6">
        <f t="shared" si="56"/>
        <v>458.66289040000004</v>
      </c>
      <c r="G755" s="7">
        <f t="shared" si="57"/>
        <v>493.94465119999995</v>
      </c>
      <c r="H755" s="8">
        <f t="shared" si="58"/>
        <v>529.22641199999998</v>
      </c>
      <c r="I755" s="9">
        <f t="shared" si="59"/>
        <v>564.50817280000001</v>
      </c>
    </row>
    <row r="756" spans="1:9" x14ac:dyDescent="0.35">
      <c r="A756" s="18" t="s">
        <v>2812</v>
      </c>
      <c r="B756" s="18" t="s">
        <v>2649</v>
      </c>
      <c r="C756" s="20">
        <v>45649</v>
      </c>
      <c r="D756" s="11">
        <v>501.38000000000005</v>
      </c>
      <c r="E756" s="27">
        <f t="shared" si="55"/>
        <v>558.13621599999999</v>
      </c>
      <c r="F756" s="6">
        <f t="shared" si="56"/>
        <v>725.57708079999998</v>
      </c>
      <c r="G756" s="7">
        <f t="shared" si="57"/>
        <v>781.3907023999999</v>
      </c>
      <c r="H756" s="8">
        <f t="shared" si="58"/>
        <v>837.20432400000004</v>
      </c>
      <c r="I756" s="9">
        <f t="shared" si="59"/>
        <v>893.01794560000008</v>
      </c>
    </row>
    <row r="757" spans="1:9" x14ac:dyDescent="0.35">
      <c r="C757" s="20">
        <v>45649</v>
      </c>
      <c r="D757" s="11">
        <v>0</v>
      </c>
      <c r="E757" s="27">
        <f t="shared" si="55"/>
        <v>0</v>
      </c>
      <c r="F757" s="6">
        <f t="shared" si="56"/>
        <v>0</v>
      </c>
      <c r="G757" s="7">
        <f t="shared" si="57"/>
        <v>0</v>
      </c>
      <c r="H757" s="8">
        <f t="shared" si="58"/>
        <v>0</v>
      </c>
      <c r="I757" s="9">
        <f t="shared" si="59"/>
        <v>0</v>
      </c>
    </row>
    <row r="758" spans="1:9" x14ac:dyDescent="0.35">
      <c r="A758" s="18" t="s">
        <v>344</v>
      </c>
      <c r="B758" s="18" t="s">
        <v>2650</v>
      </c>
      <c r="C758" s="20">
        <v>45649</v>
      </c>
      <c r="D758" s="11">
        <v>67.3</v>
      </c>
      <c r="E758" s="27">
        <f t="shared" si="55"/>
        <v>74.918359999999993</v>
      </c>
      <c r="F758" s="6">
        <f t="shared" si="56"/>
        <v>97.393867999999998</v>
      </c>
      <c r="G758" s="7">
        <f t="shared" si="57"/>
        <v>104.88570399999999</v>
      </c>
      <c r="H758" s="8">
        <f t="shared" si="58"/>
        <v>112.37753999999998</v>
      </c>
      <c r="I758" s="9">
        <f t="shared" si="59"/>
        <v>119.86937599999999</v>
      </c>
    </row>
    <row r="759" spans="1:9" x14ac:dyDescent="0.35">
      <c r="A759" s="18" t="s">
        <v>345</v>
      </c>
      <c r="B759" s="18" t="s">
        <v>2651</v>
      </c>
      <c r="C759" s="20">
        <v>45649</v>
      </c>
      <c r="D759" s="11">
        <v>134.44245000000001</v>
      </c>
      <c r="E759" s="27">
        <f t="shared" si="55"/>
        <v>149.66133533999999</v>
      </c>
      <c r="F759" s="6">
        <f t="shared" si="56"/>
        <v>194.559735942</v>
      </c>
      <c r="G759" s="7">
        <f t="shared" si="57"/>
        <v>209.52586947599997</v>
      </c>
      <c r="H759" s="8">
        <f t="shared" si="58"/>
        <v>224.49200300999999</v>
      </c>
      <c r="I759" s="9">
        <f t="shared" si="59"/>
        <v>239.45813654400001</v>
      </c>
    </row>
    <row r="760" spans="1:9" x14ac:dyDescent="0.35">
      <c r="A760" s="18" t="s">
        <v>346</v>
      </c>
      <c r="B760" s="18" t="s">
        <v>2652</v>
      </c>
      <c r="C760" s="20">
        <v>45649</v>
      </c>
      <c r="D760" s="11">
        <v>202.91580000000005</v>
      </c>
      <c r="E760" s="27">
        <f t="shared" si="55"/>
        <v>225.88586856000006</v>
      </c>
      <c r="F760" s="6">
        <f t="shared" si="56"/>
        <v>293.65162912800008</v>
      </c>
      <c r="G760" s="7">
        <f t="shared" si="57"/>
        <v>316.24021598400009</v>
      </c>
      <c r="H760" s="8">
        <f t="shared" si="58"/>
        <v>338.82880284000009</v>
      </c>
      <c r="I760" s="9">
        <f t="shared" si="59"/>
        <v>361.4173896960001</v>
      </c>
    </row>
    <row r="761" spans="1:9" x14ac:dyDescent="0.35">
      <c r="A761" s="18" t="s">
        <v>2813</v>
      </c>
      <c r="B761" s="18" t="s">
        <v>2653</v>
      </c>
      <c r="C761" s="20">
        <v>45649</v>
      </c>
      <c r="D761" s="11">
        <v>439.60320000000007</v>
      </c>
      <c r="E761" s="27">
        <f t="shared" si="55"/>
        <v>489.36628224000009</v>
      </c>
      <c r="F761" s="6">
        <f t="shared" si="56"/>
        <v>636.1761669120001</v>
      </c>
      <c r="G761" s="7">
        <f t="shared" si="57"/>
        <v>685.11279513600005</v>
      </c>
      <c r="H761" s="8">
        <f t="shared" si="58"/>
        <v>734.04942336000011</v>
      </c>
      <c r="I761" s="9">
        <f t="shared" si="59"/>
        <v>782.98605158400017</v>
      </c>
    </row>
    <row r="762" spans="1:9" x14ac:dyDescent="0.35">
      <c r="A762" s="18" t="s">
        <v>2814</v>
      </c>
      <c r="B762" s="18" t="s">
        <v>2654</v>
      </c>
      <c r="C762" s="20">
        <v>45649</v>
      </c>
      <c r="D762" s="11">
        <v>503.35425000000004</v>
      </c>
      <c r="E762" s="27">
        <f t="shared" si="55"/>
        <v>560.33395110000004</v>
      </c>
      <c r="F762" s="6">
        <f t="shared" si="56"/>
        <v>728.43413643000008</v>
      </c>
      <c r="G762" s="7">
        <f t="shared" si="57"/>
        <v>784.46753153999998</v>
      </c>
      <c r="H762" s="8">
        <f t="shared" si="58"/>
        <v>840.50092665000011</v>
      </c>
      <c r="I762" s="9">
        <f t="shared" si="59"/>
        <v>896.53432176000013</v>
      </c>
    </row>
    <row r="763" spans="1:9" x14ac:dyDescent="0.35">
      <c r="A763" s="18" t="s">
        <v>2815</v>
      </c>
      <c r="B763" s="18" t="s">
        <v>2655</v>
      </c>
      <c r="C763" s="20">
        <v>45649</v>
      </c>
      <c r="D763" s="11">
        <v>732.81510000000003</v>
      </c>
      <c r="E763" s="27">
        <f t="shared" si="55"/>
        <v>815.76976932000002</v>
      </c>
      <c r="F763" s="6">
        <f t="shared" si="56"/>
        <v>1060.500700116</v>
      </c>
      <c r="G763" s="7">
        <f t="shared" si="57"/>
        <v>1142.0776770479999</v>
      </c>
      <c r="H763" s="8">
        <f t="shared" si="58"/>
        <v>1223.6546539800001</v>
      </c>
      <c r="I763" s="9">
        <f t="shared" si="59"/>
        <v>1305.2316309120001</v>
      </c>
    </row>
    <row r="764" spans="1:9" x14ac:dyDescent="0.35">
      <c r="C764" s="20">
        <v>45649</v>
      </c>
      <c r="D764" s="11">
        <v>0</v>
      </c>
      <c r="E764" s="27">
        <f t="shared" si="55"/>
        <v>0</v>
      </c>
      <c r="F764" s="6">
        <f t="shared" si="56"/>
        <v>0</v>
      </c>
      <c r="G764" s="7">
        <f t="shared" si="57"/>
        <v>0</v>
      </c>
      <c r="H764" s="8">
        <f t="shared" si="58"/>
        <v>0</v>
      </c>
      <c r="I764" s="9">
        <f t="shared" si="59"/>
        <v>0</v>
      </c>
    </row>
    <row r="765" spans="1:9" x14ac:dyDescent="0.35">
      <c r="A765" s="18" t="s">
        <v>1803</v>
      </c>
      <c r="B765" s="18" t="s">
        <v>1734</v>
      </c>
      <c r="C765" s="20">
        <v>45649</v>
      </c>
      <c r="D765" s="11">
        <v>179.5109945921553</v>
      </c>
      <c r="E765" s="27">
        <f t="shared" si="55"/>
        <v>199.83163917998729</v>
      </c>
      <c r="F765" s="6">
        <f t="shared" si="56"/>
        <v>259.78113093398349</v>
      </c>
      <c r="G765" s="7">
        <f t="shared" si="57"/>
        <v>279.76429485198219</v>
      </c>
      <c r="H765" s="8">
        <f t="shared" si="58"/>
        <v>299.74745876998094</v>
      </c>
      <c r="I765" s="9">
        <f t="shared" si="59"/>
        <v>319.73062268797969</v>
      </c>
    </row>
    <row r="766" spans="1:9" x14ac:dyDescent="0.35">
      <c r="A766" s="18" t="s">
        <v>1804</v>
      </c>
      <c r="B766" s="18" t="s">
        <v>1735</v>
      </c>
      <c r="C766" s="20">
        <v>45649</v>
      </c>
      <c r="D766" s="11">
        <v>194.77500000000001</v>
      </c>
      <c r="E766" s="27">
        <f t="shared" si="55"/>
        <v>216.82353000000001</v>
      </c>
      <c r="F766" s="6">
        <f t="shared" si="56"/>
        <v>281.870589</v>
      </c>
      <c r="G766" s="7">
        <f t="shared" si="57"/>
        <v>303.55294199999997</v>
      </c>
      <c r="H766" s="8">
        <f t="shared" si="58"/>
        <v>325.23529500000001</v>
      </c>
      <c r="I766" s="9">
        <f t="shared" si="59"/>
        <v>346.91764800000004</v>
      </c>
    </row>
    <row r="767" spans="1:9" x14ac:dyDescent="0.35">
      <c r="A767" s="18" t="s">
        <v>1805</v>
      </c>
      <c r="B767" s="18" t="s">
        <v>519</v>
      </c>
      <c r="C767" s="20">
        <v>45649</v>
      </c>
      <c r="D767" s="11">
        <v>244.30350000000004</v>
      </c>
      <c r="E767" s="27">
        <f t="shared" si="55"/>
        <v>271.95865620000006</v>
      </c>
      <c r="F767" s="6">
        <f t="shared" si="56"/>
        <v>353.54625306000008</v>
      </c>
      <c r="G767" s="7">
        <f t="shared" si="57"/>
        <v>380.74211868000009</v>
      </c>
      <c r="H767" s="8">
        <f t="shared" si="58"/>
        <v>407.9379843000001</v>
      </c>
      <c r="I767" s="9">
        <f t="shared" si="59"/>
        <v>435.1338499200001</v>
      </c>
    </row>
    <row r="768" spans="1:9" x14ac:dyDescent="0.35">
      <c r="A768" s="18" t="s">
        <v>2816</v>
      </c>
      <c r="B768" s="18" t="s">
        <v>520</v>
      </c>
      <c r="C768" s="20">
        <v>45649</v>
      </c>
      <c r="D768" s="11">
        <v>226.21725000000004</v>
      </c>
      <c r="E768" s="27">
        <f t="shared" si="55"/>
        <v>251.82504270000007</v>
      </c>
      <c r="F768" s="6">
        <f t="shared" si="56"/>
        <v>327.3725555100001</v>
      </c>
      <c r="G768" s="7">
        <f t="shared" si="57"/>
        <v>352.55505978000008</v>
      </c>
      <c r="H768" s="8">
        <f t="shared" si="58"/>
        <v>377.73756405000012</v>
      </c>
      <c r="I768" s="9">
        <f t="shared" si="59"/>
        <v>402.92006832000015</v>
      </c>
    </row>
    <row r="769" spans="1:9" x14ac:dyDescent="0.35">
      <c r="A769" s="18" t="s">
        <v>5484</v>
      </c>
      <c r="B769" s="18" t="s">
        <v>5486</v>
      </c>
      <c r="C769" s="20">
        <v>45649</v>
      </c>
      <c r="D769" s="11">
        <v>197.5388081516239</v>
      </c>
      <c r="E769" s="27">
        <f t="shared" si="55"/>
        <v>219.90020123438771</v>
      </c>
      <c r="F769" s="6">
        <f t="shared" si="56"/>
        <v>285.87026160470401</v>
      </c>
      <c r="G769" s="7">
        <f t="shared" si="57"/>
        <v>307.86028172814275</v>
      </c>
      <c r="H769" s="8">
        <f t="shared" si="58"/>
        <v>329.85030185158155</v>
      </c>
      <c r="I769" s="9">
        <f t="shared" si="59"/>
        <v>351.84032197502034</v>
      </c>
    </row>
    <row r="770" spans="1:9" x14ac:dyDescent="0.35">
      <c r="A770" s="18" t="s">
        <v>5485</v>
      </c>
      <c r="B770" s="18" t="s">
        <v>5487</v>
      </c>
      <c r="C770" s="20">
        <v>45649</v>
      </c>
      <c r="D770" s="11">
        <v>197.5388081516239</v>
      </c>
      <c r="E770" s="27">
        <f t="shared" si="55"/>
        <v>219.90020123438771</v>
      </c>
      <c r="F770" s="6">
        <f t="shared" si="56"/>
        <v>285.87026160470401</v>
      </c>
      <c r="G770" s="7">
        <f t="shared" si="57"/>
        <v>307.86028172814275</v>
      </c>
      <c r="H770" s="8">
        <f t="shared" si="58"/>
        <v>329.85030185158155</v>
      </c>
      <c r="I770" s="9">
        <f t="shared" si="59"/>
        <v>351.84032197502034</v>
      </c>
    </row>
    <row r="771" spans="1:9" x14ac:dyDescent="0.35">
      <c r="C771" s="20">
        <v>45649</v>
      </c>
      <c r="D771" s="11">
        <v>0</v>
      </c>
      <c r="E771" s="27">
        <f t="shared" si="55"/>
        <v>0</v>
      </c>
      <c r="F771" s="6">
        <f t="shared" si="56"/>
        <v>0</v>
      </c>
      <c r="G771" s="7">
        <f t="shared" si="57"/>
        <v>0</v>
      </c>
      <c r="H771" s="8">
        <f t="shared" si="58"/>
        <v>0</v>
      </c>
      <c r="I771" s="9">
        <f t="shared" si="59"/>
        <v>0</v>
      </c>
    </row>
    <row r="772" spans="1:9" x14ac:dyDescent="0.35">
      <c r="A772" s="18" t="s">
        <v>1806</v>
      </c>
      <c r="B772" s="18" t="s">
        <v>1736</v>
      </c>
      <c r="C772" s="20">
        <v>45649</v>
      </c>
      <c r="D772" s="11">
        <v>59.107719999999993</v>
      </c>
      <c r="E772" s="27">
        <f t="shared" si="55"/>
        <v>65.798713903999996</v>
      </c>
      <c r="F772" s="6">
        <f t="shared" si="56"/>
        <v>85.538328075199999</v>
      </c>
      <c r="G772" s="7">
        <f t="shared" si="57"/>
        <v>92.118199465599986</v>
      </c>
      <c r="H772" s="8">
        <f t="shared" si="58"/>
        <v>98.698070855999987</v>
      </c>
      <c r="I772" s="9">
        <f t="shared" si="59"/>
        <v>105.2779422464</v>
      </c>
    </row>
    <row r="773" spans="1:9" x14ac:dyDescent="0.35">
      <c r="A773" s="18" t="s">
        <v>1807</v>
      </c>
      <c r="B773" s="18" t="s">
        <v>1737</v>
      </c>
      <c r="C773" s="20">
        <v>45649</v>
      </c>
      <c r="D773" s="11">
        <v>77.568680000000001</v>
      </c>
      <c r="E773" s="27">
        <f t="shared" si="55"/>
        <v>86.349454575999999</v>
      </c>
      <c r="F773" s="6">
        <f t="shared" si="56"/>
        <v>112.2542909488</v>
      </c>
      <c r="G773" s="7">
        <f t="shared" si="57"/>
        <v>120.88923640639999</v>
      </c>
      <c r="H773" s="8">
        <f t="shared" si="58"/>
        <v>129.52418186400001</v>
      </c>
      <c r="I773" s="9">
        <f t="shared" si="59"/>
        <v>138.15912732160001</v>
      </c>
    </row>
    <row r="774" spans="1:9" x14ac:dyDescent="0.35">
      <c r="A774" s="18" t="s">
        <v>1808</v>
      </c>
      <c r="B774" s="18" t="s">
        <v>1738</v>
      </c>
      <c r="C774" s="20">
        <v>45649</v>
      </c>
      <c r="D774" s="11">
        <v>122.48936</v>
      </c>
      <c r="E774" s="27">
        <f t="shared" si="55"/>
        <v>136.35515555200001</v>
      </c>
      <c r="F774" s="6">
        <f t="shared" si="56"/>
        <v>177.26170221760003</v>
      </c>
      <c r="G774" s="7">
        <f t="shared" si="57"/>
        <v>190.89721777280002</v>
      </c>
      <c r="H774" s="8">
        <f t="shared" si="58"/>
        <v>204.53273332800001</v>
      </c>
      <c r="I774" s="9">
        <f t="shared" si="59"/>
        <v>218.16824888320002</v>
      </c>
    </row>
    <row r="775" spans="1:9" x14ac:dyDescent="0.35">
      <c r="A775" s="18" t="s">
        <v>2817</v>
      </c>
      <c r="B775" s="18" t="s">
        <v>1739</v>
      </c>
      <c r="C775" s="20">
        <v>45649</v>
      </c>
      <c r="D775" s="11">
        <v>279.76050000000004</v>
      </c>
      <c r="E775" s="27">
        <f t="shared" si="55"/>
        <v>311.42938860000004</v>
      </c>
      <c r="F775" s="6">
        <f t="shared" si="56"/>
        <v>404.85820518000008</v>
      </c>
      <c r="G775" s="7">
        <f t="shared" si="57"/>
        <v>436.00114404000004</v>
      </c>
      <c r="H775" s="8">
        <f t="shared" si="58"/>
        <v>467.14408290000006</v>
      </c>
      <c r="I775" s="9">
        <f t="shared" si="59"/>
        <v>498.28702176000007</v>
      </c>
    </row>
    <row r="776" spans="1:9" x14ac:dyDescent="0.35">
      <c r="A776" s="18" t="s">
        <v>2818</v>
      </c>
      <c r="B776" s="18" t="s">
        <v>1740</v>
      </c>
      <c r="C776" s="20">
        <v>45649</v>
      </c>
      <c r="D776" s="11">
        <v>348.37695000000002</v>
      </c>
      <c r="E776" s="27">
        <f t="shared" si="55"/>
        <v>387.81322074000002</v>
      </c>
      <c r="F776" s="6">
        <f t="shared" ref="F776:F848" si="60">E776*1.3</f>
        <v>504.15718696200003</v>
      </c>
      <c r="G776" s="7">
        <f t="shared" ref="G776:G848" si="61">E776*1.4</f>
        <v>542.93850903600003</v>
      </c>
      <c r="H776" s="8">
        <f t="shared" ref="H776:H848" si="62">E776*1.5</f>
        <v>581.71983111000009</v>
      </c>
      <c r="I776" s="9">
        <f t="shared" ref="I776:I848" si="63">E776*1.6</f>
        <v>620.50115318400003</v>
      </c>
    </row>
    <row r="777" spans="1:9" x14ac:dyDescent="0.35">
      <c r="A777" s="18" t="s">
        <v>2819</v>
      </c>
      <c r="B777" s="18" t="s">
        <v>1741</v>
      </c>
      <c r="C777" s="20">
        <v>45649</v>
      </c>
      <c r="D777" s="11">
        <v>525.46320000000003</v>
      </c>
      <c r="E777" s="27">
        <f t="shared" si="55"/>
        <v>584.94563424</v>
      </c>
      <c r="F777" s="6">
        <f t="shared" si="60"/>
        <v>760.42932451199999</v>
      </c>
      <c r="G777" s="7">
        <f t="shared" si="61"/>
        <v>818.92388793599991</v>
      </c>
      <c r="H777" s="8">
        <f t="shared" si="62"/>
        <v>877.41845136000006</v>
      </c>
      <c r="I777" s="9">
        <f t="shared" si="63"/>
        <v>935.9130147840001</v>
      </c>
    </row>
    <row r="778" spans="1:9" x14ac:dyDescent="0.35">
      <c r="C778" s="20">
        <v>45649</v>
      </c>
      <c r="D778" s="11">
        <v>0</v>
      </c>
      <c r="E778" s="27">
        <f t="shared" si="55"/>
        <v>0</v>
      </c>
      <c r="F778" s="6">
        <f t="shared" si="60"/>
        <v>0</v>
      </c>
      <c r="G778" s="7">
        <f t="shared" si="61"/>
        <v>0</v>
      </c>
      <c r="H778" s="8">
        <f t="shared" si="62"/>
        <v>0</v>
      </c>
      <c r="I778" s="9">
        <f t="shared" si="63"/>
        <v>0</v>
      </c>
    </row>
    <row r="779" spans="1:9" x14ac:dyDescent="0.35">
      <c r="A779" s="18" t="s">
        <v>1809</v>
      </c>
      <c r="B779" s="18" t="s">
        <v>1742</v>
      </c>
      <c r="C779" s="20">
        <v>45649</v>
      </c>
      <c r="D779" s="11">
        <v>87.070503787220616</v>
      </c>
      <c r="E779" s="27">
        <f t="shared" si="55"/>
        <v>96.926884815933988</v>
      </c>
      <c r="F779" s="6">
        <f t="shared" si="60"/>
        <v>126.0049502607142</v>
      </c>
      <c r="G779" s="7">
        <f t="shared" si="61"/>
        <v>135.69763874230756</v>
      </c>
      <c r="H779" s="8">
        <f t="shared" si="62"/>
        <v>145.39032722390098</v>
      </c>
      <c r="I779" s="9">
        <f t="shared" si="63"/>
        <v>155.0830157054944</v>
      </c>
    </row>
    <row r="780" spans="1:9" x14ac:dyDescent="0.35">
      <c r="A780" s="18" t="s">
        <v>1810</v>
      </c>
      <c r="B780" s="18" t="s">
        <v>1743</v>
      </c>
      <c r="C780" s="20">
        <v>45649</v>
      </c>
      <c r="D780" s="11">
        <v>103.45048585201904</v>
      </c>
      <c r="E780" s="27">
        <f t="shared" ref="E780:E843" si="64">D780*1.21*0.92</f>
        <v>115.1610808504676</v>
      </c>
      <c r="F780" s="6">
        <f t="shared" si="60"/>
        <v>149.70940510560789</v>
      </c>
      <c r="G780" s="7">
        <f t="shared" si="61"/>
        <v>161.22551319065462</v>
      </c>
      <c r="H780" s="8">
        <f t="shared" si="62"/>
        <v>172.74162127570139</v>
      </c>
      <c r="I780" s="9">
        <f t="shared" si="63"/>
        <v>184.25772936074816</v>
      </c>
    </row>
    <row r="781" spans="1:9" x14ac:dyDescent="0.35">
      <c r="A781" s="18" t="s">
        <v>1811</v>
      </c>
      <c r="B781" s="18" t="s">
        <v>1744</v>
      </c>
      <c r="C781" s="20">
        <v>45649</v>
      </c>
      <c r="D781" s="11">
        <v>133.16361061614273</v>
      </c>
      <c r="E781" s="27">
        <f t="shared" si="64"/>
        <v>148.2377313378901</v>
      </c>
      <c r="F781" s="6">
        <f t="shared" si="60"/>
        <v>192.70905073925712</v>
      </c>
      <c r="G781" s="7">
        <f t="shared" si="61"/>
        <v>207.53282387304611</v>
      </c>
      <c r="H781" s="8">
        <f t="shared" si="62"/>
        <v>222.35659700683516</v>
      </c>
      <c r="I781" s="9">
        <f t="shared" si="63"/>
        <v>237.18037014062418</v>
      </c>
    </row>
    <row r="782" spans="1:9" x14ac:dyDescent="0.35">
      <c r="A782" s="18" t="s">
        <v>1812</v>
      </c>
      <c r="B782" s="18" t="s">
        <v>1745</v>
      </c>
      <c r="C782" s="20">
        <v>45649</v>
      </c>
      <c r="D782" s="11">
        <v>157.21125000000001</v>
      </c>
      <c r="E782" s="27">
        <f t="shared" si="64"/>
        <v>175.00756350000003</v>
      </c>
      <c r="F782" s="6">
        <f t="shared" si="60"/>
        <v>227.50983255000006</v>
      </c>
      <c r="G782" s="7">
        <f t="shared" si="61"/>
        <v>245.01058890000002</v>
      </c>
      <c r="H782" s="8">
        <f t="shared" si="62"/>
        <v>262.51134525000003</v>
      </c>
      <c r="I782" s="9">
        <f t="shared" si="63"/>
        <v>280.01210160000005</v>
      </c>
    </row>
    <row r="783" spans="1:9" x14ac:dyDescent="0.35">
      <c r="A783" s="18" t="s">
        <v>5480</v>
      </c>
      <c r="B783" s="18" t="s">
        <v>5482</v>
      </c>
      <c r="C783" s="20">
        <v>45649</v>
      </c>
      <c r="D783" s="11">
        <v>128.49611792387188</v>
      </c>
      <c r="E783" s="27">
        <f t="shared" si="64"/>
        <v>143.04187847285419</v>
      </c>
      <c r="F783" s="6">
        <f t="shared" si="60"/>
        <v>185.95444201471045</v>
      </c>
      <c r="G783" s="7">
        <f t="shared" si="61"/>
        <v>200.25862986199587</v>
      </c>
      <c r="H783" s="8">
        <f t="shared" si="62"/>
        <v>214.56281770928129</v>
      </c>
      <c r="I783" s="9">
        <f t="shared" si="63"/>
        <v>228.86700555656671</v>
      </c>
    </row>
    <row r="784" spans="1:9" x14ac:dyDescent="0.35">
      <c r="A784" s="18" t="s">
        <v>5481</v>
      </c>
      <c r="B784" s="18" t="s">
        <v>5483</v>
      </c>
      <c r="C784" s="20">
        <v>45649</v>
      </c>
      <c r="D784" s="11">
        <v>149.97606599472806</v>
      </c>
      <c r="E784" s="27">
        <f t="shared" si="64"/>
        <v>166.95335666533126</v>
      </c>
      <c r="F784" s="6">
        <f t="shared" si="60"/>
        <v>217.03936366493065</v>
      </c>
      <c r="G784" s="7">
        <f t="shared" si="61"/>
        <v>233.73469933146373</v>
      </c>
      <c r="H784" s="8">
        <f t="shared" si="62"/>
        <v>250.43003499799687</v>
      </c>
      <c r="I784" s="9">
        <f t="shared" si="63"/>
        <v>267.12537066453001</v>
      </c>
    </row>
    <row r="785" spans="1:9" x14ac:dyDescent="0.35">
      <c r="C785" s="20">
        <v>45649</v>
      </c>
      <c r="D785" s="11">
        <v>0</v>
      </c>
      <c r="E785" s="27">
        <f t="shared" si="64"/>
        <v>0</v>
      </c>
      <c r="F785" s="6">
        <f t="shared" si="60"/>
        <v>0</v>
      </c>
      <c r="G785" s="7">
        <f t="shared" si="61"/>
        <v>0</v>
      </c>
      <c r="H785" s="8">
        <f t="shared" si="62"/>
        <v>0</v>
      </c>
      <c r="I785" s="9">
        <f t="shared" si="63"/>
        <v>0</v>
      </c>
    </row>
    <row r="786" spans="1:9" x14ac:dyDescent="0.35">
      <c r="A786" s="18" t="s">
        <v>1813</v>
      </c>
      <c r="B786" s="18" t="s">
        <v>1746</v>
      </c>
      <c r="C786" s="20">
        <v>45649</v>
      </c>
      <c r="D786" s="11">
        <v>113.34791999999999</v>
      </c>
      <c r="E786" s="27">
        <f t="shared" si="64"/>
        <v>126.17890454399999</v>
      </c>
      <c r="F786" s="6">
        <f t="shared" si="60"/>
        <v>164.0325759072</v>
      </c>
      <c r="G786" s="7">
        <f t="shared" si="61"/>
        <v>176.65046636159997</v>
      </c>
      <c r="H786" s="8">
        <f t="shared" si="62"/>
        <v>189.26835681599999</v>
      </c>
      <c r="I786" s="9">
        <f t="shared" si="63"/>
        <v>201.88624727039999</v>
      </c>
    </row>
    <row r="787" spans="1:9" x14ac:dyDescent="0.35">
      <c r="A787" s="18" t="s">
        <v>1814</v>
      </c>
      <c r="B787" s="18" t="s">
        <v>1747</v>
      </c>
      <c r="C787" s="20">
        <v>45649</v>
      </c>
      <c r="D787" s="11">
        <v>159.12932000000001</v>
      </c>
      <c r="E787" s="27">
        <f t="shared" si="64"/>
        <v>177.14275902400001</v>
      </c>
      <c r="F787" s="6">
        <f t="shared" si="60"/>
        <v>230.28558673120003</v>
      </c>
      <c r="G787" s="7">
        <f t="shared" si="61"/>
        <v>247.9998626336</v>
      </c>
      <c r="H787" s="8">
        <f t="shared" si="62"/>
        <v>265.71413853600001</v>
      </c>
      <c r="I787" s="9">
        <f t="shared" si="63"/>
        <v>283.42841443840001</v>
      </c>
    </row>
    <row r="788" spans="1:9" x14ac:dyDescent="0.35">
      <c r="A788" s="18" t="s">
        <v>1815</v>
      </c>
      <c r="B788" s="18" t="s">
        <v>1748</v>
      </c>
      <c r="C788" s="20">
        <v>45649</v>
      </c>
      <c r="D788" s="11">
        <v>226.05772000000002</v>
      </c>
      <c r="E788" s="27">
        <f t="shared" si="64"/>
        <v>251.64745390400003</v>
      </c>
      <c r="F788" s="6">
        <f t="shared" si="60"/>
        <v>327.14169007520007</v>
      </c>
      <c r="G788" s="7">
        <f t="shared" si="61"/>
        <v>352.30643546560003</v>
      </c>
      <c r="H788" s="8">
        <f t="shared" si="62"/>
        <v>377.47118085600005</v>
      </c>
      <c r="I788" s="9">
        <f t="shared" si="63"/>
        <v>402.63592624640006</v>
      </c>
    </row>
    <row r="789" spans="1:9" x14ac:dyDescent="0.35">
      <c r="A789" s="18" t="s">
        <v>2820</v>
      </c>
      <c r="B789" s="18" t="s">
        <v>1749</v>
      </c>
      <c r="C789" s="20">
        <v>45649</v>
      </c>
      <c r="D789" s="11">
        <v>478.59795000000003</v>
      </c>
      <c r="E789" s="27">
        <f t="shared" si="64"/>
        <v>532.77523794000012</v>
      </c>
      <c r="F789" s="6">
        <f t="shared" si="60"/>
        <v>692.60780932200021</v>
      </c>
      <c r="G789" s="7">
        <f t="shared" si="61"/>
        <v>745.88533311600008</v>
      </c>
      <c r="H789" s="8">
        <f t="shared" si="62"/>
        <v>799.16285691000019</v>
      </c>
      <c r="I789" s="9">
        <f t="shared" si="63"/>
        <v>852.44038070400029</v>
      </c>
    </row>
    <row r="790" spans="1:9" x14ac:dyDescent="0.35">
      <c r="A790" s="18" t="s">
        <v>2821</v>
      </c>
      <c r="B790" s="18" t="s">
        <v>1750</v>
      </c>
      <c r="C790" s="20">
        <v>45649</v>
      </c>
      <c r="D790" s="11">
        <v>602.80875000000003</v>
      </c>
      <c r="E790" s="27">
        <f t="shared" si="64"/>
        <v>671.04670050000004</v>
      </c>
      <c r="F790" s="6">
        <f t="shared" si="60"/>
        <v>872.3607106500001</v>
      </c>
      <c r="G790" s="7">
        <f t="shared" si="61"/>
        <v>939.46538069999997</v>
      </c>
      <c r="H790" s="8">
        <f t="shared" si="62"/>
        <v>1006.5700507500001</v>
      </c>
      <c r="I790" s="9">
        <f t="shared" si="63"/>
        <v>1073.6747208000002</v>
      </c>
    </row>
    <row r="791" spans="1:9" x14ac:dyDescent="0.35">
      <c r="A791" s="18" t="s">
        <v>2822</v>
      </c>
      <c r="B791" s="18" t="s">
        <v>1751</v>
      </c>
      <c r="C791" s="20">
        <v>45649</v>
      </c>
      <c r="D791" s="11">
        <v>1005.0628500000001</v>
      </c>
      <c r="E791" s="27">
        <f t="shared" si="64"/>
        <v>1118.8359646200001</v>
      </c>
      <c r="F791" s="6">
        <f t="shared" si="60"/>
        <v>1454.4867540060002</v>
      </c>
      <c r="G791" s="7">
        <f t="shared" si="61"/>
        <v>1566.3703504680002</v>
      </c>
      <c r="H791" s="8">
        <f t="shared" si="62"/>
        <v>1678.2539469300002</v>
      </c>
      <c r="I791" s="9">
        <f t="shared" si="63"/>
        <v>1790.1375433920002</v>
      </c>
    </row>
    <row r="792" spans="1:9" x14ac:dyDescent="0.35">
      <c r="C792" s="20">
        <v>45649</v>
      </c>
      <c r="D792" s="11">
        <v>0</v>
      </c>
      <c r="E792" s="27">
        <f t="shared" si="64"/>
        <v>0</v>
      </c>
      <c r="F792" s="6">
        <f t="shared" si="60"/>
        <v>0</v>
      </c>
      <c r="G792" s="7">
        <f t="shared" si="61"/>
        <v>0</v>
      </c>
      <c r="H792" s="8">
        <f t="shared" si="62"/>
        <v>0</v>
      </c>
      <c r="I792" s="9">
        <f t="shared" si="63"/>
        <v>0</v>
      </c>
    </row>
    <row r="793" spans="1:9" x14ac:dyDescent="0.35">
      <c r="A793" s="18" t="s">
        <v>1816</v>
      </c>
      <c r="B793" s="18" t="s">
        <v>1752</v>
      </c>
      <c r="C793" s="20">
        <v>45649</v>
      </c>
      <c r="D793" s="11">
        <v>210.54303000000002</v>
      </c>
      <c r="E793" s="27">
        <f t="shared" si="64"/>
        <v>234.37650099600003</v>
      </c>
      <c r="F793" s="6">
        <f t="shared" si="60"/>
        <v>304.68945129480005</v>
      </c>
      <c r="G793" s="7">
        <f t="shared" si="61"/>
        <v>328.12710139440003</v>
      </c>
      <c r="H793" s="8">
        <f t="shared" si="62"/>
        <v>351.56475149400006</v>
      </c>
      <c r="I793" s="9">
        <f t="shared" si="63"/>
        <v>375.0024015936001</v>
      </c>
    </row>
    <row r="794" spans="1:9" x14ac:dyDescent="0.35">
      <c r="A794" s="18" t="s">
        <v>1817</v>
      </c>
      <c r="B794" s="18" t="s">
        <v>1753</v>
      </c>
      <c r="C794" s="20">
        <v>45649</v>
      </c>
      <c r="D794" s="11">
        <v>254.53567999999999</v>
      </c>
      <c r="E794" s="27">
        <f t="shared" si="64"/>
        <v>283.349118976</v>
      </c>
      <c r="F794" s="6">
        <f t="shared" si="60"/>
        <v>368.35385466880001</v>
      </c>
      <c r="G794" s="7">
        <f t="shared" si="61"/>
        <v>396.68876656639998</v>
      </c>
      <c r="H794" s="8">
        <f t="shared" si="62"/>
        <v>425.023678464</v>
      </c>
      <c r="I794" s="9">
        <f t="shared" si="63"/>
        <v>453.35859036160002</v>
      </c>
    </row>
    <row r="795" spans="1:9" x14ac:dyDescent="0.35">
      <c r="A795" s="18" t="s">
        <v>1818</v>
      </c>
      <c r="B795" s="18" t="s">
        <v>1754</v>
      </c>
      <c r="C795" s="20">
        <v>45649</v>
      </c>
      <c r="D795" s="11">
        <v>270.83</v>
      </c>
      <c r="E795" s="27">
        <f t="shared" si="64"/>
        <v>301.487956</v>
      </c>
      <c r="F795" s="6">
        <f t="shared" si="60"/>
        <v>391.93434280000002</v>
      </c>
      <c r="G795" s="7">
        <f t="shared" si="61"/>
        <v>422.0831384</v>
      </c>
      <c r="H795" s="8">
        <f t="shared" si="62"/>
        <v>452.23193400000002</v>
      </c>
      <c r="I795" s="9">
        <f t="shared" si="63"/>
        <v>482.3807296</v>
      </c>
    </row>
    <row r="796" spans="1:9" x14ac:dyDescent="0.35">
      <c r="A796" s="18" t="s">
        <v>2823</v>
      </c>
      <c r="B796" s="18" t="s">
        <v>1755</v>
      </c>
      <c r="C796" s="20">
        <v>45649</v>
      </c>
      <c r="D796" s="11">
        <v>577.92366000000004</v>
      </c>
      <c r="E796" s="27">
        <f t="shared" si="64"/>
        <v>643.34461831200008</v>
      </c>
      <c r="F796" s="6">
        <f t="shared" si="60"/>
        <v>836.34800380560011</v>
      </c>
      <c r="G796" s="7">
        <f t="shared" si="61"/>
        <v>900.68246563680009</v>
      </c>
      <c r="H796" s="8">
        <f t="shared" si="62"/>
        <v>965.01692746800018</v>
      </c>
      <c r="I796" s="9">
        <f t="shared" si="63"/>
        <v>1029.3513892992003</v>
      </c>
    </row>
    <row r="797" spans="1:9" x14ac:dyDescent="0.35">
      <c r="A797" s="18" t="s">
        <v>2824</v>
      </c>
      <c r="B797" s="18" t="s">
        <v>1756</v>
      </c>
      <c r="C797" s="20">
        <v>45649</v>
      </c>
      <c r="D797" s="11">
        <v>768.87630000000001</v>
      </c>
      <c r="E797" s="27">
        <f t="shared" si="64"/>
        <v>855.91309716000001</v>
      </c>
      <c r="F797" s="6">
        <f t="shared" si="60"/>
        <v>1112.687026308</v>
      </c>
      <c r="G797" s="7">
        <f t="shared" si="61"/>
        <v>1198.2783360239998</v>
      </c>
      <c r="H797" s="8">
        <f t="shared" si="62"/>
        <v>1283.8696457400001</v>
      </c>
      <c r="I797" s="9">
        <f t="shared" si="63"/>
        <v>1369.4609554560002</v>
      </c>
    </row>
    <row r="798" spans="1:9" x14ac:dyDescent="0.35">
      <c r="A798" s="18" t="s">
        <v>2825</v>
      </c>
      <c r="B798" s="18" t="s">
        <v>1757</v>
      </c>
      <c r="C798" s="20">
        <v>45649</v>
      </c>
      <c r="D798" s="11">
        <v>1231.87635</v>
      </c>
      <c r="E798" s="27">
        <f t="shared" si="64"/>
        <v>1371.32475282</v>
      </c>
      <c r="F798" s="6">
        <f t="shared" si="60"/>
        <v>1782.722178666</v>
      </c>
      <c r="G798" s="7">
        <f t="shared" si="61"/>
        <v>1919.8546539479999</v>
      </c>
      <c r="H798" s="8">
        <f t="shared" si="62"/>
        <v>2056.9871292299999</v>
      </c>
      <c r="I798" s="9">
        <f t="shared" si="63"/>
        <v>2194.119604512</v>
      </c>
    </row>
    <row r="799" spans="1:9" ht="15.75" customHeight="1" x14ac:dyDescent="0.4">
      <c r="B799" s="19" t="s">
        <v>6439</v>
      </c>
      <c r="D799" s="11">
        <v>0</v>
      </c>
      <c r="E799" s="27">
        <f t="shared" si="64"/>
        <v>0</v>
      </c>
      <c r="F799" s="6">
        <f t="shared" si="60"/>
        <v>0</v>
      </c>
      <c r="G799" s="7">
        <f t="shared" si="61"/>
        <v>0</v>
      </c>
      <c r="H799" s="8">
        <f t="shared" si="62"/>
        <v>0</v>
      </c>
      <c r="I799" s="9">
        <f t="shared" si="63"/>
        <v>0</v>
      </c>
    </row>
    <row r="800" spans="1:9" x14ac:dyDescent="0.35">
      <c r="A800" s="18" t="s">
        <v>529</v>
      </c>
      <c r="B800" s="18" t="s">
        <v>3251</v>
      </c>
      <c r="C800" s="20">
        <v>45726</v>
      </c>
      <c r="D800" s="11">
        <v>113.80582332315001</v>
      </c>
      <c r="E800" s="27">
        <f t="shared" si="64"/>
        <v>126.6886425233306</v>
      </c>
      <c r="F800" s="6">
        <f t="shared" si="60"/>
        <v>164.6952352803298</v>
      </c>
      <c r="G800" s="7">
        <f t="shared" si="61"/>
        <v>177.36409953266283</v>
      </c>
      <c r="H800" s="8">
        <f t="shared" si="62"/>
        <v>190.0329637849959</v>
      </c>
      <c r="I800" s="9">
        <f t="shared" si="63"/>
        <v>202.70182803732897</v>
      </c>
    </row>
    <row r="801" spans="1:9" x14ac:dyDescent="0.35">
      <c r="A801" s="18" t="s">
        <v>530</v>
      </c>
      <c r="B801" s="18" t="s">
        <v>3252</v>
      </c>
      <c r="C801" s="20">
        <v>45726</v>
      </c>
      <c r="D801" s="11">
        <v>256.06964518000001</v>
      </c>
      <c r="E801" s="27">
        <f t="shared" si="64"/>
        <v>285.056729014376</v>
      </c>
      <c r="F801" s="6">
        <f t="shared" si="60"/>
        <v>370.57374771868882</v>
      </c>
      <c r="G801" s="7">
        <f t="shared" si="61"/>
        <v>399.07942062012637</v>
      </c>
      <c r="H801" s="8">
        <f t="shared" si="62"/>
        <v>427.58509352156398</v>
      </c>
      <c r="I801" s="9">
        <f t="shared" si="63"/>
        <v>456.09076642300164</v>
      </c>
    </row>
    <row r="802" spans="1:9" x14ac:dyDescent="0.35">
      <c r="A802" s="18" t="s">
        <v>531</v>
      </c>
      <c r="B802" s="18" t="s">
        <v>3253</v>
      </c>
      <c r="C802" s="20">
        <v>45726</v>
      </c>
      <c r="D802" s="11">
        <v>135.68571458955</v>
      </c>
      <c r="E802" s="27">
        <f t="shared" si="64"/>
        <v>151.04533748108705</v>
      </c>
      <c r="F802" s="6">
        <f t="shared" si="60"/>
        <v>196.35893872541317</v>
      </c>
      <c r="G802" s="7">
        <f t="shared" si="61"/>
        <v>211.46347247352185</v>
      </c>
      <c r="H802" s="8">
        <f t="shared" si="62"/>
        <v>226.56800622163058</v>
      </c>
      <c r="I802" s="9">
        <f t="shared" si="63"/>
        <v>241.67253996973929</v>
      </c>
    </row>
    <row r="803" spans="1:9" x14ac:dyDescent="0.35">
      <c r="C803" s="20">
        <v>45726</v>
      </c>
      <c r="D803" s="11">
        <v>0</v>
      </c>
      <c r="E803" s="27">
        <f t="shared" si="64"/>
        <v>0</v>
      </c>
      <c r="F803" s="6">
        <f t="shared" si="60"/>
        <v>0</v>
      </c>
      <c r="G803" s="7">
        <f t="shared" si="61"/>
        <v>0</v>
      </c>
      <c r="H803" s="8">
        <f t="shared" si="62"/>
        <v>0</v>
      </c>
      <c r="I803" s="9">
        <f t="shared" si="63"/>
        <v>0</v>
      </c>
    </row>
    <row r="804" spans="1:9" x14ac:dyDescent="0.35">
      <c r="A804" s="18" t="s">
        <v>6595</v>
      </c>
      <c r="B804" s="18" t="s">
        <v>6599</v>
      </c>
      <c r="C804" s="20">
        <v>45726</v>
      </c>
      <c r="D804" s="11">
        <v>200.51009999999999</v>
      </c>
      <c r="E804" s="27">
        <f t="shared" si="64"/>
        <v>223.20784331999999</v>
      </c>
      <c r="F804" s="6">
        <f t="shared" si="60"/>
        <v>290.17019631599999</v>
      </c>
      <c r="G804" s="7">
        <f t="shared" si="61"/>
        <v>312.49098064799995</v>
      </c>
      <c r="H804" s="8">
        <f t="shared" si="62"/>
        <v>334.81176498000002</v>
      </c>
      <c r="I804" s="9">
        <f t="shared" si="63"/>
        <v>357.13254931200004</v>
      </c>
    </row>
    <row r="805" spans="1:9" x14ac:dyDescent="0.35">
      <c r="A805" s="18" t="s">
        <v>6596</v>
      </c>
      <c r="B805" s="18" t="s">
        <v>6600</v>
      </c>
      <c r="C805" s="20">
        <v>45726</v>
      </c>
      <c r="D805" s="11">
        <v>277.26569999999998</v>
      </c>
      <c r="E805" s="27">
        <f t="shared" si="64"/>
        <v>308.65217724000001</v>
      </c>
      <c r="F805" s="6">
        <f t="shared" si="60"/>
        <v>401.24783041200004</v>
      </c>
      <c r="G805" s="7">
        <f t="shared" si="61"/>
        <v>432.11304813599997</v>
      </c>
      <c r="H805" s="8">
        <f t="shared" si="62"/>
        <v>462.97826586000002</v>
      </c>
      <c r="I805" s="9">
        <f t="shared" si="63"/>
        <v>493.84348358400007</v>
      </c>
    </row>
    <row r="806" spans="1:9" x14ac:dyDescent="0.35">
      <c r="A806" s="18" t="s">
        <v>6597</v>
      </c>
      <c r="B806" s="18" t="s">
        <v>6601</v>
      </c>
      <c r="C806" s="20">
        <v>45726</v>
      </c>
      <c r="D806" s="11">
        <v>366.78300000000002</v>
      </c>
      <c r="E806" s="27">
        <f t="shared" si="64"/>
        <v>408.30283560000004</v>
      </c>
      <c r="F806" s="6">
        <f t="shared" si="60"/>
        <v>530.79368628000009</v>
      </c>
      <c r="G806" s="7">
        <f t="shared" si="61"/>
        <v>571.62396983999997</v>
      </c>
      <c r="H806" s="8">
        <f t="shared" si="62"/>
        <v>612.45425340000008</v>
      </c>
      <c r="I806" s="9">
        <f t="shared" si="63"/>
        <v>653.28453696000008</v>
      </c>
    </row>
    <row r="807" spans="1:9" x14ac:dyDescent="0.35">
      <c r="A807" s="18" t="s">
        <v>6598</v>
      </c>
      <c r="B807" s="18" t="s">
        <v>6602</v>
      </c>
      <c r="C807" s="20">
        <v>45726</v>
      </c>
      <c r="D807" s="11">
        <v>509.38650000000001</v>
      </c>
      <c r="E807" s="27">
        <f t="shared" si="64"/>
        <v>567.04905180000003</v>
      </c>
      <c r="F807" s="6">
        <f t="shared" si="60"/>
        <v>737.16376734000005</v>
      </c>
      <c r="G807" s="7">
        <f t="shared" si="61"/>
        <v>793.86867252000002</v>
      </c>
      <c r="H807" s="8">
        <f t="shared" si="62"/>
        <v>850.57357769999999</v>
      </c>
      <c r="I807" s="9">
        <f t="shared" si="63"/>
        <v>907.27848288000007</v>
      </c>
    </row>
    <row r="808" spans="1:9" x14ac:dyDescent="0.35">
      <c r="C808" s="20">
        <v>45726</v>
      </c>
      <c r="D808" s="11">
        <v>0</v>
      </c>
      <c r="E808" s="27">
        <f t="shared" si="64"/>
        <v>0</v>
      </c>
      <c r="F808" s="6">
        <f t="shared" si="60"/>
        <v>0</v>
      </c>
      <c r="G808" s="7">
        <f t="shared" si="61"/>
        <v>0</v>
      </c>
      <c r="H808" s="8">
        <f t="shared" si="62"/>
        <v>0</v>
      </c>
      <c r="I808" s="9">
        <f t="shared" si="63"/>
        <v>0</v>
      </c>
    </row>
    <row r="809" spans="1:9" x14ac:dyDescent="0.35">
      <c r="A809" s="18" t="s">
        <v>1822</v>
      </c>
      <c r="B809" s="18" t="s">
        <v>1075</v>
      </c>
      <c r="C809" s="20">
        <v>45726</v>
      </c>
      <c r="D809" s="11">
        <v>118.288162158975</v>
      </c>
      <c r="E809" s="27">
        <f t="shared" si="64"/>
        <v>131.67838211537097</v>
      </c>
      <c r="F809" s="6">
        <f t="shared" si="60"/>
        <v>171.18189674998226</v>
      </c>
      <c r="G809" s="7">
        <f t="shared" si="61"/>
        <v>184.34973496151935</v>
      </c>
      <c r="H809" s="8">
        <f t="shared" si="62"/>
        <v>197.51757317305646</v>
      </c>
      <c r="I809" s="9">
        <f t="shared" si="63"/>
        <v>210.68541138459355</v>
      </c>
    </row>
    <row r="810" spans="1:9" x14ac:dyDescent="0.35">
      <c r="A810" s="18" t="s">
        <v>1823</v>
      </c>
      <c r="B810" s="18" t="s">
        <v>1076</v>
      </c>
      <c r="C810" s="20">
        <v>45726</v>
      </c>
      <c r="D810" s="11">
        <v>167.04689207139006</v>
      </c>
      <c r="E810" s="27">
        <f t="shared" si="64"/>
        <v>185.95660025387141</v>
      </c>
      <c r="F810" s="6">
        <f t="shared" si="60"/>
        <v>241.74358033003284</v>
      </c>
      <c r="G810" s="7">
        <f t="shared" si="61"/>
        <v>260.33924035541997</v>
      </c>
      <c r="H810" s="8">
        <f t="shared" si="62"/>
        <v>278.93490038080711</v>
      </c>
      <c r="I810" s="9">
        <f t="shared" si="63"/>
        <v>297.5305604061943</v>
      </c>
    </row>
    <row r="811" spans="1:9" x14ac:dyDescent="0.35">
      <c r="A811" s="18" t="s">
        <v>1824</v>
      </c>
      <c r="B811" s="18" t="s">
        <v>1077</v>
      </c>
      <c r="C811" s="20">
        <v>45726</v>
      </c>
      <c r="D811" s="11">
        <v>288.08523500760015</v>
      </c>
      <c r="E811" s="27">
        <f t="shared" si="64"/>
        <v>320.69648361046046</v>
      </c>
      <c r="F811" s="6">
        <f t="shared" si="60"/>
        <v>416.90542869359859</v>
      </c>
      <c r="G811" s="7">
        <f t="shared" si="61"/>
        <v>448.9750770546446</v>
      </c>
      <c r="H811" s="8">
        <f t="shared" si="62"/>
        <v>481.04472541569066</v>
      </c>
      <c r="I811" s="9">
        <f t="shared" si="63"/>
        <v>513.11437377673678</v>
      </c>
    </row>
    <row r="812" spans="1:9" x14ac:dyDescent="0.35">
      <c r="A812" s="18" t="s">
        <v>6694</v>
      </c>
      <c r="B812" s="18" t="s">
        <v>6603</v>
      </c>
      <c r="C812" s="20">
        <v>45726</v>
      </c>
      <c r="D812" s="11">
        <v>722.15359999999998</v>
      </c>
      <c r="E812" s="27">
        <f t="shared" si="64"/>
        <v>803.90138751999996</v>
      </c>
      <c r="F812" s="6">
        <f t="shared" si="60"/>
        <v>1045.071803776</v>
      </c>
      <c r="G812" s="7">
        <f t="shared" si="61"/>
        <v>1125.4619425279998</v>
      </c>
      <c r="H812" s="8">
        <f t="shared" si="62"/>
        <v>1205.85208128</v>
      </c>
      <c r="I812" s="9">
        <f t="shared" si="63"/>
        <v>1286.242220032</v>
      </c>
    </row>
    <row r="813" spans="1:9" x14ac:dyDescent="0.35">
      <c r="A813" s="18" t="s">
        <v>6695</v>
      </c>
      <c r="B813" s="18" t="s">
        <v>6604</v>
      </c>
      <c r="C813" s="20">
        <v>45726</v>
      </c>
      <c r="D813" s="11">
        <v>1259.9372000000001</v>
      </c>
      <c r="E813" s="27">
        <f t="shared" si="64"/>
        <v>1402.56209104</v>
      </c>
      <c r="F813" s="6">
        <f t="shared" si="60"/>
        <v>1823.3307183520001</v>
      </c>
      <c r="G813" s="7">
        <f t="shared" si="61"/>
        <v>1963.586927456</v>
      </c>
      <c r="H813" s="8">
        <f t="shared" si="62"/>
        <v>2103.8431365599999</v>
      </c>
      <c r="I813" s="9">
        <f t="shared" si="63"/>
        <v>2244.0993456640003</v>
      </c>
    </row>
    <row r="814" spans="1:9" x14ac:dyDescent="0.35">
      <c r="A814" s="18" t="s">
        <v>6696</v>
      </c>
      <c r="B814" s="18" t="s">
        <v>6605</v>
      </c>
      <c r="C814" s="20">
        <v>45726</v>
      </c>
      <c r="D814" s="11">
        <v>2304.7485999999999</v>
      </c>
      <c r="E814" s="27">
        <f t="shared" si="64"/>
        <v>2565.6461415200001</v>
      </c>
      <c r="F814" s="6">
        <f t="shared" si="60"/>
        <v>3335.3399839760004</v>
      </c>
      <c r="G814" s="7">
        <f t="shared" si="61"/>
        <v>3591.9045981280001</v>
      </c>
      <c r="H814" s="8">
        <f t="shared" si="62"/>
        <v>3848.4692122800002</v>
      </c>
      <c r="I814" s="9">
        <f t="shared" si="63"/>
        <v>4105.0338264320008</v>
      </c>
    </row>
    <row r="815" spans="1:9" x14ac:dyDescent="0.35">
      <c r="C815" s="20">
        <v>45726</v>
      </c>
      <c r="D815" s="11">
        <v>0</v>
      </c>
      <c r="E815" s="27">
        <f t="shared" si="64"/>
        <v>0</v>
      </c>
      <c r="F815" s="6">
        <f t="shared" si="60"/>
        <v>0</v>
      </c>
      <c r="G815" s="7">
        <f t="shared" si="61"/>
        <v>0</v>
      </c>
      <c r="H815" s="8">
        <f t="shared" si="62"/>
        <v>0</v>
      </c>
      <c r="I815" s="9">
        <f t="shared" si="63"/>
        <v>0</v>
      </c>
    </row>
    <row r="816" spans="1:9" x14ac:dyDescent="0.35">
      <c r="A816" s="18" t="s">
        <v>1825</v>
      </c>
      <c r="B816" s="18" t="s">
        <v>1078</v>
      </c>
      <c r="C816" s="20">
        <v>45726</v>
      </c>
      <c r="D816" s="11">
        <v>130.36709999999999</v>
      </c>
      <c r="E816" s="27">
        <f t="shared" si="64"/>
        <v>145.12465572000002</v>
      </c>
      <c r="F816" s="6">
        <f t="shared" si="60"/>
        <v>188.66205243600004</v>
      </c>
      <c r="G816" s="7">
        <f t="shared" si="61"/>
        <v>203.17451800800001</v>
      </c>
      <c r="H816" s="8">
        <f t="shared" si="62"/>
        <v>217.68698358000003</v>
      </c>
      <c r="I816" s="9">
        <f t="shared" si="63"/>
        <v>232.19944915200006</v>
      </c>
    </row>
    <row r="817" spans="1:9" x14ac:dyDescent="0.35">
      <c r="A817" s="18" t="s">
        <v>1826</v>
      </c>
      <c r="B817" s="18" t="s">
        <v>1079</v>
      </c>
      <c r="C817" s="20">
        <v>45726</v>
      </c>
      <c r="D817" s="11">
        <v>247.61200000000002</v>
      </c>
      <c r="E817" s="27">
        <f t="shared" si="64"/>
        <v>275.64167840000005</v>
      </c>
      <c r="F817" s="6">
        <f t="shared" si="60"/>
        <v>358.33418192000005</v>
      </c>
      <c r="G817" s="7">
        <f t="shared" si="61"/>
        <v>385.89834976000003</v>
      </c>
      <c r="H817" s="8">
        <f t="shared" si="62"/>
        <v>413.46251760000007</v>
      </c>
      <c r="I817" s="9">
        <f t="shared" si="63"/>
        <v>441.02668544000011</v>
      </c>
    </row>
    <row r="818" spans="1:9" x14ac:dyDescent="0.35">
      <c r="A818" s="18" t="s">
        <v>1301</v>
      </c>
      <c r="B818" s="18" t="s">
        <v>1080</v>
      </c>
      <c r="C818" s="20">
        <v>45726</v>
      </c>
      <c r="D818" s="11">
        <v>478.80580000000003</v>
      </c>
      <c r="E818" s="27">
        <f t="shared" si="64"/>
        <v>533.00661656</v>
      </c>
      <c r="F818" s="6">
        <f t="shared" si="60"/>
        <v>692.90860152800008</v>
      </c>
      <c r="G818" s="7">
        <f t="shared" si="61"/>
        <v>746.20926318399995</v>
      </c>
      <c r="H818" s="8">
        <f t="shared" si="62"/>
        <v>799.50992483999994</v>
      </c>
      <c r="I818" s="9">
        <f t="shared" si="63"/>
        <v>852.81058649600004</v>
      </c>
    </row>
    <row r="819" spans="1:9" x14ac:dyDescent="0.35">
      <c r="A819" s="18" t="s">
        <v>6697</v>
      </c>
      <c r="B819" s="18" t="s">
        <v>6606</v>
      </c>
      <c r="C819" s="20">
        <v>45726</v>
      </c>
      <c r="D819" s="11">
        <v>691.00639999999999</v>
      </c>
      <c r="E819" s="27">
        <f t="shared" si="64"/>
        <v>769.22832447999997</v>
      </c>
      <c r="F819" s="6">
        <f t="shared" si="60"/>
        <v>999.99682182399999</v>
      </c>
      <c r="G819" s="7">
        <f t="shared" si="61"/>
        <v>1076.9196542719999</v>
      </c>
      <c r="H819" s="8">
        <f t="shared" si="62"/>
        <v>1153.8424867199999</v>
      </c>
      <c r="I819" s="9">
        <f t="shared" si="63"/>
        <v>1230.7653191680001</v>
      </c>
    </row>
    <row r="820" spans="1:9" x14ac:dyDescent="0.35">
      <c r="A820" s="18" t="s">
        <v>6698</v>
      </c>
      <c r="B820" s="18" t="s">
        <v>6607</v>
      </c>
      <c r="C820" s="20">
        <v>45726</v>
      </c>
      <c r="D820" s="11">
        <v>1437.1281000000001</v>
      </c>
      <c r="E820" s="27">
        <f t="shared" si="64"/>
        <v>1599.8110009200002</v>
      </c>
      <c r="F820" s="6">
        <f t="shared" si="60"/>
        <v>2079.7543011960001</v>
      </c>
      <c r="G820" s="7">
        <f t="shared" si="61"/>
        <v>2239.735401288</v>
      </c>
      <c r="H820" s="8">
        <f t="shared" si="62"/>
        <v>2399.7165013800004</v>
      </c>
      <c r="I820" s="9">
        <f t="shared" si="63"/>
        <v>2559.6976014720003</v>
      </c>
    </row>
    <row r="821" spans="1:9" x14ac:dyDescent="0.35">
      <c r="C821" s="20">
        <v>45726</v>
      </c>
      <c r="D821" s="11">
        <v>0</v>
      </c>
      <c r="E821" s="27">
        <f t="shared" si="64"/>
        <v>0</v>
      </c>
      <c r="F821" s="6">
        <f t="shared" si="60"/>
        <v>0</v>
      </c>
      <c r="G821" s="7">
        <f t="shared" si="61"/>
        <v>0</v>
      </c>
      <c r="H821" s="8">
        <f t="shared" si="62"/>
        <v>0</v>
      </c>
      <c r="I821" s="9">
        <f t="shared" si="63"/>
        <v>0</v>
      </c>
    </row>
    <row r="822" spans="1:9" x14ac:dyDescent="0.35">
      <c r="A822" s="18" t="s">
        <v>4659</v>
      </c>
      <c r="B822" s="18" t="s">
        <v>4660</v>
      </c>
      <c r="C822" s="20">
        <v>45726</v>
      </c>
      <c r="D822" s="11">
        <v>259.66300000000001</v>
      </c>
      <c r="E822" s="27">
        <f t="shared" si="64"/>
        <v>289.05685160000002</v>
      </c>
      <c r="F822" s="6">
        <f t="shared" si="60"/>
        <v>375.77390708000001</v>
      </c>
      <c r="G822" s="7">
        <f t="shared" si="61"/>
        <v>404.67959223999998</v>
      </c>
      <c r="H822" s="8">
        <f t="shared" si="62"/>
        <v>433.5852774</v>
      </c>
      <c r="I822" s="9">
        <f t="shared" si="63"/>
        <v>462.49096256000007</v>
      </c>
    </row>
    <row r="823" spans="1:9" x14ac:dyDescent="0.35">
      <c r="A823" s="18" t="s">
        <v>5002</v>
      </c>
      <c r="B823" s="18" t="s">
        <v>5003</v>
      </c>
      <c r="C823" s="20">
        <v>45726</v>
      </c>
      <c r="D823" s="11">
        <v>428.81990000000002</v>
      </c>
      <c r="E823" s="27">
        <f t="shared" si="64"/>
        <v>477.36231268</v>
      </c>
      <c r="F823" s="6">
        <f t="shared" si="60"/>
        <v>620.57100648400001</v>
      </c>
      <c r="G823" s="7">
        <f t="shared" si="61"/>
        <v>668.30723775199999</v>
      </c>
      <c r="H823" s="8">
        <f t="shared" si="62"/>
        <v>716.04346901999997</v>
      </c>
      <c r="I823" s="9">
        <f t="shared" si="63"/>
        <v>763.77970028800007</v>
      </c>
    </row>
    <row r="824" spans="1:9" x14ac:dyDescent="0.35">
      <c r="A824" s="18" t="s">
        <v>6702</v>
      </c>
      <c r="B824" s="18" t="s">
        <v>6608</v>
      </c>
      <c r="C824" s="20">
        <v>45726</v>
      </c>
      <c r="D824" s="11">
        <v>375.28050000000002</v>
      </c>
      <c r="E824" s="27">
        <f t="shared" si="64"/>
        <v>417.76225260000001</v>
      </c>
      <c r="F824" s="6">
        <f t="shared" si="60"/>
        <v>543.09092838000004</v>
      </c>
      <c r="G824" s="7">
        <f t="shared" si="61"/>
        <v>584.86715363999997</v>
      </c>
      <c r="H824" s="8">
        <f t="shared" si="62"/>
        <v>626.64337890000002</v>
      </c>
      <c r="I824" s="9">
        <f t="shared" si="63"/>
        <v>668.41960416000006</v>
      </c>
    </row>
    <row r="825" spans="1:9" x14ac:dyDescent="0.35">
      <c r="C825" s="20">
        <v>45726</v>
      </c>
      <c r="D825" s="11">
        <v>0</v>
      </c>
      <c r="E825" s="27">
        <f t="shared" si="64"/>
        <v>0</v>
      </c>
      <c r="F825" s="6">
        <f t="shared" si="60"/>
        <v>0</v>
      </c>
      <c r="G825" s="7">
        <f t="shared" si="61"/>
        <v>0</v>
      </c>
      <c r="H825" s="8">
        <f t="shared" si="62"/>
        <v>0</v>
      </c>
      <c r="I825" s="9">
        <f t="shared" si="63"/>
        <v>0</v>
      </c>
    </row>
    <row r="826" spans="1:9" x14ac:dyDescent="0.35">
      <c r="A826" s="18" t="s">
        <v>1302</v>
      </c>
      <c r="B826" s="18" t="s">
        <v>3174</v>
      </c>
      <c r="C826" s="20">
        <v>45726</v>
      </c>
      <c r="D826" s="11">
        <v>1022.5202518497603</v>
      </c>
      <c r="E826" s="27">
        <f t="shared" si="64"/>
        <v>1138.2695443591531</v>
      </c>
      <c r="F826" s="6">
        <f t="shared" si="60"/>
        <v>1479.750407666899</v>
      </c>
      <c r="G826" s="7">
        <f t="shared" si="61"/>
        <v>1593.5773621028143</v>
      </c>
      <c r="H826" s="8">
        <f t="shared" si="62"/>
        <v>1707.4043165387297</v>
      </c>
      <c r="I826" s="9">
        <f t="shared" si="63"/>
        <v>1821.231270974645</v>
      </c>
    </row>
    <row r="827" spans="1:9" x14ac:dyDescent="0.35">
      <c r="A827" s="18" t="s">
        <v>1303</v>
      </c>
      <c r="B827" s="18" t="s">
        <v>3175</v>
      </c>
      <c r="C827" s="20">
        <v>45726</v>
      </c>
      <c r="D827" s="11">
        <v>1508.8008352455004</v>
      </c>
      <c r="E827" s="27">
        <f t="shared" si="64"/>
        <v>1679.5970897952909</v>
      </c>
      <c r="F827" s="6">
        <f t="shared" si="60"/>
        <v>2183.4762167338781</v>
      </c>
      <c r="G827" s="7">
        <f t="shared" si="61"/>
        <v>2351.435925713407</v>
      </c>
      <c r="H827" s="8">
        <f t="shared" si="62"/>
        <v>2519.3956346929363</v>
      </c>
      <c r="I827" s="9">
        <f t="shared" si="63"/>
        <v>2687.3553436724656</v>
      </c>
    </row>
    <row r="828" spans="1:9" x14ac:dyDescent="0.35">
      <c r="A828" s="18" t="s">
        <v>1304</v>
      </c>
      <c r="B828" s="18" t="s">
        <v>3176</v>
      </c>
      <c r="C828" s="20">
        <v>45726</v>
      </c>
      <c r="D828" s="11">
        <v>1106.7578332254002</v>
      </c>
      <c r="E828" s="27">
        <f t="shared" si="64"/>
        <v>1232.0428199465157</v>
      </c>
      <c r="F828" s="6">
        <f t="shared" si="60"/>
        <v>1601.6556659304704</v>
      </c>
      <c r="G828" s="7">
        <f t="shared" si="61"/>
        <v>1724.8599479251218</v>
      </c>
      <c r="H828" s="8">
        <f t="shared" si="62"/>
        <v>1848.0642299197734</v>
      </c>
      <c r="I828" s="9">
        <f t="shared" si="63"/>
        <v>1971.2685119144253</v>
      </c>
    </row>
    <row r="829" spans="1:9" x14ac:dyDescent="0.35">
      <c r="A829" s="18" t="s">
        <v>1305</v>
      </c>
      <c r="B829" s="18" t="s">
        <v>3177</v>
      </c>
      <c r="C829" s="20">
        <v>45726</v>
      </c>
      <c r="D829" s="11">
        <v>1597.6119216705754</v>
      </c>
      <c r="E829" s="27">
        <f t="shared" si="64"/>
        <v>1778.4615912036845</v>
      </c>
      <c r="F829" s="6">
        <f t="shared" si="60"/>
        <v>2312.0000685647901</v>
      </c>
      <c r="G829" s="7">
        <f t="shared" si="61"/>
        <v>2489.8462276851583</v>
      </c>
      <c r="H829" s="8">
        <f t="shared" si="62"/>
        <v>2667.6923868055269</v>
      </c>
      <c r="I829" s="9">
        <f t="shared" si="63"/>
        <v>2845.5385459258955</v>
      </c>
    </row>
    <row r="830" spans="1:9" x14ac:dyDescent="0.35">
      <c r="A830" s="18" t="s">
        <v>1306</v>
      </c>
      <c r="B830" s="18" t="s">
        <v>3178</v>
      </c>
      <c r="C830" s="20">
        <v>45726</v>
      </c>
      <c r="D830" s="11">
        <v>2485.1909830086001</v>
      </c>
      <c r="E830" s="27">
        <f t="shared" si="64"/>
        <v>2766.5146022851741</v>
      </c>
      <c r="F830" s="6">
        <f t="shared" si="60"/>
        <v>3596.4689829707263</v>
      </c>
      <c r="G830" s="7">
        <f t="shared" si="61"/>
        <v>3873.1204431992433</v>
      </c>
      <c r="H830" s="8">
        <f t="shared" si="62"/>
        <v>4149.7719034277616</v>
      </c>
      <c r="I830" s="9">
        <f t="shared" si="63"/>
        <v>4426.4233636562785</v>
      </c>
    </row>
    <row r="831" spans="1:9" x14ac:dyDescent="0.35">
      <c r="A831" s="18" t="s">
        <v>1307</v>
      </c>
      <c r="B831" s="18" t="s">
        <v>3179</v>
      </c>
      <c r="C831" s="20">
        <v>45726</v>
      </c>
      <c r="D831" s="11">
        <v>2969.2835772777003</v>
      </c>
      <c r="E831" s="27">
        <f t="shared" si="64"/>
        <v>3305.4064782255359</v>
      </c>
      <c r="F831" s="6">
        <f t="shared" si="60"/>
        <v>4297.0284216931968</v>
      </c>
      <c r="G831" s="7">
        <f t="shared" si="61"/>
        <v>4627.56906951575</v>
      </c>
      <c r="H831" s="8">
        <f t="shared" si="62"/>
        <v>4958.1097173383041</v>
      </c>
      <c r="I831" s="9">
        <f t="shared" si="63"/>
        <v>5288.6503651608582</v>
      </c>
    </row>
    <row r="832" spans="1:9" x14ac:dyDescent="0.35">
      <c r="C832" s="20">
        <v>45726</v>
      </c>
      <c r="D832" s="11">
        <v>0</v>
      </c>
      <c r="E832" s="27">
        <f t="shared" si="64"/>
        <v>0</v>
      </c>
      <c r="F832" s="6">
        <f t="shared" si="60"/>
        <v>0</v>
      </c>
      <c r="G832" s="7">
        <f t="shared" si="61"/>
        <v>0</v>
      </c>
      <c r="H832" s="8">
        <f t="shared" si="62"/>
        <v>0</v>
      </c>
      <c r="I832" s="9">
        <f t="shared" si="63"/>
        <v>0</v>
      </c>
    </row>
    <row r="833" spans="1:9" x14ac:dyDescent="0.35">
      <c r="A833" s="18" t="s">
        <v>1308</v>
      </c>
      <c r="B833" s="18" t="s">
        <v>3180</v>
      </c>
      <c r="C833" s="20">
        <v>45726</v>
      </c>
      <c r="D833" s="11">
        <v>1456.9272597014101</v>
      </c>
      <c r="E833" s="27">
        <f t="shared" si="64"/>
        <v>1621.8514254996096</v>
      </c>
      <c r="F833" s="6">
        <f t="shared" si="60"/>
        <v>2108.4068531494927</v>
      </c>
      <c r="G833" s="7">
        <f t="shared" si="61"/>
        <v>2270.5919956994535</v>
      </c>
      <c r="H833" s="8">
        <f t="shared" si="62"/>
        <v>2432.7771382494143</v>
      </c>
      <c r="I833" s="9">
        <f t="shared" si="63"/>
        <v>2594.9622807993755</v>
      </c>
    </row>
    <row r="834" spans="1:9" x14ac:dyDescent="0.35">
      <c r="A834" s="18" t="s">
        <v>1309</v>
      </c>
      <c r="B834" s="18" t="s">
        <v>3181</v>
      </c>
      <c r="C834" s="20">
        <v>45726</v>
      </c>
      <c r="D834" s="11">
        <v>1529.6930925311256</v>
      </c>
      <c r="E834" s="27">
        <f t="shared" si="64"/>
        <v>1702.854350605649</v>
      </c>
      <c r="F834" s="6">
        <f t="shared" si="60"/>
        <v>2213.7106557873435</v>
      </c>
      <c r="G834" s="7">
        <f t="shared" si="61"/>
        <v>2383.9960908479084</v>
      </c>
      <c r="H834" s="8">
        <f t="shared" si="62"/>
        <v>2554.2815259084737</v>
      </c>
      <c r="I834" s="9">
        <f t="shared" si="63"/>
        <v>2724.5669609690385</v>
      </c>
    </row>
    <row r="835" spans="1:9" x14ac:dyDescent="0.35">
      <c r="A835" s="18" t="s">
        <v>1310</v>
      </c>
      <c r="B835" s="18" t="s">
        <v>3182</v>
      </c>
      <c r="C835" s="20">
        <v>45726</v>
      </c>
      <c r="D835" s="11">
        <v>1774.4428</v>
      </c>
      <c r="E835" s="27">
        <f t="shared" si="64"/>
        <v>1975.3097249600003</v>
      </c>
      <c r="F835" s="6">
        <f t="shared" si="60"/>
        <v>2567.9026424480003</v>
      </c>
      <c r="G835" s="7">
        <f t="shared" si="61"/>
        <v>2765.4336149440001</v>
      </c>
      <c r="H835" s="8">
        <f t="shared" si="62"/>
        <v>2962.9645874400003</v>
      </c>
      <c r="I835" s="9">
        <f t="shared" si="63"/>
        <v>3160.4955599360005</v>
      </c>
    </row>
    <row r="836" spans="1:9" x14ac:dyDescent="0.35">
      <c r="A836" s="18" t="s">
        <v>1311</v>
      </c>
      <c r="B836" s="18" t="s">
        <v>3183</v>
      </c>
      <c r="C836" s="20">
        <v>45726</v>
      </c>
      <c r="D836" s="11">
        <v>3226.2793000000001</v>
      </c>
      <c r="E836" s="27">
        <f t="shared" si="64"/>
        <v>3591.4941167600005</v>
      </c>
      <c r="F836" s="6">
        <f t="shared" si="60"/>
        <v>4668.9423517880005</v>
      </c>
      <c r="G836" s="7">
        <f t="shared" si="61"/>
        <v>5028.091763464</v>
      </c>
      <c r="H836" s="8">
        <f t="shared" si="62"/>
        <v>5387.2411751400005</v>
      </c>
      <c r="I836" s="9">
        <f t="shared" si="63"/>
        <v>5746.3905868160009</v>
      </c>
    </row>
    <row r="837" spans="1:9" x14ac:dyDescent="0.35">
      <c r="C837" s="20">
        <v>45726</v>
      </c>
      <c r="D837" s="11">
        <v>0</v>
      </c>
      <c r="E837" s="27">
        <f t="shared" si="64"/>
        <v>0</v>
      </c>
      <c r="F837" s="6">
        <f t="shared" si="60"/>
        <v>0</v>
      </c>
      <c r="G837" s="7">
        <f t="shared" si="61"/>
        <v>0</v>
      </c>
      <c r="H837" s="8">
        <f t="shared" si="62"/>
        <v>0</v>
      </c>
      <c r="I837" s="9">
        <f t="shared" si="63"/>
        <v>0</v>
      </c>
    </row>
    <row r="838" spans="1:9" x14ac:dyDescent="0.35">
      <c r="A838" s="18" t="s">
        <v>5494</v>
      </c>
      <c r="B838" s="18" t="s">
        <v>5496</v>
      </c>
      <c r="C838" s="20">
        <v>45726</v>
      </c>
      <c r="D838" s="11">
        <v>2138.7287749346001</v>
      </c>
      <c r="E838" s="27">
        <f t="shared" si="64"/>
        <v>2380.8328722571969</v>
      </c>
      <c r="F838" s="6">
        <f t="shared" si="60"/>
        <v>3095.0827339343559</v>
      </c>
      <c r="G838" s="7">
        <f t="shared" si="61"/>
        <v>3333.1660211600756</v>
      </c>
      <c r="H838" s="8">
        <f t="shared" si="62"/>
        <v>3571.2493083857953</v>
      </c>
      <c r="I838" s="9">
        <f t="shared" si="63"/>
        <v>3809.332595611515</v>
      </c>
    </row>
    <row r="839" spans="1:9" x14ac:dyDescent="0.35">
      <c r="A839" s="18" t="s">
        <v>5495</v>
      </c>
      <c r="B839" s="18" t="s">
        <v>5497</v>
      </c>
      <c r="C839" s="20">
        <v>45726</v>
      </c>
      <c r="D839" s="11">
        <v>2646.342832603098</v>
      </c>
      <c r="E839" s="27">
        <f t="shared" si="64"/>
        <v>2945.908841253769</v>
      </c>
      <c r="F839" s="6">
        <f t="shared" si="60"/>
        <v>3829.6814936298997</v>
      </c>
      <c r="G839" s="7">
        <f t="shared" si="61"/>
        <v>4124.2723777552765</v>
      </c>
      <c r="H839" s="8">
        <f t="shared" si="62"/>
        <v>4418.8632618806532</v>
      </c>
      <c r="I839" s="9">
        <f t="shared" si="63"/>
        <v>4713.4541460060309</v>
      </c>
    </row>
    <row r="840" spans="1:9" x14ac:dyDescent="0.35">
      <c r="A840" s="18" t="s">
        <v>5498</v>
      </c>
      <c r="B840" s="18" t="s">
        <v>5500</v>
      </c>
      <c r="C840" s="20">
        <v>45726</v>
      </c>
      <c r="D840" s="11">
        <v>2720.9968801552</v>
      </c>
      <c r="E840" s="27">
        <f t="shared" si="64"/>
        <v>3029.0137269887687</v>
      </c>
      <c r="F840" s="6">
        <f t="shared" si="60"/>
        <v>3937.7178450853994</v>
      </c>
      <c r="G840" s="7">
        <f t="shared" si="61"/>
        <v>4240.6192177842759</v>
      </c>
      <c r="H840" s="8">
        <f t="shared" si="62"/>
        <v>4543.5205904831528</v>
      </c>
      <c r="I840" s="9">
        <f t="shared" si="63"/>
        <v>4846.4219631820297</v>
      </c>
    </row>
    <row r="841" spans="1:9" x14ac:dyDescent="0.35">
      <c r="A841" s="18" t="s">
        <v>5499</v>
      </c>
      <c r="B841" s="18" t="s">
        <v>5501</v>
      </c>
      <c r="C841" s="20">
        <v>45726</v>
      </c>
      <c r="D841" s="11">
        <v>3627.3150787574832</v>
      </c>
      <c r="E841" s="27">
        <f t="shared" si="64"/>
        <v>4037.9271456728306</v>
      </c>
      <c r="F841" s="6">
        <f t="shared" si="60"/>
        <v>5249.3052893746799</v>
      </c>
      <c r="G841" s="7">
        <f t="shared" si="61"/>
        <v>5653.0980039419628</v>
      </c>
      <c r="H841" s="8">
        <f t="shared" si="62"/>
        <v>6056.8907185092457</v>
      </c>
      <c r="I841" s="9">
        <f t="shared" si="63"/>
        <v>6460.6834330765296</v>
      </c>
    </row>
    <row r="842" spans="1:9" x14ac:dyDescent="0.35">
      <c r="C842" s="20">
        <v>45726</v>
      </c>
      <c r="D842" s="11">
        <v>0</v>
      </c>
      <c r="E842" s="27">
        <f t="shared" si="64"/>
        <v>0</v>
      </c>
      <c r="F842" s="6">
        <f t="shared" si="60"/>
        <v>0</v>
      </c>
      <c r="G842" s="7">
        <f t="shared" si="61"/>
        <v>0</v>
      </c>
      <c r="H842" s="8">
        <f t="shared" si="62"/>
        <v>0</v>
      </c>
      <c r="I842" s="9">
        <f t="shared" si="63"/>
        <v>0</v>
      </c>
    </row>
    <row r="843" spans="1:9" x14ac:dyDescent="0.35">
      <c r="A843" s="18" t="s">
        <v>1312</v>
      </c>
      <c r="B843" s="18" t="s">
        <v>1081</v>
      </c>
      <c r="C843" s="20">
        <v>45726</v>
      </c>
      <c r="D843" s="11">
        <v>103.38248623374002</v>
      </c>
      <c r="E843" s="27">
        <f t="shared" si="64"/>
        <v>115.0853836753994</v>
      </c>
      <c r="F843" s="6">
        <f t="shared" si="60"/>
        <v>149.61099877801922</v>
      </c>
      <c r="G843" s="7">
        <f t="shared" si="61"/>
        <v>161.11953714555915</v>
      </c>
      <c r="H843" s="8">
        <f t="shared" si="62"/>
        <v>172.62807551309911</v>
      </c>
      <c r="I843" s="9">
        <f t="shared" si="63"/>
        <v>184.13661388063906</v>
      </c>
    </row>
    <row r="844" spans="1:9" x14ac:dyDescent="0.35">
      <c r="A844" s="18" t="s">
        <v>1313</v>
      </c>
      <c r="B844" s="18" t="s">
        <v>1181</v>
      </c>
      <c r="C844" s="20">
        <v>45726</v>
      </c>
      <c r="D844" s="11">
        <v>127.86061458802503</v>
      </c>
      <c r="E844" s="27">
        <f t="shared" ref="E844:E907" si="65">D844*1.21*0.92</f>
        <v>142.33443615938947</v>
      </c>
      <c r="F844" s="6">
        <f t="shared" si="60"/>
        <v>185.03476700720631</v>
      </c>
      <c r="G844" s="7">
        <f t="shared" si="61"/>
        <v>199.26821062314525</v>
      </c>
      <c r="H844" s="8">
        <f t="shared" si="62"/>
        <v>213.50165423908419</v>
      </c>
      <c r="I844" s="9">
        <f t="shared" si="63"/>
        <v>227.73509785502316</v>
      </c>
    </row>
    <row r="845" spans="1:9" x14ac:dyDescent="0.35">
      <c r="A845" s="18" t="s">
        <v>1314</v>
      </c>
      <c r="B845" s="18" t="s">
        <v>1182</v>
      </c>
      <c r="C845" s="20">
        <v>45726</v>
      </c>
      <c r="D845" s="11">
        <v>161.21225440035002</v>
      </c>
      <c r="E845" s="27">
        <f t="shared" si="65"/>
        <v>179.46148159846965</v>
      </c>
      <c r="F845" s="6">
        <f t="shared" si="60"/>
        <v>233.29992607801054</v>
      </c>
      <c r="G845" s="7">
        <f t="shared" si="61"/>
        <v>251.2460742378575</v>
      </c>
      <c r="H845" s="8">
        <f t="shared" si="62"/>
        <v>269.19222239770448</v>
      </c>
      <c r="I845" s="9">
        <f t="shared" si="63"/>
        <v>287.13837055755147</v>
      </c>
    </row>
    <row r="846" spans="1:9" x14ac:dyDescent="0.35">
      <c r="A846" s="18" t="s">
        <v>6609</v>
      </c>
      <c r="B846" s="18" t="s">
        <v>6612</v>
      </c>
      <c r="C846" s="20">
        <v>45726</v>
      </c>
      <c r="D846" s="11">
        <v>422.71199999999999</v>
      </c>
      <c r="E846" s="27">
        <f t="shared" si="65"/>
        <v>470.56299840000003</v>
      </c>
      <c r="F846" s="6">
        <f t="shared" si="60"/>
        <v>611.73189792000005</v>
      </c>
      <c r="G846" s="7">
        <f t="shared" si="61"/>
        <v>658.78819776</v>
      </c>
      <c r="H846" s="8">
        <f t="shared" si="62"/>
        <v>705.84449760000007</v>
      </c>
      <c r="I846" s="9">
        <f t="shared" si="63"/>
        <v>752.90079744000013</v>
      </c>
    </row>
    <row r="847" spans="1:9" x14ac:dyDescent="0.35">
      <c r="A847" s="18" t="s">
        <v>6610</v>
      </c>
      <c r="B847" s="18" t="s">
        <v>6613</v>
      </c>
      <c r="C847" s="20">
        <v>45726</v>
      </c>
      <c r="D847" s="11">
        <v>850.7079</v>
      </c>
      <c r="E847" s="27">
        <f t="shared" si="65"/>
        <v>947.00803428000006</v>
      </c>
      <c r="F847" s="6">
        <f t="shared" si="60"/>
        <v>1231.1104445640001</v>
      </c>
      <c r="G847" s="7">
        <f t="shared" si="61"/>
        <v>1325.8112479920001</v>
      </c>
      <c r="H847" s="8">
        <f t="shared" si="62"/>
        <v>1420.51205142</v>
      </c>
      <c r="I847" s="9">
        <f t="shared" si="63"/>
        <v>1515.2128548480002</v>
      </c>
    </row>
    <row r="848" spans="1:9" x14ac:dyDescent="0.35">
      <c r="A848" s="18" t="s">
        <v>6611</v>
      </c>
      <c r="B848" s="18" t="s">
        <v>6614</v>
      </c>
      <c r="C848" s="20">
        <v>45726</v>
      </c>
      <c r="D848" s="11">
        <v>1748.8988000000002</v>
      </c>
      <c r="E848" s="27">
        <f t="shared" si="65"/>
        <v>1946.8741441600005</v>
      </c>
      <c r="F848" s="6">
        <f t="shared" si="60"/>
        <v>2530.9363874080009</v>
      </c>
      <c r="G848" s="7">
        <f t="shared" si="61"/>
        <v>2725.6238018240006</v>
      </c>
      <c r="H848" s="8">
        <f t="shared" si="62"/>
        <v>2920.3112162400007</v>
      </c>
      <c r="I848" s="9">
        <f t="shared" si="63"/>
        <v>3114.9986306560008</v>
      </c>
    </row>
    <row r="849" spans="1:9" x14ac:dyDescent="0.35">
      <c r="C849" s="20">
        <v>45726</v>
      </c>
      <c r="D849" s="11">
        <v>0</v>
      </c>
      <c r="E849" s="27">
        <f t="shared" si="65"/>
        <v>0</v>
      </c>
      <c r="F849" s="6">
        <f t="shared" ref="F849:F941" si="66">E849*1.3</f>
        <v>0</v>
      </c>
      <c r="G849" s="7">
        <f t="shared" ref="G849:G941" si="67">E849*1.4</f>
        <v>0</v>
      </c>
      <c r="H849" s="8">
        <f t="shared" ref="H849:H941" si="68">E849*1.5</f>
        <v>0</v>
      </c>
      <c r="I849" s="9">
        <f t="shared" ref="I849:I941" si="69">E849*1.6</f>
        <v>0</v>
      </c>
    </row>
    <row r="850" spans="1:9" x14ac:dyDescent="0.35">
      <c r="A850" s="18" t="s">
        <v>1315</v>
      </c>
      <c r="B850" s="18" t="s">
        <v>3184</v>
      </c>
      <c r="C850" s="20">
        <v>45726</v>
      </c>
      <c r="D850" s="11">
        <v>927.92700000000002</v>
      </c>
      <c r="E850" s="27">
        <f t="shared" si="65"/>
        <v>1032.9683364</v>
      </c>
      <c r="F850" s="6">
        <f t="shared" si="66"/>
        <v>1342.85883732</v>
      </c>
      <c r="G850" s="7">
        <f t="shared" si="67"/>
        <v>1446.15567096</v>
      </c>
      <c r="H850" s="8">
        <f t="shared" si="68"/>
        <v>1549.4525045999999</v>
      </c>
      <c r="I850" s="9">
        <f t="shared" si="69"/>
        <v>1652.74933824</v>
      </c>
    </row>
    <row r="851" spans="1:9" x14ac:dyDescent="0.35">
      <c r="A851" s="18" t="s">
        <v>1316</v>
      </c>
      <c r="B851" s="18" t="s">
        <v>3185</v>
      </c>
      <c r="C851" s="20">
        <v>45726</v>
      </c>
      <c r="D851" s="11">
        <v>995.53505262120029</v>
      </c>
      <c r="E851" s="27">
        <f t="shared" si="65"/>
        <v>1108.2296205779201</v>
      </c>
      <c r="F851" s="6">
        <f t="shared" si="66"/>
        <v>1440.6985067512962</v>
      </c>
      <c r="G851" s="7">
        <f t="shared" si="67"/>
        <v>1551.521468809088</v>
      </c>
      <c r="H851" s="8">
        <f t="shared" si="68"/>
        <v>1662.34443086688</v>
      </c>
      <c r="I851" s="9">
        <f t="shared" si="69"/>
        <v>1773.1673929246722</v>
      </c>
    </row>
    <row r="852" spans="1:9" x14ac:dyDescent="0.35">
      <c r="A852" s="18" t="s">
        <v>1317</v>
      </c>
      <c r="B852" s="18" t="s">
        <v>3186</v>
      </c>
      <c r="C852" s="20">
        <v>45726</v>
      </c>
      <c r="D852" s="11">
        <v>1025.2400438891252</v>
      </c>
      <c r="E852" s="27">
        <f t="shared" si="65"/>
        <v>1141.2972168573742</v>
      </c>
      <c r="F852" s="6">
        <f t="shared" si="66"/>
        <v>1483.6863819145865</v>
      </c>
      <c r="G852" s="7">
        <f t="shared" si="67"/>
        <v>1597.8161036003239</v>
      </c>
      <c r="H852" s="8">
        <f t="shared" si="68"/>
        <v>1711.9458252860613</v>
      </c>
      <c r="I852" s="9">
        <f t="shared" si="69"/>
        <v>1826.0755469717988</v>
      </c>
    </row>
    <row r="853" spans="1:9" x14ac:dyDescent="0.35">
      <c r="A853" s="18" t="s">
        <v>3267</v>
      </c>
      <c r="B853" s="18" t="s">
        <v>3268</v>
      </c>
      <c r="C853" s="20">
        <v>45726</v>
      </c>
      <c r="D853" s="11">
        <v>1443.4650488250002</v>
      </c>
      <c r="E853" s="27">
        <f t="shared" si="65"/>
        <v>1606.8652923519903</v>
      </c>
      <c r="F853" s="6">
        <f t="shared" si="66"/>
        <v>2088.9248800575874</v>
      </c>
      <c r="G853" s="7">
        <f t="shared" si="67"/>
        <v>2249.6114092927864</v>
      </c>
      <c r="H853" s="8">
        <f t="shared" si="68"/>
        <v>2410.2979385279855</v>
      </c>
      <c r="I853" s="9">
        <f t="shared" si="69"/>
        <v>2570.9844677631845</v>
      </c>
    </row>
    <row r="854" spans="1:9" x14ac:dyDescent="0.35">
      <c r="A854" s="18" t="s">
        <v>1318</v>
      </c>
      <c r="B854" s="18" t="s">
        <v>3187</v>
      </c>
      <c r="C854" s="20">
        <v>45726</v>
      </c>
      <c r="D854" s="11">
        <v>1457.5198400898753</v>
      </c>
      <c r="E854" s="27">
        <f t="shared" si="65"/>
        <v>1622.5110859880492</v>
      </c>
      <c r="F854" s="6">
        <f t="shared" si="66"/>
        <v>2109.2644117844638</v>
      </c>
      <c r="G854" s="7">
        <f t="shared" si="67"/>
        <v>2271.5155203832687</v>
      </c>
      <c r="H854" s="8">
        <f t="shared" si="68"/>
        <v>2433.7666289820736</v>
      </c>
      <c r="I854" s="9">
        <f t="shared" si="69"/>
        <v>2596.0177375808789</v>
      </c>
    </row>
    <row r="855" spans="1:9" x14ac:dyDescent="0.35">
      <c r="A855" s="18" t="s">
        <v>1319</v>
      </c>
      <c r="B855" s="18" t="s">
        <v>6618</v>
      </c>
      <c r="C855" s="20">
        <v>45726</v>
      </c>
      <c r="D855" s="11">
        <v>2484.6591800958759</v>
      </c>
      <c r="E855" s="27">
        <f t="shared" si="65"/>
        <v>2765.9225992827292</v>
      </c>
      <c r="F855" s="6">
        <f t="shared" si="66"/>
        <v>3595.6993790675479</v>
      </c>
      <c r="G855" s="7">
        <f t="shared" si="67"/>
        <v>3872.2916389958204</v>
      </c>
      <c r="H855" s="8">
        <f t="shared" si="68"/>
        <v>4148.883898924094</v>
      </c>
      <c r="I855" s="9">
        <f t="shared" si="69"/>
        <v>4425.476158852367</v>
      </c>
    </row>
    <row r="856" spans="1:9" x14ac:dyDescent="0.35">
      <c r="A856" s="18" t="s">
        <v>6615</v>
      </c>
      <c r="B856" s="18" t="s">
        <v>6619</v>
      </c>
      <c r="C856" s="20">
        <v>45726</v>
      </c>
      <c r="D856" s="11">
        <v>5315.4489000000003</v>
      </c>
      <c r="E856" s="27">
        <f t="shared" si="65"/>
        <v>5917.1577154800007</v>
      </c>
      <c r="F856" s="6">
        <f t="shared" si="66"/>
        <v>7692.305030124001</v>
      </c>
      <c r="G856" s="7">
        <f t="shared" si="67"/>
        <v>8284.0208016720007</v>
      </c>
      <c r="H856" s="8">
        <f t="shared" si="68"/>
        <v>8875.7365732200014</v>
      </c>
      <c r="I856" s="9">
        <f t="shared" si="69"/>
        <v>9467.4523447680021</v>
      </c>
    </row>
    <row r="857" spans="1:9" x14ac:dyDescent="0.35">
      <c r="A857" s="18" t="s">
        <v>6616</v>
      </c>
      <c r="B857" s="18" t="s">
        <v>6620</v>
      </c>
      <c r="C857" s="20">
        <v>45726</v>
      </c>
      <c r="D857" s="11">
        <v>7275.7757999999994</v>
      </c>
      <c r="E857" s="27">
        <f t="shared" si="65"/>
        <v>8099.3936205600003</v>
      </c>
      <c r="F857" s="6">
        <f t="shared" si="66"/>
        <v>10529.211706728001</v>
      </c>
      <c r="G857" s="7">
        <f t="shared" si="67"/>
        <v>11339.151068784</v>
      </c>
      <c r="H857" s="8">
        <f t="shared" si="68"/>
        <v>12149.09043084</v>
      </c>
      <c r="I857" s="9">
        <f t="shared" si="69"/>
        <v>12959.029792896001</v>
      </c>
    </row>
    <row r="858" spans="1:9" x14ac:dyDescent="0.35">
      <c r="A858" s="18" t="s">
        <v>6617</v>
      </c>
      <c r="B858" s="18" t="s">
        <v>6621</v>
      </c>
      <c r="C858" s="20">
        <v>45726</v>
      </c>
      <c r="D858" s="11">
        <v>10637.489799999999</v>
      </c>
      <c r="E858" s="27">
        <f t="shared" si="65"/>
        <v>11841.653645359998</v>
      </c>
      <c r="F858" s="6">
        <f t="shared" si="66"/>
        <v>15394.149738967999</v>
      </c>
      <c r="G858" s="7">
        <f t="shared" si="67"/>
        <v>16578.315103503995</v>
      </c>
      <c r="H858" s="8">
        <f t="shared" si="68"/>
        <v>17762.480468039998</v>
      </c>
      <c r="I858" s="9">
        <f t="shared" si="69"/>
        <v>18946.645832576</v>
      </c>
    </row>
    <row r="859" spans="1:9" x14ac:dyDescent="0.35">
      <c r="C859" s="20">
        <v>45726</v>
      </c>
      <c r="D859" s="11">
        <v>0</v>
      </c>
      <c r="E859" s="27">
        <f t="shared" si="65"/>
        <v>0</v>
      </c>
      <c r="F859" s="6">
        <f t="shared" si="66"/>
        <v>0</v>
      </c>
      <c r="G859" s="7">
        <f t="shared" si="67"/>
        <v>0</v>
      </c>
      <c r="H859" s="8">
        <f t="shared" si="68"/>
        <v>0</v>
      </c>
      <c r="I859" s="9">
        <f t="shared" si="69"/>
        <v>0</v>
      </c>
    </row>
    <row r="860" spans="1:9" x14ac:dyDescent="0.35">
      <c r="A860" s="18" t="s">
        <v>1320</v>
      </c>
      <c r="B860" s="18" t="s">
        <v>3188</v>
      </c>
      <c r="C860" s="20">
        <v>45726</v>
      </c>
      <c r="D860" s="11">
        <v>1242.8993788830001</v>
      </c>
      <c r="E860" s="27">
        <f t="shared" si="65"/>
        <v>1383.5955885725557</v>
      </c>
      <c r="F860" s="6">
        <f t="shared" si="66"/>
        <v>1798.6742651443224</v>
      </c>
      <c r="G860" s="7">
        <f t="shared" si="67"/>
        <v>1937.0338240015778</v>
      </c>
      <c r="H860" s="8">
        <f t="shared" si="68"/>
        <v>2075.3933828588333</v>
      </c>
      <c r="I860" s="9">
        <f t="shared" si="69"/>
        <v>2213.752941716089</v>
      </c>
    </row>
    <row r="861" spans="1:9" x14ac:dyDescent="0.35">
      <c r="A861" s="18" t="s">
        <v>1321</v>
      </c>
      <c r="B861" s="18" t="s">
        <v>3189</v>
      </c>
      <c r="C861" s="20">
        <v>45726</v>
      </c>
      <c r="D861" s="11">
        <v>1331.0267187060001</v>
      </c>
      <c r="E861" s="27">
        <f t="shared" si="65"/>
        <v>1481.6989432635194</v>
      </c>
      <c r="F861" s="6">
        <f t="shared" si="66"/>
        <v>1926.2086262425753</v>
      </c>
      <c r="G861" s="7">
        <f t="shared" si="67"/>
        <v>2074.3785205689269</v>
      </c>
      <c r="H861" s="8">
        <f t="shared" si="68"/>
        <v>2222.5484148952792</v>
      </c>
      <c r="I861" s="9">
        <f t="shared" si="69"/>
        <v>2370.718309221631</v>
      </c>
    </row>
    <row r="862" spans="1:9" x14ac:dyDescent="0.35">
      <c r="A862" s="18" t="s">
        <v>3383</v>
      </c>
      <c r="B862" s="18" t="s">
        <v>3384</v>
      </c>
      <c r="C862" s="20">
        <v>45726</v>
      </c>
      <c r="D862" s="11">
        <v>1904.9180333809506</v>
      </c>
      <c r="E862" s="27">
        <f t="shared" si="65"/>
        <v>2120.5547547596743</v>
      </c>
      <c r="F862" s="6">
        <f t="shared" si="66"/>
        <v>2756.7211811875768</v>
      </c>
      <c r="G862" s="7">
        <f t="shared" si="67"/>
        <v>2968.7766566635437</v>
      </c>
      <c r="H862" s="8">
        <f t="shared" si="68"/>
        <v>3180.8321321395115</v>
      </c>
      <c r="I862" s="9">
        <f t="shared" si="69"/>
        <v>3392.8876076154793</v>
      </c>
    </row>
    <row r="863" spans="1:9" x14ac:dyDescent="0.35">
      <c r="A863" s="18" t="s">
        <v>1322</v>
      </c>
      <c r="B863" s="18" t="s">
        <v>3190</v>
      </c>
      <c r="C863" s="20">
        <v>45726</v>
      </c>
      <c r="D863" s="11">
        <v>1596.9281750685002</v>
      </c>
      <c r="E863" s="27">
        <f t="shared" si="65"/>
        <v>1777.7004444862546</v>
      </c>
      <c r="F863" s="6">
        <f t="shared" si="66"/>
        <v>2311.0105778321308</v>
      </c>
      <c r="G863" s="7">
        <f t="shared" si="67"/>
        <v>2488.7806222807562</v>
      </c>
      <c r="H863" s="8">
        <f t="shared" si="68"/>
        <v>2666.5506667293821</v>
      </c>
      <c r="I863" s="9">
        <f t="shared" si="69"/>
        <v>2844.3207111780075</v>
      </c>
    </row>
    <row r="864" spans="1:9" x14ac:dyDescent="0.35">
      <c r="A864" s="18" t="s">
        <v>1323</v>
      </c>
      <c r="B864" s="18" t="s">
        <v>3191</v>
      </c>
      <c r="C864" s="20">
        <v>45726</v>
      </c>
      <c r="D864" s="11">
        <v>2840.2833850195502</v>
      </c>
      <c r="E864" s="27">
        <f t="shared" si="65"/>
        <v>3161.8034642037633</v>
      </c>
      <c r="F864" s="6">
        <f t="shared" si="66"/>
        <v>4110.3445034648921</v>
      </c>
      <c r="G864" s="7">
        <f t="shared" si="67"/>
        <v>4426.5248498852679</v>
      </c>
      <c r="H864" s="8">
        <f t="shared" si="68"/>
        <v>4742.7051963056447</v>
      </c>
      <c r="I864" s="9">
        <f t="shared" si="69"/>
        <v>5058.8855427260214</v>
      </c>
    </row>
    <row r="865" spans="1:9" x14ac:dyDescent="0.35">
      <c r="A865" s="18" t="s">
        <v>1324</v>
      </c>
      <c r="B865" s="18" t="s">
        <v>3192</v>
      </c>
      <c r="C865" s="20">
        <v>45726</v>
      </c>
      <c r="D865" s="11">
        <v>3195.2238433411508</v>
      </c>
      <c r="E865" s="27">
        <f t="shared" si="65"/>
        <v>3556.923182407369</v>
      </c>
      <c r="F865" s="6">
        <f t="shared" si="66"/>
        <v>4624.0001371295803</v>
      </c>
      <c r="G865" s="7">
        <f t="shared" si="67"/>
        <v>4979.6924553703166</v>
      </c>
      <c r="H865" s="8">
        <f t="shared" si="68"/>
        <v>5335.3847736110538</v>
      </c>
      <c r="I865" s="9">
        <f t="shared" si="69"/>
        <v>5691.077091851791</v>
      </c>
    </row>
    <row r="866" spans="1:9" x14ac:dyDescent="0.35">
      <c r="A866" s="18" t="s">
        <v>6622</v>
      </c>
      <c r="B866" s="18" t="s">
        <v>6625</v>
      </c>
      <c r="C866" s="20">
        <v>45726</v>
      </c>
      <c r="D866" s="11">
        <v>6713.859300000001</v>
      </c>
      <c r="E866" s="27">
        <f t="shared" si="65"/>
        <v>7473.8681727600015</v>
      </c>
      <c r="F866" s="6">
        <f t="shared" si="66"/>
        <v>9716.0286245880015</v>
      </c>
      <c r="G866" s="7">
        <f t="shared" si="67"/>
        <v>10463.415441864001</v>
      </c>
      <c r="H866" s="8">
        <f t="shared" si="68"/>
        <v>11210.802259140002</v>
      </c>
      <c r="I866" s="9">
        <f t="shared" si="69"/>
        <v>11958.189076416003</v>
      </c>
    </row>
    <row r="867" spans="1:9" x14ac:dyDescent="0.35">
      <c r="A867" s="18" t="s">
        <v>6623</v>
      </c>
      <c r="B867" s="18" t="s">
        <v>6626</v>
      </c>
      <c r="C867" s="20">
        <v>45726</v>
      </c>
      <c r="D867" s="11">
        <v>9192.8220999999994</v>
      </c>
      <c r="E867" s="27">
        <f t="shared" si="65"/>
        <v>10233.449561719999</v>
      </c>
      <c r="F867" s="6">
        <f t="shared" si="66"/>
        <v>13303.484430236</v>
      </c>
      <c r="G867" s="7">
        <f t="shared" si="67"/>
        <v>14326.829386407999</v>
      </c>
      <c r="H867" s="8">
        <f t="shared" si="68"/>
        <v>15350.174342579998</v>
      </c>
      <c r="I867" s="9">
        <f t="shared" si="69"/>
        <v>16373.519298751999</v>
      </c>
    </row>
    <row r="868" spans="1:9" x14ac:dyDescent="0.35">
      <c r="A868" s="18" t="s">
        <v>6624</v>
      </c>
      <c r="B868" s="18" t="s">
        <v>6627</v>
      </c>
      <c r="C868" s="20">
        <v>45726</v>
      </c>
      <c r="D868" s="11">
        <v>13993.229800000001</v>
      </c>
      <c r="E868" s="27">
        <f t="shared" si="65"/>
        <v>15577.263413360002</v>
      </c>
      <c r="F868" s="6">
        <f t="shared" si="66"/>
        <v>20250.442437368005</v>
      </c>
      <c r="G868" s="7">
        <f t="shared" si="67"/>
        <v>21808.168778704003</v>
      </c>
      <c r="H868" s="8">
        <f t="shared" si="68"/>
        <v>23365.895120040004</v>
      </c>
      <c r="I868" s="9">
        <f t="shared" si="69"/>
        <v>24923.621461376006</v>
      </c>
    </row>
    <row r="869" spans="1:9" x14ac:dyDescent="0.35">
      <c r="C869" s="20">
        <v>45726</v>
      </c>
      <c r="D869" s="11">
        <v>0</v>
      </c>
      <c r="E869" s="27">
        <f t="shared" si="65"/>
        <v>0</v>
      </c>
      <c r="F869" s="6">
        <f t="shared" si="66"/>
        <v>0</v>
      </c>
      <c r="G869" s="7">
        <f t="shared" si="67"/>
        <v>0</v>
      </c>
      <c r="H869" s="8">
        <f t="shared" si="68"/>
        <v>0</v>
      </c>
      <c r="I869" s="9">
        <f t="shared" si="69"/>
        <v>0</v>
      </c>
    </row>
    <row r="870" spans="1:9" x14ac:dyDescent="0.35">
      <c r="A870" s="18" t="s">
        <v>1325</v>
      </c>
      <c r="B870" s="18" t="s">
        <v>1631</v>
      </c>
      <c r="C870" s="20">
        <v>45726</v>
      </c>
      <c r="D870" s="11">
        <v>127.48075536465002</v>
      </c>
      <c r="E870" s="27">
        <f t="shared" si="65"/>
        <v>141.91157687192842</v>
      </c>
      <c r="F870" s="6">
        <f t="shared" si="66"/>
        <v>184.48504993350696</v>
      </c>
      <c r="G870" s="7">
        <f t="shared" si="67"/>
        <v>198.67620762069978</v>
      </c>
      <c r="H870" s="8">
        <f t="shared" si="68"/>
        <v>212.86736530789261</v>
      </c>
      <c r="I870" s="9">
        <f t="shared" si="69"/>
        <v>227.05852299508547</v>
      </c>
    </row>
    <row r="871" spans="1:9" x14ac:dyDescent="0.35">
      <c r="A871" s="18" t="s">
        <v>1326</v>
      </c>
      <c r="B871" s="18" t="s">
        <v>1632</v>
      </c>
      <c r="C871" s="20">
        <v>45726</v>
      </c>
      <c r="D871" s="11">
        <v>241.02279439</v>
      </c>
      <c r="E871" s="27">
        <f t="shared" si="65"/>
        <v>268.306574714948</v>
      </c>
      <c r="F871" s="6">
        <f t="shared" si="66"/>
        <v>348.79854712943239</v>
      </c>
      <c r="G871" s="7">
        <f t="shared" si="67"/>
        <v>375.62920460092715</v>
      </c>
      <c r="H871" s="8">
        <f t="shared" si="68"/>
        <v>402.45986207242197</v>
      </c>
      <c r="I871" s="9">
        <f t="shared" si="69"/>
        <v>429.29051954391684</v>
      </c>
    </row>
    <row r="872" spans="1:9" x14ac:dyDescent="0.35">
      <c r="A872" s="18" t="s">
        <v>1327</v>
      </c>
      <c r="B872" s="18" t="s">
        <v>1633</v>
      </c>
      <c r="C872" s="20">
        <v>45726</v>
      </c>
      <c r="D872" s="11">
        <v>160.14864857490002</v>
      </c>
      <c r="E872" s="27">
        <f t="shared" si="65"/>
        <v>178.27747559357871</v>
      </c>
      <c r="F872" s="6">
        <f t="shared" si="66"/>
        <v>231.76071827165234</v>
      </c>
      <c r="G872" s="7">
        <f t="shared" si="67"/>
        <v>249.58846583101018</v>
      </c>
      <c r="H872" s="8">
        <f t="shared" si="68"/>
        <v>267.41621339036806</v>
      </c>
      <c r="I872" s="9">
        <f t="shared" si="69"/>
        <v>285.24396094972593</v>
      </c>
    </row>
    <row r="873" spans="1:9" x14ac:dyDescent="0.35">
      <c r="A873" s="18" t="s">
        <v>6628</v>
      </c>
      <c r="B873" s="18" t="s">
        <v>6635</v>
      </c>
      <c r="C873" s="20">
        <v>45726</v>
      </c>
      <c r="D873" s="11">
        <v>369.94510000000002</v>
      </c>
      <c r="E873" s="27">
        <f t="shared" si="65"/>
        <v>411.82288532000001</v>
      </c>
      <c r="F873" s="6">
        <f t="shared" si="66"/>
        <v>535.36975091600004</v>
      </c>
      <c r="G873" s="7">
        <f t="shared" si="67"/>
        <v>576.55203944799996</v>
      </c>
      <c r="H873" s="8">
        <f t="shared" si="68"/>
        <v>617.73432797999999</v>
      </c>
      <c r="I873" s="9">
        <f t="shared" si="69"/>
        <v>658.91661651200002</v>
      </c>
    </row>
    <row r="874" spans="1:9" x14ac:dyDescent="0.35">
      <c r="A874" s="18" t="s">
        <v>6629</v>
      </c>
      <c r="B874" s="18" t="s">
        <v>6637</v>
      </c>
      <c r="C874" s="20">
        <v>45726</v>
      </c>
      <c r="D874" s="11">
        <v>369.94510000000002</v>
      </c>
      <c r="E874" s="27">
        <f t="shared" si="65"/>
        <v>411.82288532000001</v>
      </c>
      <c r="F874" s="6">
        <f t="shared" si="66"/>
        <v>535.36975091600004</v>
      </c>
      <c r="G874" s="7">
        <f t="shared" si="67"/>
        <v>576.55203944799996</v>
      </c>
      <c r="H874" s="8">
        <f t="shared" si="68"/>
        <v>617.73432797999999</v>
      </c>
      <c r="I874" s="9">
        <f t="shared" si="69"/>
        <v>658.91661651200002</v>
      </c>
    </row>
    <row r="875" spans="1:9" x14ac:dyDescent="0.35">
      <c r="A875" s="18" t="s">
        <v>6630</v>
      </c>
      <c r="B875" s="18" t="s">
        <v>6636</v>
      </c>
      <c r="C875" s="20">
        <v>45726</v>
      </c>
      <c r="D875" s="11">
        <v>369.94510000000002</v>
      </c>
      <c r="E875" s="27">
        <f t="shared" si="65"/>
        <v>411.82288532000001</v>
      </c>
      <c r="F875" s="6">
        <f t="shared" si="66"/>
        <v>535.36975091600004</v>
      </c>
      <c r="G875" s="7">
        <f t="shared" si="67"/>
        <v>576.55203944799996</v>
      </c>
      <c r="H875" s="8">
        <f t="shared" si="68"/>
        <v>617.73432797999999</v>
      </c>
      <c r="I875" s="9">
        <f t="shared" si="69"/>
        <v>658.91661651200002</v>
      </c>
    </row>
    <row r="876" spans="1:9" x14ac:dyDescent="0.35">
      <c r="A876" s="18" t="s">
        <v>6631</v>
      </c>
      <c r="B876" s="18" t="s">
        <v>6638</v>
      </c>
      <c r="C876" s="20">
        <v>45726</v>
      </c>
      <c r="D876" s="11">
        <v>743.5055000000001</v>
      </c>
      <c r="E876" s="27">
        <f t="shared" si="65"/>
        <v>827.67032260000019</v>
      </c>
      <c r="F876" s="6">
        <f t="shared" si="66"/>
        <v>1075.9714193800003</v>
      </c>
      <c r="G876" s="7">
        <f t="shared" si="67"/>
        <v>1158.7384516400002</v>
      </c>
      <c r="H876" s="8">
        <f t="shared" si="68"/>
        <v>1241.5054839000004</v>
      </c>
      <c r="I876" s="9">
        <f t="shared" si="69"/>
        <v>1324.2725161600004</v>
      </c>
    </row>
    <row r="877" spans="1:9" x14ac:dyDescent="0.35">
      <c r="A877" s="18" t="s">
        <v>6632</v>
      </c>
      <c r="B877" s="18" t="s">
        <v>6639</v>
      </c>
      <c r="C877" s="20">
        <v>45726</v>
      </c>
      <c r="D877" s="11">
        <v>747.67700000000002</v>
      </c>
      <c r="E877" s="27">
        <f t="shared" si="65"/>
        <v>832.31403640000008</v>
      </c>
      <c r="F877" s="6">
        <f t="shared" si="66"/>
        <v>1082.0082473200002</v>
      </c>
      <c r="G877" s="7">
        <f t="shared" si="67"/>
        <v>1165.2396509600001</v>
      </c>
      <c r="H877" s="8">
        <f t="shared" si="68"/>
        <v>1248.4710546000001</v>
      </c>
      <c r="I877" s="9">
        <f t="shared" si="69"/>
        <v>1331.7024582400002</v>
      </c>
    </row>
    <row r="878" spans="1:9" x14ac:dyDescent="0.35">
      <c r="A878" s="18" t="s">
        <v>6633</v>
      </c>
      <c r="B878" s="18" t="s">
        <v>6640</v>
      </c>
      <c r="C878" s="20">
        <v>45726</v>
      </c>
      <c r="D878" s="11">
        <v>1167.5359000000001</v>
      </c>
      <c r="E878" s="27">
        <f t="shared" si="65"/>
        <v>1299.70096388</v>
      </c>
      <c r="F878" s="6">
        <f t="shared" si="66"/>
        <v>1689.611253044</v>
      </c>
      <c r="G878" s="7">
        <f t="shared" si="67"/>
        <v>1819.5813494319998</v>
      </c>
      <c r="H878" s="8">
        <f t="shared" si="68"/>
        <v>1949.55144582</v>
      </c>
      <c r="I878" s="9">
        <f t="shared" si="69"/>
        <v>2079.521542208</v>
      </c>
    </row>
    <row r="879" spans="1:9" x14ac:dyDescent="0.35">
      <c r="A879" s="18" t="s">
        <v>6634</v>
      </c>
      <c r="B879" s="18" t="s">
        <v>6641</v>
      </c>
      <c r="C879" s="20">
        <v>45726</v>
      </c>
      <c r="D879" s="11">
        <v>1324.6623999999999</v>
      </c>
      <c r="E879" s="27">
        <f t="shared" si="65"/>
        <v>1474.61418368</v>
      </c>
      <c r="F879" s="6">
        <f t="shared" si="66"/>
        <v>1916.998438784</v>
      </c>
      <c r="G879" s="7">
        <f t="shared" si="67"/>
        <v>2064.459857152</v>
      </c>
      <c r="H879" s="8">
        <f t="shared" si="68"/>
        <v>2211.9212755200001</v>
      </c>
      <c r="I879" s="9">
        <f t="shared" si="69"/>
        <v>2359.3826938880002</v>
      </c>
    </row>
    <row r="880" spans="1:9" x14ac:dyDescent="0.35">
      <c r="C880" s="20">
        <v>45726</v>
      </c>
      <c r="D880" s="11">
        <v>0</v>
      </c>
      <c r="E880" s="27">
        <f t="shared" si="65"/>
        <v>0</v>
      </c>
      <c r="F880" s="6">
        <f t="shared" si="66"/>
        <v>0</v>
      </c>
      <c r="G880" s="7">
        <f t="shared" si="67"/>
        <v>0</v>
      </c>
      <c r="H880" s="8">
        <f t="shared" si="68"/>
        <v>0</v>
      </c>
      <c r="I880" s="9">
        <f t="shared" si="69"/>
        <v>0</v>
      </c>
    </row>
    <row r="881" spans="1:9" x14ac:dyDescent="0.35">
      <c r="A881" s="18" t="s">
        <v>3205</v>
      </c>
      <c r="B881" s="18" t="s">
        <v>3208</v>
      </c>
      <c r="C881" s="20">
        <v>45726</v>
      </c>
      <c r="D881" s="11">
        <v>446.78309999999999</v>
      </c>
      <c r="E881" s="27">
        <f t="shared" si="65"/>
        <v>497.35894691999999</v>
      </c>
      <c r="F881" s="6">
        <f t="shared" si="66"/>
        <v>646.56663099599996</v>
      </c>
      <c r="G881" s="7">
        <f t="shared" si="67"/>
        <v>696.30252568799995</v>
      </c>
      <c r="H881" s="8">
        <f t="shared" si="68"/>
        <v>746.03842037999993</v>
      </c>
      <c r="I881" s="9">
        <f t="shared" si="69"/>
        <v>795.77431507200004</v>
      </c>
    </row>
    <row r="882" spans="1:9" x14ac:dyDescent="0.35">
      <c r="A882" s="18" t="s">
        <v>3206</v>
      </c>
      <c r="B882" s="18" t="s">
        <v>3210</v>
      </c>
      <c r="C882" s="20">
        <v>45726</v>
      </c>
      <c r="D882" s="11">
        <v>595.71080000000006</v>
      </c>
      <c r="E882" s="27">
        <f t="shared" si="65"/>
        <v>663.14526255999999</v>
      </c>
      <c r="F882" s="6">
        <f t="shared" si="66"/>
        <v>862.08884132800006</v>
      </c>
      <c r="G882" s="7">
        <f t="shared" si="67"/>
        <v>928.40336758399997</v>
      </c>
      <c r="H882" s="8">
        <f t="shared" si="68"/>
        <v>994.71789383999999</v>
      </c>
      <c r="I882" s="9">
        <f t="shared" si="69"/>
        <v>1061.0324200960001</v>
      </c>
    </row>
    <row r="883" spans="1:9" x14ac:dyDescent="0.35">
      <c r="A883" s="18" t="s">
        <v>3207</v>
      </c>
      <c r="B883" s="18" t="s">
        <v>3209</v>
      </c>
      <c r="C883" s="20">
        <v>45726</v>
      </c>
      <c r="D883" s="11">
        <v>984.24740000000008</v>
      </c>
      <c r="E883" s="27">
        <f t="shared" si="65"/>
        <v>1095.6642056800001</v>
      </c>
      <c r="F883" s="6">
        <f t="shared" si="66"/>
        <v>1424.3634673840002</v>
      </c>
      <c r="G883" s="7">
        <f t="shared" si="67"/>
        <v>1533.9298879520002</v>
      </c>
      <c r="H883" s="8">
        <f t="shared" si="68"/>
        <v>1643.4963085200002</v>
      </c>
      <c r="I883" s="9">
        <f t="shared" si="69"/>
        <v>1753.0627290880002</v>
      </c>
    </row>
    <row r="884" spans="1:9" x14ac:dyDescent="0.35">
      <c r="C884" s="20">
        <v>45726</v>
      </c>
      <c r="D884" s="11">
        <v>0</v>
      </c>
      <c r="E884" s="27">
        <f t="shared" si="65"/>
        <v>0</v>
      </c>
      <c r="F884" s="6">
        <f t="shared" si="66"/>
        <v>0</v>
      </c>
      <c r="G884" s="7">
        <f t="shared" si="67"/>
        <v>0</v>
      </c>
      <c r="H884" s="8">
        <f t="shared" si="68"/>
        <v>0</v>
      </c>
      <c r="I884" s="9">
        <f t="shared" si="69"/>
        <v>0</v>
      </c>
    </row>
    <row r="885" spans="1:9" x14ac:dyDescent="0.35">
      <c r="A885" s="18" t="s">
        <v>6642</v>
      </c>
      <c r="B885" s="18" t="s">
        <v>6645</v>
      </c>
      <c r="C885" s="20">
        <v>45726</v>
      </c>
      <c r="D885" s="11">
        <v>115.13340000000001</v>
      </c>
      <c r="E885" s="27">
        <f t="shared" si="65"/>
        <v>128.16650088000003</v>
      </c>
      <c r="F885" s="6">
        <f t="shared" si="66"/>
        <v>166.61645114400005</v>
      </c>
      <c r="G885" s="7">
        <f t="shared" si="67"/>
        <v>179.43310123200004</v>
      </c>
      <c r="H885" s="8">
        <f t="shared" si="68"/>
        <v>192.24975132000003</v>
      </c>
      <c r="I885" s="9">
        <f t="shared" si="69"/>
        <v>205.06640140800005</v>
      </c>
    </row>
    <row r="886" spans="1:9" x14ac:dyDescent="0.35">
      <c r="A886" s="18" t="s">
        <v>6643</v>
      </c>
      <c r="B886" s="18" t="s">
        <v>6646</v>
      </c>
      <c r="C886" s="20">
        <v>45726</v>
      </c>
      <c r="D886" s="11">
        <v>135.43470000000002</v>
      </c>
      <c r="E886" s="27">
        <f t="shared" si="65"/>
        <v>150.76590804000003</v>
      </c>
      <c r="F886" s="6">
        <f t="shared" si="66"/>
        <v>195.99568045200004</v>
      </c>
      <c r="G886" s="7">
        <f t="shared" si="67"/>
        <v>211.07227125600002</v>
      </c>
      <c r="H886" s="8">
        <f t="shared" si="68"/>
        <v>226.14886206000006</v>
      </c>
      <c r="I886" s="9">
        <f t="shared" si="69"/>
        <v>241.22545286400006</v>
      </c>
    </row>
    <row r="887" spans="1:9" x14ac:dyDescent="0.35">
      <c r="A887" s="18" t="s">
        <v>6644</v>
      </c>
      <c r="B887" s="18" t="s">
        <v>6647</v>
      </c>
      <c r="C887" s="20">
        <v>45726</v>
      </c>
      <c r="D887" s="11">
        <v>152.60480000000001</v>
      </c>
      <c r="E887" s="27">
        <f t="shared" si="65"/>
        <v>169.87966336000002</v>
      </c>
      <c r="F887" s="6">
        <f t="shared" si="66"/>
        <v>220.84356236800005</v>
      </c>
      <c r="G887" s="7">
        <f t="shared" si="67"/>
        <v>237.83152870400002</v>
      </c>
      <c r="H887" s="8">
        <f t="shared" si="68"/>
        <v>254.81949504000005</v>
      </c>
      <c r="I887" s="9">
        <f t="shared" si="69"/>
        <v>271.80746137600005</v>
      </c>
    </row>
    <row r="888" spans="1:9" x14ac:dyDescent="0.35">
      <c r="C888" s="20">
        <v>45726</v>
      </c>
      <c r="D888" s="11">
        <v>0</v>
      </c>
      <c r="E888" s="27">
        <f t="shared" si="65"/>
        <v>0</v>
      </c>
      <c r="F888" s="6">
        <f t="shared" si="66"/>
        <v>0</v>
      </c>
      <c r="G888" s="7">
        <f t="shared" si="67"/>
        <v>0</v>
      </c>
      <c r="H888" s="8">
        <f t="shared" si="68"/>
        <v>0</v>
      </c>
      <c r="I888" s="9">
        <f t="shared" si="69"/>
        <v>0</v>
      </c>
    </row>
    <row r="889" spans="1:9" x14ac:dyDescent="0.35">
      <c r="C889" s="20">
        <v>45726</v>
      </c>
      <c r="D889" s="11">
        <v>0</v>
      </c>
      <c r="E889" s="27">
        <f t="shared" si="65"/>
        <v>0</v>
      </c>
      <c r="F889" s="6">
        <f t="shared" si="66"/>
        <v>0</v>
      </c>
      <c r="G889" s="7">
        <f t="shared" si="67"/>
        <v>0</v>
      </c>
      <c r="H889" s="8">
        <f t="shared" si="68"/>
        <v>0</v>
      </c>
      <c r="I889" s="9">
        <f t="shared" si="69"/>
        <v>0</v>
      </c>
    </row>
    <row r="890" spans="1:9" x14ac:dyDescent="0.35">
      <c r="A890" s="18" t="s">
        <v>1328</v>
      </c>
      <c r="B890" s="18" t="s">
        <v>2149</v>
      </c>
      <c r="C890" s="20">
        <v>45726</v>
      </c>
      <c r="D890" s="11">
        <v>623.81949999999995</v>
      </c>
      <c r="E890" s="27">
        <f t="shared" si="65"/>
        <v>694.43586739999989</v>
      </c>
      <c r="F890" s="6">
        <f t="shared" si="66"/>
        <v>902.76662761999989</v>
      </c>
      <c r="G890" s="7">
        <f t="shared" si="67"/>
        <v>972.21021435999978</v>
      </c>
      <c r="H890" s="8">
        <f t="shared" si="68"/>
        <v>1041.6538010999998</v>
      </c>
      <c r="I890" s="9">
        <f t="shared" si="69"/>
        <v>1111.0973878399998</v>
      </c>
    </row>
    <row r="891" spans="1:9" x14ac:dyDescent="0.35">
      <c r="A891" s="18" t="s">
        <v>1329</v>
      </c>
      <c r="B891" s="18" t="s">
        <v>2150</v>
      </c>
      <c r="C891" s="20">
        <v>45726</v>
      </c>
      <c r="D891" s="11">
        <v>857.37199999999996</v>
      </c>
      <c r="E891" s="27">
        <f t="shared" si="65"/>
        <v>954.42651039999998</v>
      </c>
      <c r="F891" s="6">
        <f t="shared" si="66"/>
        <v>1240.7544635199999</v>
      </c>
      <c r="G891" s="7">
        <f t="shared" si="67"/>
        <v>1336.1971145599998</v>
      </c>
      <c r="H891" s="8">
        <f t="shared" si="68"/>
        <v>1431.6397655999999</v>
      </c>
      <c r="I891" s="9">
        <f t="shared" si="69"/>
        <v>1527.08241664</v>
      </c>
    </row>
    <row r="892" spans="1:9" x14ac:dyDescent="0.35">
      <c r="A892" s="18" t="s">
        <v>1330</v>
      </c>
      <c r="B892" s="18" t="s">
        <v>2151</v>
      </c>
      <c r="C892" s="20">
        <v>45726</v>
      </c>
      <c r="D892" s="11">
        <v>1213.8344</v>
      </c>
      <c r="E892" s="27">
        <f t="shared" si="65"/>
        <v>1351.2404540799998</v>
      </c>
      <c r="F892" s="6">
        <f t="shared" si="66"/>
        <v>1756.6125903039999</v>
      </c>
      <c r="G892" s="7">
        <f t="shared" si="67"/>
        <v>1891.7366357119997</v>
      </c>
      <c r="H892" s="8">
        <f t="shared" si="68"/>
        <v>2026.8606811199998</v>
      </c>
      <c r="I892" s="9">
        <f t="shared" si="69"/>
        <v>2161.984726528</v>
      </c>
    </row>
    <row r="893" spans="1:9" x14ac:dyDescent="0.35">
      <c r="C893" s="20">
        <v>45726</v>
      </c>
      <c r="D893" s="11">
        <v>0</v>
      </c>
      <c r="E893" s="27">
        <f t="shared" si="65"/>
        <v>0</v>
      </c>
      <c r="F893" s="6">
        <f t="shared" si="66"/>
        <v>0</v>
      </c>
      <c r="G893" s="7">
        <f t="shared" si="67"/>
        <v>0</v>
      </c>
      <c r="H893" s="8">
        <f t="shared" si="68"/>
        <v>0</v>
      </c>
      <c r="I893" s="9">
        <f t="shared" si="69"/>
        <v>0</v>
      </c>
    </row>
    <row r="894" spans="1:9" x14ac:dyDescent="0.35">
      <c r="A894" s="18" t="s">
        <v>4678</v>
      </c>
      <c r="B894" s="18" t="s">
        <v>4681</v>
      </c>
      <c r="C894" s="20">
        <v>45726</v>
      </c>
      <c r="D894" s="11">
        <v>430.08680000000004</v>
      </c>
      <c r="E894" s="27">
        <f t="shared" si="65"/>
        <v>478.77262576000004</v>
      </c>
      <c r="F894" s="6">
        <f t="shared" si="66"/>
        <v>622.40441348800005</v>
      </c>
      <c r="G894" s="7">
        <f t="shared" si="67"/>
        <v>670.28167606400007</v>
      </c>
      <c r="H894" s="8">
        <f t="shared" si="68"/>
        <v>718.15893864000009</v>
      </c>
      <c r="I894" s="9">
        <f t="shared" si="69"/>
        <v>766.03620121600011</v>
      </c>
    </row>
    <row r="895" spans="1:9" x14ac:dyDescent="0.35">
      <c r="A895" s="18" t="s">
        <v>4679</v>
      </c>
      <c r="B895" s="18" t="s">
        <v>4682</v>
      </c>
      <c r="C895" s="20">
        <v>45726</v>
      </c>
      <c r="D895" s="11">
        <v>629.96860000000004</v>
      </c>
      <c r="E895" s="27">
        <f t="shared" si="65"/>
        <v>701.28104552000002</v>
      </c>
      <c r="F895" s="6">
        <f t="shared" si="66"/>
        <v>911.66535917600004</v>
      </c>
      <c r="G895" s="7">
        <f t="shared" si="67"/>
        <v>981.79346372800001</v>
      </c>
      <c r="H895" s="8">
        <f t="shared" si="68"/>
        <v>1051.92156828</v>
      </c>
      <c r="I895" s="9">
        <f t="shared" si="69"/>
        <v>1122.0496728320002</v>
      </c>
    </row>
    <row r="896" spans="1:9" x14ac:dyDescent="0.35">
      <c r="A896" s="18" t="s">
        <v>4680</v>
      </c>
      <c r="B896" s="18" t="s">
        <v>4683</v>
      </c>
      <c r="C896" s="20">
        <v>45726</v>
      </c>
      <c r="D896" s="11">
        <v>855.45619999999997</v>
      </c>
      <c r="E896" s="27">
        <f t="shared" si="65"/>
        <v>952.29384183999991</v>
      </c>
      <c r="F896" s="6">
        <f t="shared" si="66"/>
        <v>1237.9819943919999</v>
      </c>
      <c r="G896" s="7">
        <f t="shared" si="67"/>
        <v>1333.2113785759998</v>
      </c>
      <c r="H896" s="8">
        <f t="shared" si="68"/>
        <v>1428.4407627599999</v>
      </c>
      <c r="I896" s="9">
        <f t="shared" si="69"/>
        <v>1523.670146944</v>
      </c>
    </row>
    <row r="897" spans="1:9" x14ac:dyDescent="0.35">
      <c r="C897" s="20">
        <v>45726</v>
      </c>
      <c r="D897" s="11">
        <v>0</v>
      </c>
      <c r="E897" s="27">
        <f t="shared" si="65"/>
        <v>0</v>
      </c>
      <c r="F897" s="6">
        <f t="shared" si="66"/>
        <v>0</v>
      </c>
      <c r="G897" s="7">
        <f t="shared" si="67"/>
        <v>0</v>
      </c>
      <c r="H897" s="8">
        <f t="shared" si="68"/>
        <v>0</v>
      </c>
      <c r="I897" s="9">
        <f t="shared" si="69"/>
        <v>0</v>
      </c>
    </row>
    <row r="898" spans="1:9" x14ac:dyDescent="0.35">
      <c r="A898" s="18" t="s">
        <v>1331</v>
      </c>
      <c r="B898" s="18" t="s">
        <v>1634</v>
      </c>
      <c r="C898" s="20">
        <v>45726</v>
      </c>
      <c r="D898" s="11">
        <v>100.28283497100001</v>
      </c>
      <c r="E898" s="27">
        <f t="shared" si="65"/>
        <v>111.63485188971721</v>
      </c>
      <c r="F898" s="6">
        <f t="shared" si="66"/>
        <v>145.12530745663238</v>
      </c>
      <c r="G898" s="7">
        <f t="shared" si="67"/>
        <v>156.28879264560408</v>
      </c>
      <c r="H898" s="8">
        <f t="shared" si="68"/>
        <v>167.45227783457582</v>
      </c>
      <c r="I898" s="9">
        <f t="shared" si="69"/>
        <v>178.61576302354754</v>
      </c>
    </row>
    <row r="899" spans="1:9" x14ac:dyDescent="0.35">
      <c r="A899" s="18" t="s">
        <v>1332</v>
      </c>
      <c r="B899" s="18" t="s">
        <v>1635</v>
      </c>
      <c r="C899" s="20">
        <v>45726</v>
      </c>
      <c r="D899" s="11">
        <v>115.70511944002503</v>
      </c>
      <c r="E899" s="27">
        <f t="shared" si="65"/>
        <v>128.80293896063586</v>
      </c>
      <c r="F899" s="6">
        <f t="shared" si="66"/>
        <v>167.44382064882663</v>
      </c>
      <c r="G899" s="7">
        <f t="shared" si="67"/>
        <v>180.32411454489019</v>
      </c>
      <c r="H899" s="8">
        <f t="shared" si="68"/>
        <v>193.20440844095378</v>
      </c>
      <c r="I899" s="9">
        <f t="shared" si="69"/>
        <v>206.08470233701738</v>
      </c>
    </row>
    <row r="900" spans="1:9" x14ac:dyDescent="0.35">
      <c r="A900" s="18" t="s">
        <v>1333</v>
      </c>
      <c r="B900" s="18" t="s">
        <v>1636</v>
      </c>
      <c r="C900" s="20">
        <v>45726</v>
      </c>
      <c r="D900" s="11">
        <v>157.41366216660001</v>
      </c>
      <c r="E900" s="27">
        <f t="shared" si="65"/>
        <v>175.23288872385913</v>
      </c>
      <c r="F900" s="6">
        <f t="shared" si="66"/>
        <v>227.80275534101688</v>
      </c>
      <c r="G900" s="7">
        <f t="shared" si="67"/>
        <v>245.32604421340278</v>
      </c>
      <c r="H900" s="8">
        <f t="shared" si="68"/>
        <v>262.84933308578871</v>
      </c>
      <c r="I900" s="9">
        <f t="shared" si="69"/>
        <v>280.37262195817465</v>
      </c>
    </row>
    <row r="901" spans="1:9" x14ac:dyDescent="0.35">
      <c r="A901" s="18" t="s">
        <v>6648</v>
      </c>
      <c r="B901" s="18" t="s">
        <v>6651</v>
      </c>
      <c r="C901" s="20">
        <v>45726</v>
      </c>
      <c r="D901" s="11">
        <v>480.55680000000001</v>
      </c>
      <c r="E901" s="27">
        <f t="shared" si="65"/>
        <v>534.95582976000003</v>
      </c>
      <c r="F901" s="6">
        <f t="shared" si="66"/>
        <v>695.44257868800003</v>
      </c>
      <c r="G901" s="7">
        <f t="shared" si="67"/>
        <v>748.93816166399995</v>
      </c>
      <c r="H901" s="8">
        <f t="shared" si="68"/>
        <v>802.43374463999999</v>
      </c>
      <c r="I901" s="9">
        <f t="shared" si="69"/>
        <v>855.92932761600014</v>
      </c>
    </row>
    <row r="902" spans="1:9" x14ac:dyDescent="0.35">
      <c r="A902" s="18" t="s">
        <v>6649</v>
      </c>
      <c r="B902" s="18" t="s">
        <v>6652</v>
      </c>
      <c r="C902" s="20">
        <v>45726</v>
      </c>
      <c r="D902" s="11">
        <v>743.5055000000001</v>
      </c>
      <c r="E902" s="27">
        <f t="shared" si="65"/>
        <v>827.67032260000019</v>
      </c>
      <c r="F902" s="6">
        <f t="shared" si="66"/>
        <v>1075.9714193800003</v>
      </c>
      <c r="G902" s="7">
        <f t="shared" si="67"/>
        <v>1158.7384516400002</v>
      </c>
      <c r="H902" s="8">
        <f t="shared" si="68"/>
        <v>1241.5054839000004</v>
      </c>
      <c r="I902" s="9">
        <f t="shared" si="69"/>
        <v>1324.2725161600004</v>
      </c>
    </row>
    <row r="903" spans="1:9" x14ac:dyDescent="0.35">
      <c r="A903" s="18" t="s">
        <v>6650</v>
      </c>
      <c r="B903" s="18" t="s">
        <v>6653</v>
      </c>
      <c r="C903" s="20">
        <v>45726</v>
      </c>
      <c r="D903" s="11">
        <v>1220.5088000000001</v>
      </c>
      <c r="E903" s="27">
        <f t="shared" si="65"/>
        <v>1358.6703961600001</v>
      </c>
      <c r="F903" s="6">
        <f t="shared" si="66"/>
        <v>1766.2715150080003</v>
      </c>
      <c r="G903" s="7">
        <f t="shared" si="67"/>
        <v>1902.1385546240001</v>
      </c>
      <c r="H903" s="8">
        <f t="shared" si="68"/>
        <v>2038.0055942400002</v>
      </c>
      <c r="I903" s="9">
        <f t="shared" si="69"/>
        <v>2173.8726338560004</v>
      </c>
    </row>
    <row r="904" spans="1:9" x14ac:dyDescent="0.35">
      <c r="C904" s="20">
        <v>45726</v>
      </c>
      <c r="D904" s="11">
        <v>0</v>
      </c>
      <c r="E904" s="27">
        <f t="shared" si="65"/>
        <v>0</v>
      </c>
      <c r="F904" s="6">
        <f t="shared" si="66"/>
        <v>0</v>
      </c>
      <c r="G904" s="7">
        <f t="shared" si="67"/>
        <v>0</v>
      </c>
      <c r="H904" s="8">
        <f t="shared" si="68"/>
        <v>0</v>
      </c>
      <c r="I904" s="9">
        <f t="shared" si="69"/>
        <v>0</v>
      </c>
    </row>
    <row r="905" spans="1:9" x14ac:dyDescent="0.35">
      <c r="A905" s="18" t="s">
        <v>1334</v>
      </c>
      <c r="B905" s="18" t="s">
        <v>1637</v>
      </c>
      <c r="C905" s="20">
        <v>45726</v>
      </c>
      <c r="D905" s="11">
        <v>151.03202721390002</v>
      </c>
      <c r="E905" s="27">
        <f t="shared" si="65"/>
        <v>168.12885269451351</v>
      </c>
      <c r="F905" s="6">
        <f t="shared" si="66"/>
        <v>218.56750850286758</v>
      </c>
      <c r="G905" s="7">
        <f t="shared" si="67"/>
        <v>235.38039377231891</v>
      </c>
      <c r="H905" s="8">
        <f t="shared" si="68"/>
        <v>252.19327904177027</v>
      </c>
      <c r="I905" s="9">
        <f t="shared" si="69"/>
        <v>269.00616431122165</v>
      </c>
    </row>
    <row r="906" spans="1:9" x14ac:dyDescent="0.35">
      <c r="A906" s="18" t="s">
        <v>1335</v>
      </c>
      <c r="B906" s="18" t="s">
        <v>1638</v>
      </c>
      <c r="C906" s="20">
        <v>45726</v>
      </c>
      <c r="D906" s="11">
        <v>192.81654178515004</v>
      </c>
      <c r="E906" s="27">
        <f t="shared" si="65"/>
        <v>214.64337431522904</v>
      </c>
      <c r="F906" s="6">
        <f t="shared" si="66"/>
        <v>279.03638660979777</v>
      </c>
      <c r="G906" s="7">
        <f t="shared" si="67"/>
        <v>300.50072404132061</v>
      </c>
      <c r="H906" s="8">
        <f t="shared" si="68"/>
        <v>321.96506147284356</v>
      </c>
      <c r="I906" s="9">
        <f t="shared" si="69"/>
        <v>343.42939890436651</v>
      </c>
    </row>
    <row r="907" spans="1:9" x14ac:dyDescent="0.35">
      <c r="A907" s="18" t="s">
        <v>1336</v>
      </c>
      <c r="B907" s="18" t="s">
        <v>1639</v>
      </c>
      <c r="C907" s="20">
        <v>45726</v>
      </c>
      <c r="D907" s="11">
        <v>341.87330103750003</v>
      </c>
      <c r="E907" s="27">
        <f t="shared" si="65"/>
        <v>380.57335871494507</v>
      </c>
      <c r="F907" s="6">
        <f t="shared" si="66"/>
        <v>494.74536632942863</v>
      </c>
      <c r="G907" s="7">
        <f t="shared" si="67"/>
        <v>532.80270220092302</v>
      </c>
      <c r="H907" s="8">
        <f t="shared" si="68"/>
        <v>570.86003807241764</v>
      </c>
      <c r="I907" s="9">
        <f t="shared" si="69"/>
        <v>608.91737394391214</v>
      </c>
    </row>
    <row r="908" spans="1:9" x14ac:dyDescent="0.35">
      <c r="A908" s="18" t="s">
        <v>6654</v>
      </c>
      <c r="B908" s="18" t="s">
        <v>6657</v>
      </c>
      <c r="C908" s="20">
        <v>45726</v>
      </c>
      <c r="D908" s="11">
        <v>955.75760000000002</v>
      </c>
      <c r="E908" s="27">
        <f t="shared" ref="E908:E971" si="70">D908*1.21*0.92</f>
        <v>1063.9493603200001</v>
      </c>
      <c r="F908" s="6">
        <f t="shared" si="66"/>
        <v>1383.1341684160002</v>
      </c>
      <c r="G908" s="7">
        <f t="shared" si="67"/>
        <v>1489.529104448</v>
      </c>
      <c r="H908" s="8">
        <f t="shared" si="68"/>
        <v>1595.9240404800003</v>
      </c>
      <c r="I908" s="9">
        <f t="shared" si="69"/>
        <v>1702.3189765120003</v>
      </c>
    </row>
    <row r="909" spans="1:9" x14ac:dyDescent="0.35">
      <c r="A909" s="18" t="s">
        <v>6655</v>
      </c>
      <c r="B909" s="18" t="s">
        <v>6658</v>
      </c>
      <c r="C909" s="20">
        <v>45726</v>
      </c>
      <c r="D909" s="11">
        <v>1857.0179000000001</v>
      </c>
      <c r="E909" s="27">
        <f t="shared" si="70"/>
        <v>2067.2323262800001</v>
      </c>
      <c r="F909" s="6">
        <f t="shared" si="66"/>
        <v>2687.4020241640001</v>
      </c>
      <c r="G909" s="7">
        <f t="shared" si="67"/>
        <v>2894.1252567920001</v>
      </c>
      <c r="H909" s="8">
        <f t="shared" si="68"/>
        <v>3100.8484894200001</v>
      </c>
      <c r="I909" s="9">
        <f t="shared" si="69"/>
        <v>3307.5717220480001</v>
      </c>
    </row>
    <row r="910" spans="1:9" x14ac:dyDescent="0.35">
      <c r="A910" s="18" t="s">
        <v>6656</v>
      </c>
      <c r="B910" s="18" t="s">
        <v>6659</v>
      </c>
      <c r="C910" s="20">
        <v>45726</v>
      </c>
      <c r="D910" s="11">
        <v>3180.5164</v>
      </c>
      <c r="E910" s="27">
        <f t="shared" si="70"/>
        <v>3540.5508564799998</v>
      </c>
      <c r="F910" s="6">
        <f t="shared" si="66"/>
        <v>4602.7161134239996</v>
      </c>
      <c r="G910" s="7">
        <f t="shared" si="67"/>
        <v>4956.771199071999</v>
      </c>
      <c r="H910" s="8">
        <f t="shared" si="68"/>
        <v>5310.8262847199994</v>
      </c>
      <c r="I910" s="9">
        <f t="shared" si="69"/>
        <v>5664.8813703679998</v>
      </c>
    </row>
    <row r="911" spans="1:9" x14ac:dyDescent="0.35">
      <c r="C911" s="20">
        <v>45726</v>
      </c>
      <c r="D911" s="11">
        <v>0</v>
      </c>
      <c r="E911" s="27">
        <f t="shared" si="70"/>
        <v>0</v>
      </c>
      <c r="F911" s="6">
        <f t="shared" si="66"/>
        <v>0</v>
      </c>
      <c r="G911" s="7">
        <f t="shared" si="67"/>
        <v>0</v>
      </c>
      <c r="H911" s="8">
        <f t="shared" si="68"/>
        <v>0</v>
      </c>
      <c r="I911" s="9">
        <f t="shared" si="69"/>
        <v>0</v>
      </c>
    </row>
    <row r="912" spans="1:9" x14ac:dyDescent="0.35">
      <c r="A912" s="18" t="s">
        <v>1337</v>
      </c>
      <c r="B912" s="18" t="s">
        <v>3211</v>
      </c>
      <c r="C912" s="20">
        <v>45726</v>
      </c>
      <c r="D912" s="11">
        <v>1183.3374526578002</v>
      </c>
      <c r="E912" s="27">
        <f t="shared" si="70"/>
        <v>1317.2912522986633</v>
      </c>
      <c r="F912" s="6">
        <f t="shared" si="66"/>
        <v>1712.4786279882624</v>
      </c>
      <c r="G912" s="7">
        <f t="shared" si="67"/>
        <v>1844.2077532181283</v>
      </c>
      <c r="H912" s="8">
        <f t="shared" si="68"/>
        <v>1975.9368784479948</v>
      </c>
      <c r="I912" s="9">
        <f t="shared" si="69"/>
        <v>2107.6660036778612</v>
      </c>
    </row>
    <row r="913" spans="1:9" x14ac:dyDescent="0.35">
      <c r="A913" s="18" t="s">
        <v>1338</v>
      </c>
      <c r="B913" s="18" t="s">
        <v>3212</v>
      </c>
      <c r="C913" s="20">
        <v>45726</v>
      </c>
      <c r="D913" s="11">
        <v>1188.4275662510254</v>
      </c>
      <c r="E913" s="27">
        <f t="shared" si="70"/>
        <v>1322.9575667506415</v>
      </c>
      <c r="F913" s="6">
        <f t="shared" si="66"/>
        <v>1719.844836775834</v>
      </c>
      <c r="G913" s="7">
        <f t="shared" si="67"/>
        <v>1852.140593450898</v>
      </c>
      <c r="H913" s="8">
        <f t="shared" si="68"/>
        <v>1984.4363501259622</v>
      </c>
      <c r="I913" s="9">
        <f t="shared" si="69"/>
        <v>2116.7321068010265</v>
      </c>
    </row>
    <row r="914" spans="1:9" x14ac:dyDescent="0.35">
      <c r="A914" s="18" t="s">
        <v>1339</v>
      </c>
      <c r="B914" s="18" t="s">
        <v>3213</v>
      </c>
      <c r="C914" s="20">
        <v>45726</v>
      </c>
      <c r="D914" s="11">
        <v>2041.3634664172503</v>
      </c>
      <c r="E914" s="27">
        <f t="shared" si="70"/>
        <v>2272.4458108156832</v>
      </c>
      <c r="F914" s="6">
        <f t="shared" si="66"/>
        <v>2954.1795540603885</v>
      </c>
      <c r="G914" s="7">
        <f t="shared" si="67"/>
        <v>3181.4241351419564</v>
      </c>
      <c r="H914" s="8">
        <f t="shared" si="68"/>
        <v>3408.6687162235248</v>
      </c>
      <c r="I914" s="9">
        <f t="shared" si="69"/>
        <v>3635.9132973050932</v>
      </c>
    </row>
    <row r="915" spans="1:9" x14ac:dyDescent="0.35">
      <c r="A915" s="18" t="s">
        <v>1340</v>
      </c>
      <c r="B915" s="18" t="s">
        <v>3214</v>
      </c>
      <c r="C915" s="20">
        <v>45726</v>
      </c>
      <c r="D915" s="11">
        <v>2485.1909830086001</v>
      </c>
      <c r="E915" s="27">
        <f t="shared" si="70"/>
        <v>2766.5146022851741</v>
      </c>
      <c r="F915" s="6">
        <f t="shared" si="66"/>
        <v>3596.4689829707263</v>
      </c>
      <c r="G915" s="7">
        <f t="shared" si="67"/>
        <v>3873.1204431992433</v>
      </c>
      <c r="H915" s="8">
        <f t="shared" si="68"/>
        <v>4149.7719034277616</v>
      </c>
      <c r="I915" s="9">
        <f t="shared" si="69"/>
        <v>4426.4233636562785</v>
      </c>
    </row>
    <row r="916" spans="1:9" x14ac:dyDescent="0.35">
      <c r="A916" s="18" t="s">
        <v>1341</v>
      </c>
      <c r="B916" s="18" t="s">
        <v>3215</v>
      </c>
      <c r="C916" s="20">
        <v>45726</v>
      </c>
      <c r="D916" s="11">
        <v>3291.2522550103504</v>
      </c>
      <c r="E916" s="27">
        <f t="shared" si="70"/>
        <v>3663.8220102775222</v>
      </c>
      <c r="F916" s="6">
        <f t="shared" si="66"/>
        <v>4762.9686133607793</v>
      </c>
      <c r="G916" s="7">
        <f t="shared" si="67"/>
        <v>5129.350814388531</v>
      </c>
      <c r="H916" s="8">
        <f t="shared" si="68"/>
        <v>5495.7330154162828</v>
      </c>
      <c r="I916" s="9">
        <f t="shared" si="69"/>
        <v>5862.1152164440355</v>
      </c>
    </row>
    <row r="917" spans="1:9" x14ac:dyDescent="0.35">
      <c r="C917" s="20">
        <v>45726</v>
      </c>
      <c r="D917" s="11">
        <v>0</v>
      </c>
      <c r="E917" s="27">
        <f t="shared" si="70"/>
        <v>0</v>
      </c>
      <c r="F917" s="6">
        <f t="shared" si="66"/>
        <v>0</v>
      </c>
      <c r="G917" s="7">
        <f t="shared" si="67"/>
        <v>0</v>
      </c>
      <c r="H917" s="8">
        <f t="shared" si="68"/>
        <v>0</v>
      </c>
      <c r="I917" s="9">
        <f t="shared" si="69"/>
        <v>0</v>
      </c>
    </row>
    <row r="918" spans="1:9" x14ac:dyDescent="0.35">
      <c r="A918" s="18" t="s">
        <v>1342</v>
      </c>
      <c r="B918" s="18" t="s">
        <v>3216</v>
      </c>
      <c r="C918" s="20">
        <v>45726</v>
      </c>
      <c r="D918" s="11">
        <v>1610.6031071100003</v>
      </c>
      <c r="E918" s="27">
        <f t="shared" si="70"/>
        <v>1792.9233788348524</v>
      </c>
      <c r="F918" s="6">
        <f t="shared" si="66"/>
        <v>2330.8003924853083</v>
      </c>
      <c r="G918" s="7">
        <f t="shared" si="67"/>
        <v>2510.0927303687931</v>
      </c>
      <c r="H918" s="8">
        <f t="shared" si="68"/>
        <v>2689.3850682522789</v>
      </c>
      <c r="I918" s="9">
        <f t="shared" si="69"/>
        <v>2868.6774061357642</v>
      </c>
    </row>
    <row r="919" spans="1:9" x14ac:dyDescent="0.35">
      <c r="A919" s="18" t="s">
        <v>1343</v>
      </c>
      <c r="B919" s="18" t="s">
        <v>3217</v>
      </c>
      <c r="C919" s="20">
        <v>45726</v>
      </c>
      <c r="D919" s="11">
        <v>1633.3946605125002</v>
      </c>
      <c r="E919" s="27">
        <f t="shared" si="70"/>
        <v>1818.2949360825153</v>
      </c>
      <c r="F919" s="6">
        <f t="shared" si="66"/>
        <v>2363.7834169072698</v>
      </c>
      <c r="G919" s="7">
        <f t="shared" si="67"/>
        <v>2545.6129105155214</v>
      </c>
      <c r="H919" s="8">
        <f t="shared" si="68"/>
        <v>2727.442404123773</v>
      </c>
      <c r="I919" s="9">
        <f t="shared" si="69"/>
        <v>2909.2718977320246</v>
      </c>
    </row>
    <row r="920" spans="1:9" x14ac:dyDescent="0.35">
      <c r="A920" s="18" t="s">
        <v>1344</v>
      </c>
      <c r="B920" s="18" t="s">
        <v>3218</v>
      </c>
      <c r="C920" s="20">
        <v>45726</v>
      </c>
      <c r="D920" s="11">
        <v>2307.7207538477996</v>
      </c>
      <c r="E920" s="27">
        <f t="shared" si="70"/>
        <v>2568.9547431833707</v>
      </c>
      <c r="F920" s="6">
        <f t="shared" si="66"/>
        <v>3339.6411661383822</v>
      </c>
      <c r="G920" s="7">
        <f t="shared" si="67"/>
        <v>3596.5366404567189</v>
      </c>
      <c r="H920" s="8">
        <f t="shared" si="68"/>
        <v>3853.4321147750561</v>
      </c>
      <c r="I920" s="9">
        <f t="shared" si="69"/>
        <v>4110.3275890933937</v>
      </c>
    </row>
    <row r="921" spans="1:9" x14ac:dyDescent="0.35">
      <c r="A921" s="18" t="s">
        <v>1345</v>
      </c>
      <c r="B921" s="18" t="s">
        <v>3219</v>
      </c>
      <c r="C921" s="20">
        <v>45726</v>
      </c>
      <c r="D921" s="11">
        <v>2485.1909830086001</v>
      </c>
      <c r="E921" s="27">
        <f t="shared" si="70"/>
        <v>2766.5146022851741</v>
      </c>
      <c r="F921" s="6">
        <f t="shared" si="66"/>
        <v>3596.4689829707263</v>
      </c>
      <c r="G921" s="7">
        <f t="shared" si="67"/>
        <v>3873.1204431992433</v>
      </c>
      <c r="H921" s="8">
        <f t="shared" si="68"/>
        <v>4149.7719034277616</v>
      </c>
      <c r="I921" s="9">
        <f t="shared" si="69"/>
        <v>4426.4233636562785</v>
      </c>
    </row>
    <row r="922" spans="1:9" x14ac:dyDescent="0.35">
      <c r="A922" s="18" t="s">
        <v>1346</v>
      </c>
      <c r="B922" s="18" t="s">
        <v>3220</v>
      </c>
      <c r="C922" s="20">
        <v>45726</v>
      </c>
      <c r="D922" s="11">
        <v>4260.3491056846506</v>
      </c>
      <c r="E922" s="27">
        <f t="shared" si="70"/>
        <v>4742.6206244481536</v>
      </c>
      <c r="F922" s="6">
        <f t="shared" si="66"/>
        <v>6165.4068117826</v>
      </c>
      <c r="G922" s="7">
        <f t="shared" si="67"/>
        <v>6639.6688742274146</v>
      </c>
      <c r="H922" s="8">
        <f t="shared" si="68"/>
        <v>7113.93093667223</v>
      </c>
      <c r="I922" s="9">
        <f t="shared" si="69"/>
        <v>7588.1929991170464</v>
      </c>
    </row>
    <row r="923" spans="1:9" x14ac:dyDescent="0.35">
      <c r="C923" s="20">
        <v>45726</v>
      </c>
      <c r="D923" s="11">
        <v>0</v>
      </c>
      <c r="E923" s="27">
        <f t="shared" si="70"/>
        <v>0</v>
      </c>
      <c r="F923" s="6">
        <f t="shared" si="66"/>
        <v>0</v>
      </c>
      <c r="G923" s="7">
        <f t="shared" si="67"/>
        <v>0</v>
      </c>
      <c r="H923" s="8">
        <f t="shared" si="68"/>
        <v>0</v>
      </c>
      <c r="I923" s="9">
        <f t="shared" si="69"/>
        <v>0</v>
      </c>
    </row>
    <row r="924" spans="1:9" x14ac:dyDescent="0.35">
      <c r="A924" s="18" t="s">
        <v>1347</v>
      </c>
      <c r="B924" s="18" t="s">
        <v>2539</v>
      </c>
      <c r="C924" s="20">
        <v>45726</v>
      </c>
      <c r="D924" s="11">
        <v>319.3856350137001</v>
      </c>
      <c r="E924" s="27">
        <f t="shared" si="70"/>
        <v>355.54008889725094</v>
      </c>
      <c r="F924" s="6">
        <f t="shared" si="66"/>
        <v>462.20211556642624</v>
      </c>
      <c r="G924" s="7">
        <f t="shared" si="67"/>
        <v>497.75612445615127</v>
      </c>
      <c r="H924" s="8">
        <f t="shared" si="68"/>
        <v>533.31013334587647</v>
      </c>
      <c r="I924" s="9">
        <f t="shared" si="69"/>
        <v>568.86414223560155</v>
      </c>
    </row>
    <row r="925" spans="1:9" x14ac:dyDescent="0.35">
      <c r="A925" s="18" t="s">
        <v>3299</v>
      </c>
      <c r="B925" s="18" t="s">
        <v>3301</v>
      </c>
      <c r="C925" s="20">
        <v>45726</v>
      </c>
      <c r="D925" s="11">
        <v>553.14089999999999</v>
      </c>
      <c r="E925" s="27">
        <f t="shared" si="70"/>
        <v>615.75644987999999</v>
      </c>
      <c r="F925" s="6">
        <f t="shared" si="66"/>
        <v>800.48338484400006</v>
      </c>
      <c r="G925" s="7">
        <f t="shared" si="67"/>
        <v>862.05902983199996</v>
      </c>
      <c r="H925" s="8">
        <f t="shared" si="68"/>
        <v>923.63467481999999</v>
      </c>
      <c r="I925" s="9">
        <f t="shared" si="69"/>
        <v>985.21031980800001</v>
      </c>
    </row>
    <row r="926" spans="1:9" x14ac:dyDescent="0.35">
      <c r="A926" s="18" t="s">
        <v>3300</v>
      </c>
      <c r="B926" s="18" t="s">
        <v>3302</v>
      </c>
      <c r="C926" s="20">
        <v>45726</v>
      </c>
      <c r="D926" s="11">
        <v>521.16685447050008</v>
      </c>
      <c r="E926" s="27">
        <f t="shared" si="70"/>
        <v>580.16294239656065</v>
      </c>
      <c r="F926" s="6">
        <f t="shared" si="66"/>
        <v>754.21182511552888</v>
      </c>
      <c r="G926" s="7">
        <f t="shared" si="67"/>
        <v>812.22811935518484</v>
      </c>
      <c r="H926" s="8">
        <f t="shared" si="68"/>
        <v>870.24441359484103</v>
      </c>
      <c r="I926" s="9">
        <f t="shared" si="69"/>
        <v>928.26070783449711</v>
      </c>
    </row>
    <row r="927" spans="1:9" x14ac:dyDescent="0.35">
      <c r="A927" s="18" t="s">
        <v>6666</v>
      </c>
      <c r="B927" s="18" t="s">
        <v>6672</v>
      </c>
      <c r="C927" s="20">
        <v>45726</v>
      </c>
      <c r="D927" s="11">
        <v>1147.8217000000002</v>
      </c>
      <c r="E927" s="27">
        <f t="shared" si="70"/>
        <v>1277.7551164400002</v>
      </c>
      <c r="F927" s="6">
        <f t="shared" si="66"/>
        <v>1661.0816513720004</v>
      </c>
      <c r="G927" s="7">
        <f t="shared" si="67"/>
        <v>1788.8571630160002</v>
      </c>
      <c r="H927" s="8">
        <f t="shared" si="68"/>
        <v>1916.6326746600002</v>
      </c>
      <c r="I927" s="9">
        <f t="shared" si="69"/>
        <v>2044.4081863040003</v>
      </c>
    </row>
    <row r="928" spans="1:9" x14ac:dyDescent="0.35">
      <c r="A928" s="18" t="s">
        <v>6667</v>
      </c>
      <c r="B928" s="18" t="s">
        <v>6673</v>
      </c>
      <c r="C928" s="20">
        <v>45726</v>
      </c>
      <c r="D928" s="11">
        <v>900.63199999999995</v>
      </c>
      <c r="E928" s="27">
        <f t="shared" si="70"/>
        <v>1002.5835423999999</v>
      </c>
      <c r="F928" s="6">
        <f t="shared" si="66"/>
        <v>1303.35860512</v>
      </c>
      <c r="G928" s="7">
        <f t="shared" si="67"/>
        <v>1403.6169593599998</v>
      </c>
      <c r="H928" s="8">
        <f t="shared" si="68"/>
        <v>1503.8753136</v>
      </c>
      <c r="I928" s="9">
        <f t="shared" si="69"/>
        <v>1604.13366784</v>
      </c>
    </row>
    <row r="929" spans="1:9" x14ac:dyDescent="0.35">
      <c r="A929" s="18" t="s">
        <v>6668</v>
      </c>
      <c r="B929" s="18" t="s">
        <v>6674</v>
      </c>
      <c r="C929" s="20">
        <v>45726</v>
      </c>
      <c r="D929" s="11">
        <v>1487.0727999999999</v>
      </c>
      <c r="E929" s="27">
        <f t="shared" si="70"/>
        <v>1655.40944096</v>
      </c>
      <c r="F929" s="6">
        <f t="shared" si="66"/>
        <v>2152.0322732479999</v>
      </c>
      <c r="G929" s="7">
        <f t="shared" si="67"/>
        <v>2317.5732173439997</v>
      </c>
      <c r="H929" s="8">
        <f t="shared" si="68"/>
        <v>2483.1141614399999</v>
      </c>
      <c r="I929" s="9">
        <f t="shared" si="69"/>
        <v>2648.6551055360001</v>
      </c>
    </row>
    <row r="930" spans="1:9" x14ac:dyDescent="0.35">
      <c r="A930" s="18" t="s">
        <v>6669</v>
      </c>
      <c r="B930" s="18" t="s">
        <v>6675</v>
      </c>
      <c r="C930" s="20">
        <v>45726</v>
      </c>
      <c r="D930" s="11">
        <v>1719.8425</v>
      </c>
      <c r="E930" s="27">
        <f t="shared" si="70"/>
        <v>1914.5286709999998</v>
      </c>
      <c r="F930" s="6">
        <f t="shared" si="66"/>
        <v>2488.8872722999999</v>
      </c>
      <c r="G930" s="7">
        <f t="shared" si="67"/>
        <v>2680.3401393999998</v>
      </c>
      <c r="H930" s="8">
        <f t="shared" si="68"/>
        <v>2871.7930064999996</v>
      </c>
      <c r="I930" s="9">
        <f t="shared" si="69"/>
        <v>3063.2458735999999</v>
      </c>
    </row>
    <row r="931" spans="1:9" x14ac:dyDescent="0.35">
      <c r="A931" s="18" t="s">
        <v>6670</v>
      </c>
      <c r="B931" s="18" t="s">
        <v>6676</v>
      </c>
      <c r="C931" s="20">
        <v>45726</v>
      </c>
      <c r="D931" s="11">
        <v>2674.0757000000003</v>
      </c>
      <c r="E931" s="27">
        <f t="shared" si="70"/>
        <v>2976.7810692400008</v>
      </c>
      <c r="F931" s="6">
        <f t="shared" si="66"/>
        <v>3869.815390012001</v>
      </c>
      <c r="G931" s="7">
        <f t="shared" si="67"/>
        <v>4167.4934969360011</v>
      </c>
      <c r="H931" s="8">
        <f t="shared" si="68"/>
        <v>4465.1716038600007</v>
      </c>
      <c r="I931" s="9">
        <f t="shared" si="69"/>
        <v>4762.8497107840012</v>
      </c>
    </row>
    <row r="932" spans="1:9" x14ac:dyDescent="0.35">
      <c r="A932" s="18" t="s">
        <v>6671</v>
      </c>
      <c r="B932" s="18" t="s">
        <v>6677</v>
      </c>
      <c r="C932" s="20">
        <v>45726</v>
      </c>
      <c r="D932" s="11">
        <v>2915.3222999999998</v>
      </c>
      <c r="E932" s="27">
        <f t="shared" si="70"/>
        <v>3245.3367843599999</v>
      </c>
      <c r="F932" s="6">
        <f t="shared" si="66"/>
        <v>4218.937819668</v>
      </c>
      <c r="G932" s="7">
        <f t="shared" si="67"/>
        <v>4543.4714981039997</v>
      </c>
      <c r="H932" s="8">
        <f t="shared" si="68"/>
        <v>4868.0051765400003</v>
      </c>
      <c r="I932" s="9">
        <f t="shared" si="69"/>
        <v>5192.538854976</v>
      </c>
    </row>
    <row r="933" spans="1:9" x14ac:dyDescent="0.35">
      <c r="C933" s="20">
        <v>45726</v>
      </c>
      <c r="D933" s="11">
        <v>0</v>
      </c>
      <c r="E933" s="27">
        <f t="shared" si="70"/>
        <v>0</v>
      </c>
      <c r="F933" s="6">
        <f t="shared" si="66"/>
        <v>0</v>
      </c>
      <c r="G933" s="7">
        <f t="shared" si="67"/>
        <v>0</v>
      </c>
      <c r="H933" s="8">
        <f t="shared" si="68"/>
        <v>0</v>
      </c>
      <c r="I933" s="9">
        <f t="shared" si="69"/>
        <v>0</v>
      </c>
    </row>
    <row r="934" spans="1:9" x14ac:dyDescent="0.35">
      <c r="A934" s="18" t="s">
        <v>1348</v>
      </c>
      <c r="B934" s="18" t="s">
        <v>4827</v>
      </c>
      <c r="C934" s="20">
        <v>45726</v>
      </c>
      <c r="D934" s="11">
        <v>2749.5128999999997</v>
      </c>
      <c r="E934" s="27">
        <f t="shared" si="70"/>
        <v>3060.7577602799997</v>
      </c>
      <c r="F934" s="6">
        <f t="shared" si="66"/>
        <v>3978.9850883639997</v>
      </c>
      <c r="G934" s="7">
        <f t="shared" si="67"/>
        <v>4285.0608643919995</v>
      </c>
      <c r="H934" s="8">
        <f t="shared" si="68"/>
        <v>4591.1366404199998</v>
      </c>
      <c r="I934" s="9">
        <f t="shared" si="69"/>
        <v>4897.2124164480001</v>
      </c>
    </row>
    <row r="935" spans="1:9" x14ac:dyDescent="0.35">
      <c r="A935" s="18" t="s">
        <v>1349</v>
      </c>
      <c r="B935" s="18" t="s">
        <v>4828</v>
      </c>
      <c r="C935" s="20">
        <v>45726</v>
      </c>
      <c r="D935" s="11">
        <v>4083.9500000000003</v>
      </c>
      <c r="E935" s="27">
        <f t="shared" si="70"/>
        <v>4546.2531399999998</v>
      </c>
      <c r="F935" s="6">
        <f t="shared" si="66"/>
        <v>5910.1290820000004</v>
      </c>
      <c r="G935" s="7">
        <f t="shared" si="67"/>
        <v>6364.7543959999994</v>
      </c>
      <c r="H935" s="8">
        <f t="shared" si="68"/>
        <v>6819.3797099999992</v>
      </c>
      <c r="I935" s="9">
        <f t="shared" si="69"/>
        <v>7274.005024</v>
      </c>
    </row>
    <row r="936" spans="1:9" x14ac:dyDescent="0.35">
      <c r="A936" s="18" t="s">
        <v>1350</v>
      </c>
      <c r="B936" s="18" t="s">
        <v>4829</v>
      </c>
      <c r="C936" s="20">
        <v>45726</v>
      </c>
      <c r="D936" s="11">
        <v>5781.2251999999999</v>
      </c>
      <c r="E936" s="27">
        <f t="shared" si="70"/>
        <v>6435.6598926399993</v>
      </c>
      <c r="F936" s="6">
        <f t="shared" si="66"/>
        <v>8366.3578604319991</v>
      </c>
      <c r="G936" s="7">
        <f t="shared" si="67"/>
        <v>9009.9238496959988</v>
      </c>
      <c r="H936" s="8">
        <f t="shared" si="68"/>
        <v>9653.4898389599985</v>
      </c>
      <c r="I936" s="9">
        <f t="shared" si="69"/>
        <v>10297.055828224</v>
      </c>
    </row>
    <row r="937" spans="1:9" x14ac:dyDescent="0.35">
      <c r="C937" s="20">
        <v>45726</v>
      </c>
      <c r="D937" s="11">
        <v>0</v>
      </c>
      <c r="E937" s="27">
        <f t="shared" si="70"/>
        <v>0</v>
      </c>
      <c r="F937" s="6">
        <f t="shared" si="66"/>
        <v>0</v>
      </c>
      <c r="G937" s="7">
        <f t="shared" si="67"/>
        <v>0</v>
      </c>
      <c r="H937" s="8">
        <f t="shared" si="68"/>
        <v>0</v>
      </c>
      <c r="I937" s="9">
        <f t="shared" si="69"/>
        <v>0</v>
      </c>
    </row>
    <row r="938" spans="1:9" x14ac:dyDescent="0.35">
      <c r="A938" s="18" t="s">
        <v>1351</v>
      </c>
      <c r="B938" s="18" t="s">
        <v>725</v>
      </c>
      <c r="C938" s="20">
        <v>45726</v>
      </c>
      <c r="D938" s="11">
        <v>2878.5203999999999</v>
      </c>
      <c r="E938" s="27">
        <f t="shared" si="70"/>
        <v>3204.36890928</v>
      </c>
      <c r="F938" s="6">
        <f t="shared" si="66"/>
        <v>4165.679582064</v>
      </c>
      <c r="G938" s="7">
        <f t="shared" si="67"/>
        <v>4486.1164729920001</v>
      </c>
      <c r="H938" s="8">
        <f t="shared" si="68"/>
        <v>4806.5533639200003</v>
      </c>
      <c r="I938" s="9">
        <f t="shared" si="69"/>
        <v>5126.9902548480004</v>
      </c>
    </row>
    <row r="939" spans="1:9" x14ac:dyDescent="0.35">
      <c r="A939" s="18" t="s">
        <v>1352</v>
      </c>
      <c r="B939" s="18" t="s">
        <v>726</v>
      </c>
      <c r="C939" s="20">
        <v>45726</v>
      </c>
      <c r="D939" s="11">
        <v>4470.9724999999999</v>
      </c>
      <c r="E939" s="27">
        <f t="shared" si="70"/>
        <v>4977.0865870000007</v>
      </c>
      <c r="F939" s="6">
        <f t="shared" si="66"/>
        <v>6470.2125631000008</v>
      </c>
      <c r="G939" s="7">
        <f t="shared" si="67"/>
        <v>6967.9212218000002</v>
      </c>
      <c r="H939" s="8">
        <f t="shared" si="68"/>
        <v>7465.6298805000006</v>
      </c>
      <c r="I939" s="9">
        <f t="shared" si="69"/>
        <v>7963.3385392000018</v>
      </c>
    </row>
    <row r="940" spans="1:9" x14ac:dyDescent="0.35">
      <c r="A940" s="18" t="s">
        <v>1353</v>
      </c>
      <c r="B940" s="18" t="s">
        <v>727</v>
      </c>
      <c r="C940" s="20">
        <v>45726</v>
      </c>
      <c r="D940" s="11">
        <v>6216.6370999999999</v>
      </c>
      <c r="E940" s="27">
        <f t="shared" si="70"/>
        <v>6920.3604197200002</v>
      </c>
      <c r="F940" s="6">
        <f t="shared" si="66"/>
        <v>8996.4685456360003</v>
      </c>
      <c r="G940" s="7">
        <f t="shared" si="67"/>
        <v>9688.5045876080003</v>
      </c>
      <c r="H940" s="8">
        <f t="shared" si="68"/>
        <v>10380.54062958</v>
      </c>
      <c r="I940" s="9">
        <f t="shared" si="69"/>
        <v>11072.576671552</v>
      </c>
    </row>
    <row r="941" spans="1:9" x14ac:dyDescent="0.35">
      <c r="C941" s="20">
        <v>45726</v>
      </c>
      <c r="D941" s="11">
        <v>0</v>
      </c>
      <c r="E941" s="27">
        <f t="shared" si="70"/>
        <v>0</v>
      </c>
      <c r="F941" s="6">
        <f t="shared" si="66"/>
        <v>0</v>
      </c>
      <c r="G941" s="7">
        <f t="shared" si="67"/>
        <v>0</v>
      </c>
      <c r="H941" s="8">
        <f t="shared" si="68"/>
        <v>0</v>
      </c>
      <c r="I941" s="9">
        <f t="shared" si="69"/>
        <v>0</v>
      </c>
    </row>
    <row r="942" spans="1:9" x14ac:dyDescent="0.35">
      <c r="A942" s="18" t="s">
        <v>1354</v>
      </c>
      <c r="B942" s="18" t="s">
        <v>728</v>
      </c>
      <c r="C942" s="20">
        <v>45726</v>
      </c>
      <c r="D942" s="11">
        <v>578.82910000000004</v>
      </c>
      <c r="E942" s="27">
        <f t="shared" si="70"/>
        <v>644.35255412000015</v>
      </c>
      <c r="F942" s="6">
        <f t="shared" ref="F942:F1008" si="71">E942*1.3</f>
        <v>837.65832035600022</v>
      </c>
      <c r="G942" s="7">
        <f t="shared" ref="G942:G1008" si="72">E942*1.4</f>
        <v>902.09357576800016</v>
      </c>
      <c r="H942" s="8">
        <f t="shared" ref="H942:H1008" si="73">E942*1.5</f>
        <v>966.52883118000022</v>
      </c>
      <c r="I942" s="9">
        <f t="shared" ref="I942:I1008" si="74">E942*1.6</f>
        <v>1030.9640865920003</v>
      </c>
    </row>
    <row r="943" spans="1:9" x14ac:dyDescent="0.35">
      <c r="A943" s="18" t="s">
        <v>1355</v>
      </c>
      <c r="B943" s="18" t="s">
        <v>729</v>
      </c>
      <c r="C943" s="20">
        <v>45726</v>
      </c>
      <c r="D943" s="11">
        <v>813.34979999999996</v>
      </c>
      <c r="E943" s="27">
        <f t="shared" si="70"/>
        <v>905.42099736</v>
      </c>
      <c r="F943" s="6">
        <f t="shared" si="71"/>
        <v>1177.0472965680001</v>
      </c>
      <c r="G943" s="7">
        <f t="shared" si="72"/>
        <v>1267.5893963039998</v>
      </c>
      <c r="H943" s="8">
        <f t="shared" si="73"/>
        <v>1358.13149604</v>
      </c>
      <c r="I943" s="9">
        <f t="shared" si="74"/>
        <v>1448.6735957760002</v>
      </c>
    </row>
    <row r="944" spans="1:9" x14ac:dyDescent="0.35">
      <c r="A944" s="18" t="s">
        <v>1356</v>
      </c>
      <c r="B944" s="18" t="s">
        <v>730</v>
      </c>
      <c r="C944" s="20">
        <v>45726</v>
      </c>
      <c r="D944" s="11">
        <v>1277.2309</v>
      </c>
      <c r="E944" s="27">
        <f t="shared" si="70"/>
        <v>1421.81343788</v>
      </c>
      <c r="F944" s="6">
        <f t="shared" si="71"/>
        <v>1848.3574692440002</v>
      </c>
      <c r="G944" s="7">
        <f t="shared" si="72"/>
        <v>1990.538813032</v>
      </c>
      <c r="H944" s="8">
        <f t="shared" si="73"/>
        <v>2132.7201568199998</v>
      </c>
      <c r="I944" s="9">
        <f t="shared" si="74"/>
        <v>2274.9015006080003</v>
      </c>
    </row>
    <row r="945" spans="1:9" x14ac:dyDescent="0.35">
      <c r="A945" s="18" t="s">
        <v>6660</v>
      </c>
      <c r="B945" s="18" t="s">
        <v>6663</v>
      </c>
      <c r="C945" s="20">
        <v>45726</v>
      </c>
      <c r="D945" s="11">
        <v>4534.4205000000002</v>
      </c>
      <c r="E945" s="27">
        <f t="shared" si="70"/>
        <v>5047.7169006000004</v>
      </c>
      <c r="F945" s="6">
        <f t="shared" si="71"/>
        <v>6562.0319707800008</v>
      </c>
      <c r="G945" s="7">
        <f t="shared" si="72"/>
        <v>7066.8036608399998</v>
      </c>
      <c r="H945" s="8">
        <f t="shared" si="73"/>
        <v>7571.5753509000006</v>
      </c>
      <c r="I945" s="9">
        <f t="shared" si="74"/>
        <v>8076.3470409600013</v>
      </c>
    </row>
    <row r="946" spans="1:9" x14ac:dyDescent="0.35">
      <c r="A946" s="18" t="s">
        <v>6661</v>
      </c>
      <c r="B946" s="18" t="s">
        <v>6664</v>
      </c>
      <c r="C946" s="20">
        <v>45726</v>
      </c>
      <c r="D946" s="11">
        <v>6747.2622000000001</v>
      </c>
      <c r="E946" s="27">
        <f t="shared" si="70"/>
        <v>7511.0522810399998</v>
      </c>
      <c r="F946" s="6">
        <f t="shared" si="71"/>
        <v>9764.3679653519994</v>
      </c>
      <c r="G946" s="7">
        <f t="shared" si="72"/>
        <v>10515.473193455999</v>
      </c>
      <c r="H946" s="8">
        <f t="shared" si="73"/>
        <v>11266.57842156</v>
      </c>
      <c r="I946" s="9">
        <f t="shared" si="74"/>
        <v>12017.683649664001</v>
      </c>
    </row>
    <row r="947" spans="1:9" x14ac:dyDescent="0.35">
      <c r="A947" s="18" t="s">
        <v>6662</v>
      </c>
      <c r="B947" s="18" t="s">
        <v>6665</v>
      </c>
      <c r="C947" s="20">
        <v>45726</v>
      </c>
      <c r="D947" s="11">
        <v>7799.8706999999995</v>
      </c>
      <c r="E947" s="27">
        <f t="shared" si="70"/>
        <v>8682.8160632399995</v>
      </c>
      <c r="F947" s="6">
        <f t="shared" si="71"/>
        <v>11287.660882212</v>
      </c>
      <c r="G947" s="7">
        <f t="shared" si="72"/>
        <v>12155.942488535999</v>
      </c>
      <c r="H947" s="8">
        <f t="shared" si="73"/>
        <v>13024.224094859999</v>
      </c>
      <c r="I947" s="9">
        <f t="shared" si="74"/>
        <v>13892.505701184</v>
      </c>
    </row>
    <row r="948" spans="1:9" ht="18" x14ac:dyDescent="0.4">
      <c r="A948" s="28"/>
      <c r="B948" s="34" t="s">
        <v>3727</v>
      </c>
      <c r="C948" s="29"/>
      <c r="D948" s="11">
        <v>0</v>
      </c>
      <c r="E948" s="27">
        <f t="shared" si="70"/>
        <v>0</v>
      </c>
      <c r="F948" s="6">
        <f t="shared" si="71"/>
        <v>0</v>
      </c>
      <c r="G948" s="7">
        <f t="shared" si="72"/>
        <v>0</v>
      </c>
      <c r="H948" s="8">
        <f t="shared" si="73"/>
        <v>0</v>
      </c>
      <c r="I948" s="9">
        <f t="shared" si="74"/>
        <v>0</v>
      </c>
    </row>
    <row r="949" spans="1:9" x14ac:dyDescent="0.35">
      <c r="A949" s="28" t="s">
        <v>3728</v>
      </c>
      <c r="B949" s="28" t="s">
        <v>6459</v>
      </c>
      <c r="C949" s="29">
        <v>45731</v>
      </c>
      <c r="D949" s="11">
        <v>4145.0299163910004</v>
      </c>
      <c r="E949" s="27">
        <f t="shared" si="70"/>
        <v>4614.247302926462</v>
      </c>
      <c r="F949" s="6">
        <f t="shared" si="71"/>
        <v>5998.521493804401</v>
      </c>
      <c r="G949" s="7">
        <f t="shared" si="72"/>
        <v>6459.9462240970461</v>
      </c>
      <c r="H949" s="8">
        <f t="shared" si="73"/>
        <v>6921.370954389693</v>
      </c>
      <c r="I949" s="9">
        <f t="shared" si="74"/>
        <v>7382.7956846823399</v>
      </c>
    </row>
    <row r="950" spans="1:9" x14ac:dyDescent="0.35">
      <c r="A950" s="28" t="s">
        <v>3729</v>
      </c>
      <c r="B950" s="28" t="s">
        <v>3746</v>
      </c>
      <c r="C950" s="29">
        <v>45731</v>
      </c>
      <c r="D950" s="11">
        <v>6026.1420893309996</v>
      </c>
      <c r="E950" s="27">
        <f t="shared" si="70"/>
        <v>6708.3013738432683</v>
      </c>
      <c r="F950" s="6">
        <f t="shared" si="71"/>
        <v>8720.791785996249</v>
      </c>
      <c r="G950" s="7">
        <f t="shared" si="72"/>
        <v>9391.621923380575</v>
      </c>
      <c r="H950" s="8">
        <f t="shared" si="73"/>
        <v>10062.452060764903</v>
      </c>
      <c r="I950" s="9">
        <f t="shared" si="74"/>
        <v>10733.282198149231</v>
      </c>
    </row>
    <row r="951" spans="1:9" x14ac:dyDescent="0.35">
      <c r="A951" s="28" t="s">
        <v>3730</v>
      </c>
      <c r="B951" s="28" t="s">
        <v>3747</v>
      </c>
      <c r="C951" s="29">
        <v>45731</v>
      </c>
      <c r="D951" s="11">
        <v>9368.2564278030004</v>
      </c>
      <c r="E951" s="27">
        <f t="shared" si="70"/>
        <v>10428.743055430299</v>
      </c>
      <c r="F951" s="6">
        <f t="shared" si="71"/>
        <v>13557.36597205939</v>
      </c>
      <c r="G951" s="7">
        <f t="shared" si="72"/>
        <v>14600.240277602417</v>
      </c>
      <c r="H951" s="8">
        <f t="shared" si="73"/>
        <v>15643.114583145449</v>
      </c>
      <c r="I951" s="9">
        <f t="shared" si="74"/>
        <v>16685.98888868848</v>
      </c>
    </row>
    <row r="952" spans="1:9" x14ac:dyDescent="0.35">
      <c r="A952" s="28" t="s">
        <v>3731</v>
      </c>
      <c r="B952" s="28" t="s">
        <v>3748</v>
      </c>
      <c r="C952" s="29">
        <v>45731</v>
      </c>
      <c r="D952" s="11">
        <v>14133.009139704</v>
      </c>
      <c r="E952" s="27">
        <f t="shared" si="70"/>
        <v>15732.86577431849</v>
      </c>
      <c r="F952" s="6">
        <f t="shared" si="71"/>
        <v>20452.725506614039</v>
      </c>
      <c r="G952" s="7">
        <f t="shared" si="72"/>
        <v>22026.012084045884</v>
      </c>
      <c r="H952" s="8">
        <f t="shared" si="73"/>
        <v>23599.298661477736</v>
      </c>
      <c r="I952" s="9">
        <f t="shared" si="74"/>
        <v>25172.585238909585</v>
      </c>
    </row>
    <row r="953" spans="1:9" x14ac:dyDescent="0.35">
      <c r="A953" s="28" t="s">
        <v>3732</v>
      </c>
      <c r="B953" s="28" t="s">
        <v>3749</v>
      </c>
      <c r="C953" s="29">
        <v>45731</v>
      </c>
      <c r="D953" s="11">
        <v>18598.721010597001</v>
      </c>
      <c r="E953" s="27">
        <f t="shared" si="70"/>
        <v>20704.096228996583</v>
      </c>
      <c r="F953" s="6">
        <f t="shared" si="71"/>
        <v>26915.325097695557</v>
      </c>
      <c r="G953" s="7">
        <f t="shared" si="72"/>
        <v>28985.734720595214</v>
      </c>
      <c r="H953" s="8">
        <f t="shared" si="73"/>
        <v>31056.144343494874</v>
      </c>
      <c r="I953" s="9">
        <f t="shared" si="74"/>
        <v>33126.553966394531</v>
      </c>
    </row>
    <row r="954" spans="1:9" x14ac:dyDescent="0.35">
      <c r="A954" s="28" t="s">
        <v>3733</v>
      </c>
      <c r="B954" s="28" t="s">
        <v>3750</v>
      </c>
      <c r="C954" s="29">
        <v>45731</v>
      </c>
      <c r="D954" s="11">
        <v>28285.570949781602</v>
      </c>
      <c r="E954" s="27">
        <f t="shared" si="70"/>
        <v>31487.497581296881</v>
      </c>
      <c r="F954" s="6">
        <f t="shared" si="71"/>
        <v>40933.746855685946</v>
      </c>
      <c r="G954" s="7">
        <f t="shared" si="72"/>
        <v>44082.496613815631</v>
      </c>
      <c r="H954" s="8">
        <f t="shared" si="73"/>
        <v>47231.246371945323</v>
      </c>
      <c r="I954" s="9">
        <f t="shared" si="74"/>
        <v>50379.996130075015</v>
      </c>
    </row>
    <row r="955" spans="1:9" x14ac:dyDescent="0.35">
      <c r="A955" s="28"/>
      <c r="B955" s="28"/>
      <c r="C955" s="29">
        <v>45731</v>
      </c>
      <c r="D955" s="11">
        <v>0</v>
      </c>
      <c r="E955" s="27">
        <f t="shared" si="70"/>
        <v>0</v>
      </c>
      <c r="F955" s="6">
        <f t="shared" si="71"/>
        <v>0</v>
      </c>
      <c r="G955" s="7">
        <f t="shared" si="72"/>
        <v>0</v>
      </c>
      <c r="H955" s="8">
        <f t="shared" si="73"/>
        <v>0</v>
      </c>
      <c r="I955" s="9">
        <f t="shared" si="74"/>
        <v>0</v>
      </c>
    </row>
    <row r="956" spans="1:9" x14ac:dyDescent="0.35">
      <c r="A956" s="28" t="s">
        <v>3734</v>
      </c>
      <c r="B956" s="28" t="s">
        <v>3751</v>
      </c>
      <c r="C956" s="29">
        <v>45731</v>
      </c>
      <c r="D956" s="11">
        <v>5652.9463839030013</v>
      </c>
      <c r="E956" s="27">
        <f t="shared" si="70"/>
        <v>6292.8599145608214</v>
      </c>
      <c r="F956" s="6">
        <f t="shared" si="71"/>
        <v>8180.7178889290681</v>
      </c>
      <c r="G956" s="7">
        <f t="shared" si="72"/>
        <v>8810.0038803851494</v>
      </c>
      <c r="H956" s="8">
        <f t="shared" si="73"/>
        <v>9439.2898718412325</v>
      </c>
      <c r="I956" s="9">
        <f t="shared" si="74"/>
        <v>10068.575863297316</v>
      </c>
    </row>
    <row r="957" spans="1:9" x14ac:dyDescent="0.35">
      <c r="A957" s="28" t="s">
        <v>3735</v>
      </c>
      <c r="B957" s="28" t="s">
        <v>3752</v>
      </c>
      <c r="C957" s="29">
        <v>45731</v>
      </c>
      <c r="D957" s="11">
        <v>8210.9108652480008</v>
      </c>
      <c r="E957" s="27">
        <f t="shared" si="70"/>
        <v>9140.3859751940745</v>
      </c>
      <c r="F957" s="6">
        <f t="shared" si="71"/>
        <v>11882.501767752297</v>
      </c>
      <c r="G957" s="7">
        <f t="shared" si="72"/>
        <v>12796.540365271703</v>
      </c>
      <c r="H957" s="8">
        <f t="shared" si="73"/>
        <v>13710.578962791111</v>
      </c>
      <c r="I957" s="9">
        <f t="shared" si="74"/>
        <v>14624.61756031052</v>
      </c>
    </row>
    <row r="958" spans="1:9" x14ac:dyDescent="0.35">
      <c r="A958" s="28" t="s">
        <v>3736</v>
      </c>
      <c r="B958" s="28" t="s">
        <v>3753</v>
      </c>
      <c r="C958" s="29">
        <v>45731</v>
      </c>
      <c r="D958" s="11">
        <v>12761.144147933999</v>
      </c>
      <c r="E958" s="27">
        <f t="shared" si="70"/>
        <v>14205.705665480127</v>
      </c>
      <c r="F958" s="6">
        <f t="shared" si="71"/>
        <v>18467.417365124165</v>
      </c>
      <c r="G958" s="7">
        <f t="shared" si="72"/>
        <v>19887.987931672178</v>
      </c>
      <c r="H958" s="8">
        <f t="shared" si="73"/>
        <v>21308.558498220191</v>
      </c>
      <c r="I958" s="9">
        <f t="shared" si="74"/>
        <v>22729.129064768204</v>
      </c>
    </row>
    <row r="959" spans="1:9" x14ac:dyDescent="0.35">
      <c r="A959" s="28" t="s">
        <v>3737</v>
      </c>
      <c r="B959" s="28" t="s">
        <v>3754</v>
      </c>
      <c r="C959" s="29">
        <v>45731</v>
      </c>
      <c r="D959" s="11">
        <v>19247.046396669</v>
      </c>
      <c r="E959" s="27">
        <f t="shared" si="70"/>
        <v>21425.812048771932</v>
      </c>
      <c r="F959" s="6">
        <f t="shared" si="71"/>
        <v>27853.555663403513</v>
      </c>
      <c r="G959" s="7">
        <f t="shared" si="72"/>
        <v>29996.136868280701</v>
      </c>
      <c r="H959" s="8">
        <f t="shared" si="73"/>
        <v>32138.718073157899</v>
      </c>
      <c r="I959" s="9">
        <f t="shared" si="74"/>
        <v>34281.299278035091</v>
      </c>
    </row>
    <row r="960" spans="1:9" x14ac:dyDescent="0.35">
      <c r="A960" s="28" t="s">
        <v>3738</v>
      </c>
      <c r="B960" s="28" t="s">
        <v>3755</v>
      </c>
      <c r="C960" s="29">
        <v>45731</v>
      </c>
      <c r="D960" s="11">
        <v>25324.340208803998</v>
      </c>
      <c r="E960" s="27">
        <f t="shared" si="70"/>
        <v>28191.055520440612</v>
      </c>
      <c r="F960" s="6">
        <f t="shared" si="71"/>
        <v>36648.372176572797</v>
      </c>
      <c r="G960" s="7">
        <f t="shared" si="72"/>
        <v>39467.477728616854</v>
      </c>
      <c r="H960" s="8">
        <f t="shared" si="73"/>
        <v>42286.583280660918</v>
      </c>
      <c r="I960" s="9">
        <f t="shared" si="74"/>
        <v>45105.688832704982</v>
      </c>
    </row>
    <row r="961" spans="1:9" x14ac:dyDescent="0.35">
      <c r="A961" s="28" t="s">
        <v>3739</v>
      </c>
      <c r="B961" s="28" t="s">
        <v>3756</v>
      </c>
      <c r="C961" s="29">
        <v>45731</v>
      </c>
      <c r="D961" s="11">
        <v>35703.221503131004</v>
      </c>
      <c r="E961" s="27">
        <f t="shared" si="70"/>
        <v>39744.826177285438</v>
      </c>
      <c r="F961" s="6">
        <f t="shared" si="71"/>
        <v>51668.274030471075</v>
      </c>
      <c r="G961" s="7">
        <f t="shared" si="72"/>
        <v>55642.756648199611</v>
      </c>
      <c r="H961" s="8">
        <f t="shared" si="73"/>
        <v>59617.239265928161</v>
      </c>
      <c r="I961" s="9">
        <f t="shared" si="74"/>
        <v>63591.721883656704</v>
      </c>
    </row>
    <row r="962" spans="1:9" x14ac:dyDescent="0.35">
      <c r="A962" s="28"/>
      <c r="B962" s="28"/>
      <c r="C962" s="29">
        <v>45731</v>
      </c>
      <c r="D962" s="11">
        <v>0</v>
      </c>
      <c r="E962" s="27">
        <f t="shared" si="70"/>
        <v>0</v>
      </c>
      <c r="F962" s="6">
        <f t="shared" si="71"/>
        <v>0</v>
      </c>
      <c r="G962" s="7">
        <f t="shared" si="72"/>
        <v>0</v>
      </c>
      <c r="H962" s="8">
        <f t="shared" si="73"/>
        <v>0</v>
      </c>
      <c r="I962" s="9">
        <f t="shared" si="74"/>
        <v>0</v>
      </c>
    </row>
    <row r="963" spans="1:9" x14ac:dyDescent="0.35">
      <c r="A963" s="28" t="s">
        <v>3740</v>
      </c>
      <c r="B963" s="28" t="s">
        <v>3757</v>
      </c>
      <c r="C963" s="29">
        <v>45731</v>
      </c>
      <c r="D963" s="11">
        <v>241.38165050999999</v>
      </c>
      <c r="E963" s="27">
        <f t="shared" si="70"/>
        <v>268.70605334773194</v>
      </c>
      <c r="F963" s="6">
        <f t="shared" si="71"/>
        <v>349.31786935205156</v>
      </c>
      <c r="G963" s="7">
        <f t="shared" si="72"/>
        <v>376.18847468682469</v>
      </c>
      <c r="H963" s="8">
        <f t="shared" si="73"/>
        <v>403.05908002159788</v>
      </c>
      <c r="I963" s="9">
        <f t="shared" si="74"/>
        <v>429.92968535637112</v>
      </c>
    </row>
    <row r="964" spans="1:9" x14ac:dyDescent="0.35">
      <c r="A964" s="28" t="s">
        <v>3741</v>
      </c>
      <c r="B964" s="28" t="s">
        <v>3758</v>
      </c>
      <c r="C964" s="29">
        <v>45731</v>
      </c>
      <c r="D964" s="11">
        <v>416.40226418700001</v>
      </c>
      <c r="E964" s="27">
        <f t="shared" si="70"/>
        <v>463.53900049296846</v>
      </c>
      <c r="F964" s="6">
        <f t="shared" si="71"/>
        <v>602.60070064085903</v>
      </c>
      <c r="G964" s="7">
        <f t="shared" si="72"/>
        <v>648.95460069015576</v>
      </c>
      <c r="H964" s="8">
        <f t="shared" si="73"/>
        <v>695.30850073945271</v>
      </c>
      <c r="I964" s="9">
        <f t="shared" si="74"/>
        <v>741.66240078874955</v>
      </c>
    </row>
    <row r="965" spans="1:9" x14ac:dyDescent="0.35">
      <c r="A965" s="28" t="s">
        <v>3742</v>
      </c>
      <c r="B965" s="28" t="s">
        <v>3759</v>
      </c>
      <c r="C965" s="29">
        <v>45731</v>
      </c>
      <c r="D965" s="11">
        <v>581.73734455199997</v>
      </c>
      <c r="E965" s="27">
        <f t="shared" si="70"/>
        <v>647.5900119552864</v>
      </c>
      <c r="F965" s="6">
        <f t="shared" si="71"/>
        <v>841.86701554187232</v>
      </c>
      <c r="G965" s="7">
        <f t="shared" si="72"/>
        <v>906.62601673740085</v>
      </c>
      <c r="H965" s="8">
        <f t="shared" si="73"/>
        <v>971.3850179329296</v>
      </c>
      <c r="I965" s="9">
        <f t="shared" si="74"/>
        <v>1036.1440191284582</v>
      </c>
    </row>
    <row r="966" spans="1:9" x14ac:dyDescent="0.35">
      <c r="A966" s="28" t="s">
        <v>3743</v>
      </c>
      <c r="B966" s="28" t="s">
        <v>3760</v>
      </c>
      <c r="C966" s="29">
        <v>45731</v>
      </c>
      <c r="D966" s="11">
        <v>1287.1165752899999</v>
      </c>
      <c r="E966" s="27">
        <f t="shared" si="70"/>
        <v>1432.8181716128281</v>
      </c>
      <c r="F966" s="6">
        <f t="shared" si="71"/>
        <v>1862.6636230966767</v>
      </c>
      <c r="G966" s="7">
        <f t="shared" si="72"/>
        <v>2005.9454402579593</v>
      </c>
      <c r="H966" s="8">
        <f t="shared" si="73"/>
        <v>2149.2272574192421</v>
      </c>
      <c r="I966" s="9">
        <f t="shared" si="74"/>
        <v>2292.5090745805251</v>
      </c>
    </row>
    <row r="967" spans="1:9" x14ac:dyDescent="0.35">
      <c r="A967" s="28" t="s">
        <v>3744</v>
      </c>
      <c r="B967" s="28" t="s">
        <v>3761</v>
      </c>
      <c r="C967" s="29">
        <v>45731</v>
      </c>
      <c r="D967" s="11">
        <v>2419.415954046</v>
      </c>
      <c r="E967" s="27">
        <f t="shared" si="70"/>
        <v>2693.2938400440071</v>
      </c>
      <c r="F967" s="6">
        <f t="shared" si="71"/>
        <v>3501.2819920572092</v>
      </c>
      <c r="G967" s="7">
        <f t="shared" si="72"/>
        <v>3770.6113760616095</v>
      </c>
      <c r="H967" s="8">
        <f t="shared" si="73"/>
        <v>4039.9407600660106</v>
      </c>
      <c r="I967" s="9">
        <f t="shared" si="74"/>
        <v>4309.2701440704113</v>
      </c>
    </row>
    <row r="968" spans="1:9" x14ac:dyDescent="0.35">
      <c r="A968" s="28" t="s">
        <v>3745</v>
      </c>
      <c r="B968" s="28" t="s">
        <v>3762</v>
      </c>
      <c r="C968" s="29">
        <v>45731</v>
      </c>
      <c r="D968" s="11">
        <v>3632.0749920000003</v>
      </c>
      <c r="E968" s="27">
        <f t="shared" si="70"/>
        <v>4043.2258810944004</v>
      </c>
      <c r="F968" s="6">
        <f t="shared" si="71"/>
        <v>5256.1936454227207</v>
      </c>
      <c r="G968" s="7">
        <f t="shared" si="72"/>
        <v>5660.5162335321602</v>
      </c>
      <c r="H968" s="8">
        <f t="shared" si="73"/>
        <v>6064.8388216416006</v>
      </c>
      <c r="I968" s="9">
        <f t="shared" si="74"/>
        <v>6469.161409751041</v>
      </c>
    </row>
    <row r="969" spans="1:9" x14ac:dyDescent="0.35">
      <c r="A969" s="28"/>
      <c r="B969" s="28"/>
      <c r="C969" s="29">
        <v>45731</v>
      </c>
      <c r="D969" s="11">
        <v>0</v>
      </c>
      <c r="E969" s="27">
        <f t="shared" si="70"/>
        <v>0</v>
      </c>
      <c r="F969" s="6">
        <f t="shared" si="71"/>
        <v>0</v>
      </c>
      <c r="G969" s="7">
        <f t="shared" si="72"/>
        <v>0</v>
      </c>
      <c r="H969" s="8">
        <f t="shared" si="73"/>
        <v>0</v>
      </c>
      <c r="I969" s="9">
        <f t="shared" si="74"/>
        <v>0</v>
      </c>
    </row>
    <row r="970" spans="1:9" x14ac:dyDescent="0.35">
      <c r="A970" s="28" t="s">
        <v>3763</v>
      </c>
      <c r="B970" s="28" t="s">
        <v>3769</v>
      </c>
      <c r="C970" s="29">
        <v>45731</v>
      </c>
      <c r="D970" s="11">
        <v>201.05048445300002</v>
      </c>
      <c r="E970" s="27">
        <f t="shared" si="70"/>
        <v>223.80939929307962</v>
      </c>
      <c r="F970" s="6">
        <f t="shared" si="71"/>
        <v>290.95221908100353</v>
      </c>
      <c r="G970" s="7">
        <f t="shared" si="72"/>
        <v>313.33315901031148</v>
      </c>
      <c r="H970" s="8">
        <f t="shared" si="73"/>
        <v>335.71409893961942</v>
      </c>
      <c r="I970" s="9">
        <f t="shared" si="74"/>
        <v>358.09503886892742</v>
      </c>
    </row>
    <row r="971" spans="1:9" x14ac:dyDescent="0.35">
      <c r="A971" s="28" t="s">
        <v>3764</v>
      </c>
      <c r="B971" s="28" t="s">
        <v>3770</v>
      </c>
      <c r="C971" s="29">
        <v>45731</v>
      </c>
      <c r="D971" s="11">
        <v>330.82149718799997</v>
      </c>
      <c r="E971" s="27">
        <f t="shared" si="70"/>
        <v>368.27049066968158</v>
      </c>
      <c r="F971" s="6">
        <f t="shared" si="71"/>
        <v>478.75163787058608</v>
      </c>
      <c r="G971" s="7">
        <f t="shared" si="72"/>
        <v>515.57868693755415</v>
      </c>
      <c r="H971" s="8">
        <f t="shared" si="73"/>
        <v>552.4057360045224</v>
      </c>
      <c r="I971" s="9">
        <f t="shared" si="74"/>
        <v>589.23278507149053</v>
      </c>
    </row>
    <row r="972" spans="1:9" x14ac:dyDescent="0.35">
      <c r="A972" s="28" t="s">
        <v>3765</v>
      </c>
      <c r="B972" s="28" t="s">
        <v>3771</v>
      </c>
      <c r="C972" s="29">
        <v>45731</v>
      </c>
      <c r="D972" s="11">
        <v>473.15343593699998</v>
      </c>
      <c r="E972" s="27">
        <f t="shared" ref="E972:E1035" si="75">D972*1.21*0.92</f>
        <v>526.71440488506835</v>
      </c>
      <c r="F972" s="6">
        <f t="shared" si="71"/>
        <v>684.72872635058889</v>
      </c>
      <c r="G972" s="7">
        <f t="shared" si="72"/>
        <v>737.40016683909562</v>
      </c>
      <c r="H972" s="8">
        <f t="shared" si="73"/>
        <v>790.07160732760258</v>
      </c>
      <c r="I972" s="9">
        <f t="shared" si="74"/>
        <v>842.74304781610942</v>
      </c>
    </row>
    <row r="973" spans="1:9" x14ac:dyDescent="0.35">
      <c r="A973" s="28" t="s">
        <v>3766</v>
      </c>
      <c r="B973" s="28" t="s">
        <v>3772</v>
      </c>
      <c r="C973" s="29">
        <v>45731</v>
      </c>
      <c r="D973" s="11">
        <v>1004.798412891</v>
      </c>
      <c r="E973" s="27">
        <f t="shared" si="75"/>
        <v>1118.5415932302612</v>
      </c>
      <c r="F973" s="6">
        <f t="shared" si="71"/>
        <v>1454.1040711993396</v>
      </c>
      <c r="G973" s="7">
        <f t="shared" si="72"/>
        <v>1565.9582305223657</v>
      </c>
      <c r="H973" s="8">
        <f t="shared" si="73"/>
        <v>1677.8123898453919</v>
      </c>
      <c r="I973" s="9">
        <f t="shared" si="74"/>
        <v>1789.666549168418</v>
      </c>
    </row>
    <row r="974" spans="1:9" x14ac:dyDescent="0.35">
      <c r="A974" s="28" t="s">
        <v>3767</v>
      </c>
      <c r="B974" s="28" t="s">
        <v>3773</v>
      </c>
      <c r="C974" s="29">
        <v>45731</v>
      </c>
      <c r="D974" s="11">
        <v>1932.6422368890001</v>
      </c>
      <c r="E974" s="27">
        <f t="shared" si="75"/>
        <v>2151.4173381048349</v>
      </c>
      <c r="F974" s="6">
        <f t="shared" si="71"/>
        <v>2796.8425395362856</v>
      </c>
      <c r="G974" s="7">
        <f t="shared" si="72"/>
        <v>3011.9842733467685</v>
      </c>
      <c r="H974" s="8">
        <f t="shared" si="73"/>
        <v>3227.1260071572524</v>
      </c>
      <c r="I974" s="9">
        <f t="shared" si="74"/>
        <v>3442.2677409677362</v>
      </c>
    </row>
    <row r="975" spans="1:9" x14ac:dyDescent="0.35">
      <c r="A975" s="28" t="s">
        <v>3768</v>
      </c>
      <c r="B975" s="28" t="s">
        <v>3774</v>
      </c>
      <c r="C975" s="29">
        <v>45731</v>
      </c>
      <c r="D975" s="11">
        <v>2890.5263477999997</v>
      </c>
      <c r="E975" s="27">
        <f t="shared" si="75"/>
        <v>3217.7339303709596</v>
      </c>
      <c r="F975" s="6">
        <f t="shared" si="71"/>
        <v>4183.0541094822474</v>
      </c>
      <c r="G975" s="7">
        <f t="shared" si="72"/>
        <v>4504.8275025193434</v>
      </c>
      <c r="H975" s="8">
        <f t="shared" si="73"/>
        <v>4826.6008955564394</v>
      </c>
      <c r="I975" s="9">
        <f t="shared" si="74"/>
        <v>5148.3742885935353</v>
      </c>
    </row>
    <row r="976" spans="1:9" x14ac:dyDescent="0.35">
      <c r="A976" s="28"/>
      <c r="B976" s="28"/>
      <c r="C976" s="29">
        <v>45731</v>
      </c>
      <c r="D976" s="11">
        <v>0</v>
      </c>
      <c r="E976" s="27">
        <f t="shared" si="75"/>
        <v>0</v>
      </c>
      <c r="F976" s="6">
        <f t="shared" si="71"/>
        <v>0</v>
      </c>
      <c r="G976" s="7">
        <f t="shared" si="72"/>
        <v>0</v>
      </c>
      <c r="H976" s="8">
        <f t="shared" si="73"/>
        <v>0</v>
      </c>
      <c r="I976" s="9">
        <f t="shared" si="74"/>
        <v>0</v>
      </c>
    </row>
    <row r="977" spans="1:9" x14ac:dyDescent="0.35">
      <c r="A977" s="28" t="s">
        <v>3775</v>
      </c>
      <c r="B977" s="28" t="s">
        <v>3778</v>
      </c>
      <c r="C977" s="29">
        <v>45731</v>
      </c>
      <c r="D977" s="11">
        <v>285.87456916200006</v>
      </c>
      <c r="E977" s="27">
        <f t="shared" si="75"/>
        <v>318.23557039113842</v>
      </c>
      <c r="F977" s="6">
        <f t="shared" si="71"/>
        <v>413.70624150847999</v>
      </c>
      <c r="G977" s="7">
        <f t="shared" si="72"/>
        <v>445.52979854759377</v>
      </c>
      <c r="H977" s="8">
        <f t="shared" si="73"/>
        <v>477.35335558670761</v>
      </c>
      <c r="I977" s="9">
        <f t="shared" si="74"/>
        <v>509.1769126258215</v>
      </c>
    </row>
    <row r="978" spans="1:9" x14ac:dyDescent="0.35">
      <c r="A978" s="28" t="s">
        <v>3776</v>
      </c>
      <c r="B978" s="28" t="s">
        <v>3779</v>
      </c>
      <c r="C978" s="29">
        <v>45731</v>
      </c>
      <c r="D978" s="11">
        <v>458.32246305300015</v>
      </c>
      <c r="E978" s="27">
        <f t="shared" si="75"/>
        <v>510.20456587059977</v>
      </c>
      <c r="F978" s="6">
        <f t="shared" si="71"/>
        <v>663.26593563177971</v>
      </c>
      <c r="G978" s="7">
        <f t="shared" si="72"/>
        <v>714.28639221883964</v>
      </c>
      <c r="H978" s="8">
        <f t="shared" si="73"/>
        <v>765.30684880589968</v>
      </c>
      <c r="I978" s="9">
        <f t="shared" si="74"/>
        <v>816.32730539295972</v>
      </c>
    </row>
    <row r="979" spans="1:9" x14ac:dyDescent="0.35">
      <c r="A979" s="28" t="s">
        <v>3777</v>
      </c>
      <c r="B979" s="28" t="s">
        <v>3780</v>
      </c>
      <c r="C979" s="29">
        <v>45731</v>
      </c>
      <c r="D979" s="11">
        <v>601.94076169500011</v>
      </c>
      <c r="E979" s="27">
        <f t="shared" si="75"/>
        <v>670.08045591887412</v>
      </c>
      <c r="F979" s="6">
        <f t="shared" si="71"/>
        <v>871.10459269453634</v>
      </c>
      <c r="G979" s="7">
        <f t="shared" si="72"/>
        <v>938.1126382864237</v>
      </c>
      <c r="H979" s="8">
        <f t="shared" si="73"/>
        <v>1005.1206838783112</v>
      </c>
      <c r="I979" s="9">
        <f t="shared" si="74"/>
        <v>1072.1287294701986</v>
      </c>
    </row>
    <row r="980" spans="1:9" x14ac:dyDescent="0.35">
      <c r="A980" s="28"/>
      <c r="B980" s="28"/>
      <c r="C980" s="29">
        <v>45731</v>
      </c>
      <c r="D980" s="11">
        <v>0</v>
      </c>
      <c r="E980" s="27">
        <f t="shared" si="75"/>
        <v>0</v>
      </c>
      <c r="F980" s="6">
        <f t="shared" si="71"/>
        <v>0</v>
      </c>
      <c r="G980" s="7">
        <f t="shared" si="72"/>
        <v>0</v>
      </c>
      <c r="H980" s="8">
        <f t="shared" si="73"/>
        <v>0</v>
      </c>
      <c r="I980" s="9">
        <f t="shared" si="74"/>
        <v>0</v>
      </c>
    </row>
    <row r="981" spans="1:9" x14ac:dyDescent="0.35">
      <c r="A981" s="28" t="s">
        <v>3781</v>
      </c>
      <c r="B981" s="28" t="s">
        <v>3787</v>
      </c>
      <c r="C981" s="29">
        <v>45731</v>
      </c>
      <c r="D981" s="11">
        <v>463.24089793800005</v>
      </c>
      <c r="E981" s="27">
        <f t="shared" si="75"/>
        <v>515.67976758458167</v>
      </c>
      <c r="F981" s="6">
        <f t="shared" si="71"/>
        <v>670.38369785995621</v>
      </c>
      <c r="G981" s="7">
        <f t="shared" si="72"/>
        <v>721.95167461841424</v>
      </c>
      <c r="H981" s="8">
        <f t="shared" si="73"/>
        <v>773.5196513768725</v>
      </c>
      <c r="I981" s="9">
        <f t="shared" si="74"/>
        <v>825.08762813533076</v>
      </c>
    </row>
    <row r="982" spans="1:9" x14ac:dyDescent="0.35">
      <c r="A982" s="28" t="s">
        <v>3782</v>
      </c>
      <c r="B982" s="28" t="s">
        <v>3788</v>
      </c>
      <c r="C982" s="29">
        <v>45731</v>
      </c>
      <c r="D982" s="11">
        <v>581.73734455199997</v>
      </c>
      <c r="E982" s="27">
        <f t="shared" si="75"/>
        <v>647.5900119552864</v>
      </c>
      <c r="F982" s="6">
        <f t="shared" si="71"/>
        <v>841.86701554187232</v>
      </c>
      <c r="G982" s="7">
        <f t="shared" si="72"/>
        <v>906.62601673740085</v>
      </c>
      <c r="H982" s="8">
        <f t="shared" si="73"/>
        <v>971.3850179329296</v>
      </c>
      <c r="I982" s="9">
        <f t="shared" si="74"/>
        <v>1036.1440191284582</v>
      </c>
    </row>
    <row r="983" spans="1:9" x14ac:dyDescent="0.35">
      <c r="A983" s="28" t="s">
        <v>3783</v>
      </c>
      <c r="B983" s="28" t="s">
        <v>3789</v>
      </c>
      <c r="C983" s="29">
        <v>45731</v>
      </c>
      <c r="D983" s="11">
        <v>877.67578817100002</v>
      </c>
      <c r="E983" s="27">
        <f t="shared" si="75"/>
        <v>977.02868739195719</v>
      </c>
      <c r="F983" s="6">
        <f t="shared" si="71"/>
        <v>1270.1372936095445</v>
      </c>
      <c r="G983" s="7">
        <f t="shared" si="72"/>
        <v>1367.84016234874</v>
      </c>
      <c r="H983" s="8">
        <f t="shared" si="73"/>
        <v>1465.5430310879358</v>
      </c>
      <c r="I983" s="9">
        <f t="shared" si="74"/>
        <v>1563.2458998271316</v>
      </c>
    </row>
    <row r="984" spans="1:9" x14ac:dyDescent="0.35">
      <c r="A984" s="28" t="s">
        <v>3784</v>
      </c>
      <c r="B984" s="28" t="s">
        <v>3790</v>
      </c>
      <c r="C984" s="29">
        <v>45731</v>
      </c>
      <c r="D984" s="11">
        <v>1720.2415180860003</v>
      </c>
      <c r="E984" s="27">
        <f t="shared" si="75"/>
        <v>1914.9728579333355</v>
      </c>
      <c r="F984" s="6">
        <f t="shared" si="71"/>
        <v>2489.464715313336</v>
      </c>
      <c r="G984" s="7">
        <f t="shared" si="72"/>
        <v>2680.9620011066695</v>
      </c>
      <c r="H984" s="8">
        <f t="shared" si="73"/>
        <v>2872.4592869000035</v>
      </c>
      <c r="I984" s="9">
        <f t="shared" si="74"/>
        <v>3063.956572693337</v>
      </c>
    </row>
    <row r="985" spans="1:9" x14ac:dyDescent="0.35">
      <c r="A985" s="28" t="s">
        <v>3785</v>
      </c>
      <c r="B985" s="28" t="s">
        <v>3791</v>
      </c>
      <c r="C985" s="29">
        <v>45731</v>
      </c>
      <c r="D985" s="11">
        <v>3020.5243652220006</v>
      </c>
      <c r="E985" s="27">
        <f t="shared" si="75"/>
        <v>3362.447723365131</v>
      </c>
      <c r="F985" s="6">
        <f t="shared" si="71"/>
        <v>4371.1820403746706</v>
      </c>
      <c r="G985" s="7">
        <f t="shared" si="72"/>
        <v>4707.4268127111827</v>
      </c>
      <c r="H985" s="8">
        <f t="shared" si="73"/>
        <v>5043.6715850476967</v>
      </c>
      <c r="I985" s="9">
        <f t="shared" si="74"/>
        <v>5379.9163573842097</v>
      </c>
    </row>
    <row r="986" spans="1:9" x14ac:dyDescent="0.35">
      <c r="A986" s="28" t="s">
        <v>3786</v>
      </c>
      <c r="B986" s="28" t="s">
        <v>3792</v>
      </c>
      <c r="C986" s="29">
        <v>45731</v>
      </c>
      <c r="D986" s="11">
        <v>4746.516668712</v>
      </c>
      <c r="E986" s="27">
        <f t="shared" si="75"/>
        <v>5283.8223556101984</v>
      </c>
      <c r="F986" s="6">
        <f t="shared" si="71"/>
        <v>6868.9690622932585</v>
      </c>
      <c r="G986" s="7">
        <f t="shared" si="72"/>
        <v>7397.3512978542776</v>
      </c>
      <c r="H986" s="8">
        <f t="shared" si="73"/>
        <v>7925.7335334152976</v>
      </c>
      <c r="I986" s="9">
        <f t="shared" si="74"/>
        <v>8454.1157689763186</v>
      </c>
    </row>
    <row r="987" spans="1:9" x14ac:dyDescent="0.35">
      <c r="A987" s="28"/>
      <c r="B987" s="28"/>
      <c r="C987" s="29">
        <v>45731</v>
      </c>
      <c r="D987" s="11">
        <v>0</v>
      </c>
      <c r="E987" s="27">
        <f t="shared" si="75"/>
        <v>0</v>
      </c>
      <c r="F987" s="6">
        <f t="shared" si="71"/>
        <v>0</v>
      </c>
      <c r="G987" s="7">
        <f t="shared" si="72"/>
        <v>0</v>
      </c>
      <c r="H987" s="8">
        <f t="shared" si="73"/>
        <v>0</v>
      </c>
      <c r="I987" s="9">
        <f t="shared" si="74"/>
        <v>0</v>
      </c>
    </row>
    <row r="988" spans="1:9" x14ac:dyDescent="0.35">
      <c r="A988" s="28" t="s">
        <v>3793</v>
      </c>
      <c r="B988" s="28" t="s">
        <v>3799</v>
      </c>
      <c r="C988" s="29">
        <v>45731</v>
      </c>
      <c r="D988" s="11">
        <v>318.79024877700004</v>
      </c>
      <c r="E988" s="27">
        <f t="shared" si="75"/>
        <v>354.87730493855645</v>
      </c>
      <c r="F988" s="6">
        <f t="shared" si="71"/>
        <v>461.34049642012337</v>
      </c>
      <c r="G988" s="7">
        <f t="shared" si="72"/>
        <v>496.82822691397899</v>
      </c>
      <c r="H988" s="8">
        <f t="shared" si="73"/>
        <v>532.31595740783473</v>
      </c>
      <c r="I988" s="9">
        <f t="shared" si="74"/>
        <v>567.8036879016903</v>
      </c>
    </row>
    <row r="989" spans="1:9" x14ac:dyDescent="0.35">
      <c r="A989" s="28" t="s">
        <v>3794</v>
      </c>
      <c r="B989" s="28" t="s">
        <v>3800</v>
      </c>
      <c r="C989" s="29">
        <v>45731</v>
      </c>
      <c r="D989" s="11">
        <v>601.94076169500011</v>
      </c>
      <c r="E989" s="27">
        <f t="shared" si="75"/>
        <v>670.08045591887412</v>
      </c>
      <c r="F989" s="6">
        <f t="shared" si="71"/>
        <v>871.10459269453634</v>
      </c>
      <c r="G989" s="7">
        <f t="shared" si="72"/>
        <v>938.1126382864237</v>
      </c>
      <c r="H989" s="8">
        <f t="shared" si="73"/>
        <v>1005.1206838783112</v>
      </c>
      <c r="I989" s="9">
        <f t="shared" si="74"/>
        <v>1072.1287294701986</v>
      </c>
    </row>
    <row r="990" spans="1:9" x14ac:dyDescent="0.35">
      <c r="A990" s="28" t="s">
        <v>3795</v>
      </c>
      <c r="B990" s="28" t="s">
        <v>3801</v>
      </c>
      <c r="C990" s="29">
        <v>45731</v>
      </c>
      <c r="D990" s="11">
        <v>877.67578817100002</v>
      </c>
      <c r="E990" s="27">
        <f t="shared" si="75"/>
        <v>977.02868739195719</v>
      </c>
      <c r="F990" s="6">
        <f t="shared" si="71"/>
        <v>1270.1372936095445</v>
      </c>
      <c r="G990" s="7">
        <f t="shared" si="72"/>
        <v>1367.84016234874</v>
      </c>
      <c r="H990" s="8">
        <f t="shared" si="73"/>
        <v>1465.5430310879358</v>
      </c>
      <c r="I990" s="9">
        <f t="shared" si="74"/>
        <v>1563.2458998271316</v>
      </c>
    </row>
    <row r="991" spans="1:9" x14ac:dyDescent="0.35">
      <c r="A991" s="28" t="s">
        <v>3796</v>
      </c>
      <c r="B991" s="28" t="s">
        <v>3802</v>
      </c>
      <c r="C991" s="29">
        <v>45731</v>
      </c>
      <c r="D991" s="11">
        <v>1920.2326473329999</v>
      </c>
      <c r="E991" s="27">
        <f t="shared" si="75"/>
        <v>2137.6029830110956</v>
      </c>
      <c r="F991" s="6">
        <f t="shared" si="71"/>
        <v>2778.8838779144244</v>
      </c>
      <c r="G991" s="7">
        <f t="shared" si="72"/>
        <v>2992.6441762155337</v>
      </c>
      <c r="H991" s="8">
        <f t="shared" si="73"/>
        <v>3206.4044745166434</v>
      </c>
      <c r="I991" s="9">
        <f t="shared" si="74"/>
        <v>3420.1647728177531</v>
      </c>
    </row>
    <row r="992" spans="1:9" x14ac:dyDescent="0.35">
      <c r="A992" s="28" t="s">
        <v>3797</v>
      </c>
      <c r="B992" s="28" t="s">
        <v>3803</v>
      </c>
      <c r="C992" s="29">
        <v>45731</v>
      </c>
      <c r="D992" s="11">
        <v>3479.6035105650003</v>
      </c>
      <c r="E992" s="27">
        <f t="shared" si="75"/>
        <v>3873.4946279609585</v>
      </c>
      <c r="F992" s="6">
        <f t="shared" si="71"/>
        <v>5035.5430163492465</v>
      </c>
      <c r="G992" s="7">
        <f t="shared" si="72"/>
        <v>5422.8924791453419</v>
      </c>
      <c r="H992" s="8">
        <f t="shared" si="73"/>
        <v>5810.2419419414382</v>
      </c>
      <c r="I992" s="9">
        <f t="shared" si="74"/>
        <v>6197.5914047375336</v>
      </c>
    </row>
    <row r="993" spans="1:9" x14ac:dyDescent="0.35">
      <c r="A993" s="28" t="s">
        <v>3798</v>
      </c>
      <c r="B993" s="28" t="s">
        <v>3804</v>
      </c>
      <c r="C993" s="29">
        <v>45731</v>
      </c>
      <c r="D993" s="11">
        <v>5052.1406456430004</v>
      </c>
      <c r="E993" s="27">
        <f t="shared" si="75"/>
        <v>5624.0429667297876</v>
      </c>
      <c r="F993" s="6">
        <f t="shared" si="71"/>
        <v>7311.255856748724</v>
      </c>
      <c r="G993" s="7">
        <f t="shared" si="72"/>
        <v>7873.6601534217025</v>
      </c>
      <c r="H993" s="8">
        <f t="shared" si="73"/>
        <v>8436.0644500946819</v>
      </c>
      <c r="I993" s="9">
        <f t="shared" si="74"/>
        <v>8998.4687467676613</v>
      </c>
    </row>
    <row r="994" spans="1:9" x14ac:dyDescent="0.35">
      <c r="A994" s="28"/>
      <c r="B994" s="28"/>
      <c r="C994" s="29">
        <v>45731</v>
      </c>
      <c r="D994" s="11">
        <v>0</v>
      </c>
      <c r="E994" s="27">
        <f t="shared" si="75"/>
        <v>0</v>
      </c>
      <c r="F994" s="6">
        <f t="shared" si="71"/>
        <v>0</v>
      </c>
      <c r="G994" s="7">
        <f t="shared" si="72"/>
        <v>0</v>
      </c>
      <c r="H994" s="8">
        <f t="shared" si="73"/>
        <v>0</v>
      </c>
      <c r="I994" s="9">
        <f t="shared" si="74"/>
        <v>0</v>
      </c>
    </row>
    <row r="995" spans="1:9" x14ac:dyDescent="0.35">
      <c r="A995" s="28" t="s">
        <v>3805</v>
      </c>
      <c r="B995" s="28" t="s">
        <v>3811</v>
      </c>
      <c r="C995" s="29">
        <v>45731</v>
      </c>
      <c r="D995" s="11">
        <v>179.63637564600003</v>
      </c>
      <c r="E995" s="27">
        <f t="shared" si="75"/>
        <v>199.97121336912724</v>
      </c>
      <c r="F995" s="6">
        <f t="shared" si="71"/>
        <v>259.96257737986542</v>
      </c>
      <c r="G995" s="7">
        <f t="shared" si="72"/>
        <v>279.95969871677812</v>
      </c>
      <c r="H995" s="8">
        <f t="shared" si="73"/>
        <v>299.95682005369088</v>
      </c>
      <c r="I995" s="9">
        <f t="shared" si="74"/>
        <v>319.95394139060363</v>
      </c>
    </row>
    <row r="996" spans="1:9" x14ac:dyDescent="0.35">
      <c r="A996" s="28" t="s">
        <v>3806</v>
      </c>
      <c r="B996" s="28" t="s">
        <v>3812</v>
      </c>
      <c r="C996" s="29">
        <v>45731</v>
      </c>
      <c r="D996" s="11">
        <v>318.79024877700004</v>
      </c>
      <c r="E996" s="27">
        <f t="shared" si="75"/>
        <v>354.87730493855645</v>
      </c>
      <c r="F996" s="6">
        <f t="shared" si="71"/>
        <v>461.34049642012337</v>
      </c>
      <c r="G996" s="7">
        <f t="shared" si="72"/>
        <v>496.82822691397899</v>
      </c>
      <c r="H996" s="8">
        <f t="shared" si="73"/>
        <v>532.31595740783473</v>
      </c>
      <c r="I996" s="9">
        <f t="shared" si="74"/>
        <v>567.8036879016903</v>
      </c>
    </row>
    <row r="997" spans="1:9" x14ac:dyDescent="0.35">
      <c r="A997" s="28" t="s">
        <v>3807</v>
      </c>
      <c r="B997" s="28" t="s">
        <v>3813</v>
      </c>
      <c r="C997" s="29">
        <v>45731</v>
      </c>
      <c r="D997" s="11">
        <v>443.26448548200005</v>
      </c>
      <c r="E997" s="27">
        <f t="shared" si="75"/>
        <v>493.44202523856245</v>
      </c>
      <c r="F997" s="6">
        <f t="shared" si="71"/>
        <v>641.4746328101312</v>
      </c>
      <c r="G997" s="7">
        <f t="shared" si="72"/>
        <v>690.81883533398741</v>
      </c>
      <c r="H997" s="8">
        <f t="shared" si="73"/>
        <v>740.16303785784362</v>
      </c>
      <c r="I997" s="9">
        <f t="shared" si="74"/>
        <v>789.50724038169994</v>
      </c>
    </row>
    <row r="998" spans="1:9" x14ac:dyDescent="0.35">
      <c r="A998" s="28" t="s">
        <v>3808</v>
      </c>
      <c r="B998" s="28" t="s">
        <v>3814</v>
      </c>
      <c r="C998" s="29">
        <v>45731</v>
      </c>
      <c r="D998" s="11">
        <v>1007.673805593</v>
      </c>
      <c r="E998" s="27">
        <f t="shared" si="75"/>
        <v>1121.7424803861275</v>
      </c>
      <c r="F998" s="6">
        <f t="shared" si="71"/>
        <v>1458.2652245019658</v>
      </c>
      <c r="G998" s="7">
        <f t="shared" si="72"/>
        <v>1570.4394725405784</v>
      </c>
      <c r="H998" s="8">
        <f t="shared" si="73"/>
        <v>1682.6137205791911</v>
      </c>
      <c r="I998" s="9">
        <f t="shared" si="74"/>
        <v>1794.7879686178039</v>
      </c>
    </row>
    <row r="999" spans="1:9" x14ac:dyDescent="0.35">
      <c r="A999" s="28" t="s">
        <v>3809</v>
      </c>
      <c r="B999" s="28" t="s">
        <v>3815</v>
      </c>
      <c r="C999" s="29">
        <v>45731</v>
      </c>
      <c r="D999" s="11">
        <v>1692.3199415850002</v>
      </c>
      <c r="E999" s="27">
        <f t="shared" si="75"/>
        <v>1883.8905589724222</v>
      </c>
      <c r="F999" s="6">
        <f t="shared" si="71"/>
        <v>2449.057726664149</v>
      </c>
      <c r="G999" s="7">
        <f t="shared" si="72"/>
        <v>2637.446782561391</v>
      </c>
      <c r="H999" s="8">
        <f t="shared" si="73"/>
        <v>2825.8358384586336</v>
      </c>
      <c r="I999" s="9">
        <f t="shared" si="74"/>
        <v>3014.2248943558757</v>
      </c>
    </row>
    <row r="1000" spans="1:9" x14ac:dyDescent="0.35">
      <c r="A1000" s="28" t="s">
        <v>3810</v>
      </c>
      <c r="B1000" s="28" t="s">
        <v>3816</v>
      </c>
      <c r="C1000" s="29">
        <v>45731</v>
      </c>
      <c r="D1000" s="11">
        <v>2972.6263762650001</v>
      </c>
      <c r="E1000" s="27">
        <f t="shared" si="75"/>
        <v>3309.1276820581984</v>
      </c>
      <c r="F1000" s="6">
        <f t="shared" si="71"/>
        <v>4301.865986675658</v>
      </c>
      <c r="G1000" s="7">
        <f t="shared" si="72"/>
        <v>4632.7787548814777</v>
      </c>
      <c r="H1000" s="8">
        <f t="shared" si="73"/>
        <v>4963.6915230872974</v>
      </c>
      <c r="I1000" s="9">
        <f t="shared" si="74"/>
        <v>5294.604291293118</v>
      </c>
    </row>
    <row r="1001" spans="1:9" x14ac:dyDescent="0.35">
      <c r="A1001" s="28"/>
      <c r="B1001" s="28"/>
      <c r="C1001" s="29">
        <v>45731</v>
      </c>
      <c r="D1001" s="11">
        <v>0</v>
      </c>
      <c r="E1001" s="27">
        <f t="shared" si="75"/>
        <v>0</v>
      </c>
      <c r="F1001" s="6">
        <f t="shared" si="71"/>
        <v>0</v>
      </c>
      <c r="G1001" s="7">
        <f t="shared" si="72"/>
        <v>0</v>
      </c>
      <c r="H1001" s="8">
        <f t="shared" si="73"/>
        <v>0</v>
      </c>
      <c r="I1001" s="9">
        <f t="shared" si="74"/>
        <v>0</v>
      </c>
    </row>
    <row r="1002" spans="1:9" x14ac:dyDescent="0.35">
      <c r="A1002" s="28" t="s">
        <v>3817</v>
      </c>
      <c r="B1002" s="28" t="s">
        <v>3823</v>
      </c>
      <c r="C1002" s="29">
        <v>45731</v>
      </c>
      <c r="D1002" s="11">
        <v>937.60502553900005</v>
      </c>
      <c r="E1002" s="27">
        <f t="shared" si="75"/>
        <v>1043.741914430015</v>
      </c>
      <c r="F1002" s="6">
        <f t="shared" si="71"/>
        <v>1356.8644887590194</v>
      </c>
      <c r="G1002" s="7">
        <f t="shared" si="72"/>
        <v>1461.2386802020208</v>
      </c>
      <c r="H1002" s="8">
        <f t="shared" si="73"/>
        <v>1565.6128716450226</v>
      </c>
      <c r="I1002" s="9">
        <f t="shared" si="74"/>
        <v>1669.9870630880241</v>
      </c>
    </row>
    <row r="1003" spans="1:9" x14ac:dyDescent="0.35">
      <c r="A1003" s="28" t="s">
        <v>3818</v>
      </c>
      <c r="B1003" s="28" t="s">
        <v>3824</v>
      </c>
      <c r="C1003" s="29">
        <v>45731</v>
      </c>
      <c r="D1003" s="11">
        <v>1203.9571916190002</v>
      </c>
      <c r="E1003" s="27">
        <f t="shared" si="75"/>
        <v>1340.2451457102711</v>
      </c>
      <c r="F1003" s="6">
        <f t="shared" si="71"/>
        <v>1742.3186894233525</v>
      </c>
      <c r="G1003" s="7">
        <f t="shared" si="72"/>
        <v>1876.3432039943793</v>
      </c>
      <c r="H1003" s="8">
        <f t="shared" si="73"/>
        <v>2010.3677185654067</v>
      </c>
      <c r="I1003" s="9">
        <f t="shared" si="74"/>
        <v>2144.3922331364338</v>
      </c>
    </row>
    <row r="1004" spans="1:9" x14ac:dyDescent="0.35">
      <c r="A1004" s="28" t="s">
        <v>3819</v>
      </c>
      <c r="B1004" s="28" t="s">
        <v>3825</v>
      </c>
      <c r="C1004" s="29">
        <v>45731</v>
      </c>
      <c r="D1004" s="11">
        <v>1758.151300815</v>
      </c>
      <c r="E1004" s="27">
        <f t="shared" si="75"/>
        <v>1957.1740280672582</v>
      </c>
      <c r="F1004" s="6">
        <f t="shared" si="71"/>
        <v>2544.3262364874358</v>
      </c>
      <c r="G1004" s="7">
        <f t="shared" si="72"/>
        <v>2740.0436392941615</v>
      </c>
      <c r="H1004" s="8">
        <f t="shared" si="73"/>
        <v>2935.7610421008872</v>
      </c>
      <c r="I1004" s="9">
        <f t="shared" si="74"/>
        <v>3131.4784449076133</v>
      </c>
    </row>
    <row r="1005" spans="1:9" x14ac:dyDescent="0.35">
      <c r="A1005" s="28" t="s">
        <v>4445</v>
      </c>
      <c r="B1005" s="28" t="s">
        <v>3826</v>
      </c>
      <c r="C1005" s="29">
        <v>45731</v>
      </c>
      <c r="D1005" s="11">
        <v>3234.5897850630008</v>
      </c>
      <c r="E1005" s="27">
        <f t="shared" si="75"/>
        <v>3600.7453487321322</v>
      </c>
      <c r="F1005" s="6">
        <f t="shared" si="71"/>
        <v>4680.9689533517721</v>
      </c>
      <c r="G1005" s="7">
        <f t="shared" si="72"/>
        <v>5041.0434882249847</v>
      </c>
      <c r="H1005" s="8">
        <f t="shared" si="73"/>
        <v>5401.1180230981981</v>
      </c>
      <c r="I1005" s="9">
        <f t="shared" si="74"/>
        <v>5761.1925579714116</v>
      </c>
    </row>
    <row r="1006" spans="1:9" x14ac:dyDescent="0.35">
      <c r="A1006" s="28" t="s">
        <v>3821</v>
      </c>
      <c r="B1006" s="28" t="s">
        <v>3827</v>
      </c>
      <c r="C1006" s="29">
        <v>45731</v>
      </c>
      <c r="D1006" s="11">
        <v>4655.866130370001</v>
      </c>
      <c r="E1006" s="27">
        <f t="shared" si="75"/>
        <v>5182.910176327885</v>
      </c>
      <c r="F1006" s="6">
        <f t="shared" si="71"/>
        <v>6737.783229226251</v>
      </c>
      <c r="G1006" s="7">
        <f t="shared" si="72"/>
        <v>7256.0742468590388</v>
      </c>
      <c r="H1006" s="8">
        <f t="shared" si="73"/>
        <v>7774.3652644918275</v>
      </c>
      <c r="I1006" s="9">
        <f t="shared" si="74"/>
        <v>8292.6562821246171</v>
      </c>
    </row>
    <row r="1007" spans="1:9" x14ac:dyDescent="0.35">
      <c r="A1007" s="28" t="s">
        <v>3822</v>
      </c>
      <c r="B1007" s="28" t="s">
        <v>3828</v>
      </c>
      <c r="C1007" s="29">
        <v>45731</v>
      </c>
      <c r="D1007" s="11">
        <v>12397.558307588999</v>
      </c>
      <c r="E1007" s="27">
        <f t="shared" si="75"/>
        <v>13800.961908008074</v>
      </c>
      <c r="F1007" s="6">
        <f t="shared" si="71"/>
        <v>17941.250480410497</v>
      </c>
      <c r="G1007" s="7">
        <f t="shared" si="72"/>
        <v>19321.3466712113</v>
      </c>
      <c r="H1007" s="8">
        <f t="shared" si="73"/>
        <v>20701.442862012111</v>
      </c>
      <c r="I1007" s="9">
        <f t="shared" si="74"/>
        <v>22081.539052812921</v>
      </c>
    </row>
    <row r="1008" spans="1:9" x14ac:dyDescent="0.35">
      <c r="A1008" s="28"/>
      <c r="B1008" s="28"/>
      <c r="C1008" s="29">
        <v>45731</v>
      </c>
      <c r="D1008" s="11">
        <v>0</v>
      </c>
      <c r="E1008" s="27">
        <f t="shared" si="75"/>
        <v>0</v>
      </c>
      <c r="F1008" s="6">
        <f t="shared" si="71"/>
        <v>0</v>
      </c>
      <c r="G1008" s="7">
        <f t="shared" si="72"/>
        <v>0</v>
      </c>
      <c r="H1008" s="8">
        <f t="shared" si="73"/>
        <v>0</v>
      </c>
      <c r="I1008" s="9">
        <f t="shared" si="74"/>
        <v>0</v>
      </c>
    </row>
    <row r="1009" spans="1:9" x14ac:dyDescent="0.35">
      <c r="A1009" s="28" t="s">
        <v>3829</v>
      </c>
      <c r="B1009" s="28" t="s">
        <v>3832</v>
      </c>
      <c r="C1009" s="29">
        <v>45731</v>
      </c>
      <c r="D1009" s="11">
        <v>743.44034992499996</v>
      </c>
      <c r="E1009" s="27">
        <f t="shared" si="75"/>
        <v>827.59779753651003</v>
      </c>
      <c r="F1009" s="6">
        <f t="shared" ref="F1009:F1072" si="76">E1009*1.3</f>
        <v>1075.877136797463</v>
      </c>
      <c r="G1009" s="7">
        <f t="shared" ref="G1009:G1072" si="77">E1009*1.4</f>
        <v>1158.6369165511139</v>
      </c>
      <c r="H1009" s="8">
        <f t="shared" ref="H1009:H1072" si="78">E1009*1.5</f>
        <v>1241.3966963047651</v>
      </c>
      <c r="I1009" s="9">
        <f t="shared" ref="I1009:I1072" si="79">E1009*1.6</f>
        <v>1324.156476058416</v>
      </c>
    </row>
    <row r="1010" spans="1:9" x14ac:dyDescent="0.35">
      <c r="A1010" s="28" t="s">
        <v>3830</v>
      </c>
      <c r="B1010" s="28" t="s">
        <v>3833</v>
      </c>
      <c r="C1010" s="29">
        <v>45731</v>
      </c>
      <c r="D1010" s="11">
        <v>1071.8404637849999</v>
      </c>
      <c r="E1010" s="27">
        <f t="shared" si="75"/>
        <v>1193.1728042854618</v>
      </c>
      <c r="F1010" s="6">
        <f t="shared" si="76"/>
        <v>1551.1246455711005</v>
      </c>
      <c r="G1010" s="7">
        <f t="shared" si="77"/>
        <v>1670.4419259996464</v>
      </c>
      <c r="H1010" s="8">
        <f t="shared" si="78"/>
        <v>1789.7592064281926</v>
      </c>
      <c r="I1010" s="9">
        <f t="shared" si="79"/>
        <v>1909.0764868567389</v>
      </c>
    </row>
    <row r="1011" spans="1:9" x14ac:dyDescent="0.35">
      <c r="A1011" s="28" t="s">
        <v>3831</v>
      </c>
      <c r="B1011" s="28" t="s">
        <v>3834</v>
      </c>
      <c r="C1011" s="29">
        <v>45731</v>
      </c>
      <c r="D1011" s="11">
        <v>1650.4754109479998</v>
      </c>
      <c r="E1011" s="27">
        <f t="shared" si="75"/>
        <v>1837.3092274673133</v>
      </c>
      <c r="F1011" s="6">
        <f t="shared" si="76"/>
        <v>2388.5019957075074</v>
      </c>
      <c r="G1011" s="7">
        <f t="shared" si="77"/>
        <v>2572.2329184542386</v>
      </c>
      <c r="H1011" s="8">
        <f t="shared" si="78"/>
        <v>2755.9638412009699</v>
      </c>
      <c r="I1011" s="9">
        <f t="shared" si="79"/>
        <v>2939.6947639477016</v>
      </c>
    </row>
    <row r="1012" spans="1:9" x14ac:dyDescent="0.35">
      <c r="A1012" s="28"/>
      <c r="B1012" s="28"/>
      <c r="C1012" s="29">
        <v>45731</v>
      </c>
      <c r="D1012" s="11">
        <v>0</v>
      </c>
      <c r="E1012" s="27">
        <f t="shared" si="75"/>
        <v>0</v>
      </c>
      <c r="F1012" s="6">
        <f t="shared" si="76"/>
        <v>0</v>
      </c>
      <c r="G1012" s="7">
        <f t="shared" si="77"/>
        <v>0</v>
      </c>
      <c r="H1012" s="8">
        <f t="shared" si="78"/>
        <v>0</v>
      </c>
      <c r="I1012" s="9">
        <f t="shared" si="79"/>
        <v>0</v>
      </c>
    </row>
    <row r="1013" spans="1:9" x14ac:dyDescent="0.35">
      <c r="A1013" s="28" t="s">
        <v>3835</v>
      </c>
      <c r="B1013" s="28" t="s">
        <v>3838</v>
      </c>
      <c r="C1013" s="29">
        <v>45731</v>
      </c>
      <c r="D1013" s="11">
        <v>415.94825481300012</v>
      </c>
      <c r="E1013" s="27">
        <f t="shared" si="75"/>
        <v>463.03359725783173</v>
      </c>
      <c r="F1013" s="6">
        <f t="shared" si="76"/>
        <v>601.94367643518126</v>
      </c>
      <c r="G1013" s="7">
        <f t="shared" si="77"/>
        <v>648.2470361609644</v>
      </c>
      <c r="H1013" s="8">
        <f t="shared" si="78"/>
        <v>694.55039588674754</v>
      </c>
      <c r="I1013" s="9">
        <f t="shared" si="79"/>
        <v>740.85375561253079</v>
      </c>
    </row>
    <row r="1014" spans="1:9" x14ac:dyDescent="0.35">
      <c r="A1014" s="28" t="s">
        <v>3836</v>
      </c>
      <c r="B1014" s="28" t="s">
        <v>3839</v>
      </c>
      <c r="C1014" s="29">
        <v>45731</v>
      </c>
      <c r="D1014" s="11">
        <v>734.73850359000005</v>
      </c>
      <c r="E1014" s="27">
        <f t="shared" si="75"/>
        <v>817.91090219638807</v>
      </c>
      <c r="F1014" s="6">
        <f t="shared" si="76"/>
        <v>1063.2841728553046</v>
      </c>
      <c r="G1014" s="7">
        <f t="shared" si="77"/>
        <v>1145.0752630749432</v>
      </c>
      <c r="H1014" s="8">
        <f t="shared" si="78"/>
        <v>1226.866353294582</v>
      </c>
      <c r="I1014" s="9">
        <f t="shared" si="79"/>
        <v>1308.6574435142211</v>
      </c>
    </row>
    <row r="1015" spans="1:9" x14ac:dyDescent="0.35">
      <c r="A1015" s="28" t="s">
        <v>3837</v>
      </c>
      <c r="B1015" s="28" t="s">
        <v>3840</v>
      </c>
      <c r="C1015" s="29">
        <v>45731</v>
      </c>
      <c r="D1015" s="11">
        <v>1492.782821712</v>
      </c>
      <c r="E1015" s="27">
        <f t="shared" si="75"/>
        <v>1661.7658371297982</v>
      </c>
      <c r="F1015" s="6">
        <f t="shared" si="76"/>
        <v>2160.2955882687379</v>
      </c>
      <c r="G1015" s="7">
        <f t="shared" si="77"/>
        <v>2326.4721719817176</v>
      </c>
      <c r="H1015" s="8">
        <f t="shared" si="78"/>
        <v>2492.6487556946972</v>
      </c>
      <c r="I1015" s="9">
        <f t="shared" si="79"/>
        <v>2658.8253394076773</v>
      </c>
    </row>
    <row r="1016" spans="1:9" x14ac:dyDescent="0.35">
      <c r="A1016" s="28"/>
      <c r="B1016" s="28"/>
      <c r="C1016" s="29">
        <v>45731</v>
      </c>
      <c r="D1016" s="11">
        <v>0</v>
      </c>
      <c r="E1016" s="27">
        <f t="shared" si="75"/>
        <v>0</v>
      </c>
      <c r="F1016" s="6">
        <f t="shared" si="76"/>
        <v>0</v>
      </c>
      <c r="G1016" s="7">
        <f t="shared" si="77"/>
        <v>0</v>
      </c>
      <c r="H1016" s="8">
        <f t="shared" si="78"/>
        <v>0</v>
      </c>
      <c r="I1016" s="9">
        <f t="shared" si="79"/>
        <v>0</v>
      </c>
    </row>
    <row r="1017" spans="1:9" x14ac:dyDescent="0.35">
      <c r="A1017" s="28" t="s">
        <v>3841</v>
      </c>
      <c r="B1017" s="28" t="s">
        <v>3843</v>
      </c>
      <c r="C1017" s="29">
        <v>45731</v>
      </c>
      <c r="D1017" s="11">
        <v>1860.0764052779998</v>
      </c>
      <c r="E1017" s="27">
        <f t="shared" si="75"/>
        <v>2070.6370543554694</v>
      </c>
      <c r="F1017" s="6">
        <f t="shared" si="76"/>
        <v>2691.8281706621106</v>
      </c>
      <c r="G1017" s="7">
        <f t="shared" si="77"/>
        <v>2898.8918760976571</v>
      </c>
      <c r="H1017" s="8">
        <f t="shared" si="78"/>
        <v>3105.9555815332042</v>
      </c>
      <c r="I1017" s="9">
        <f t="shared" si="79"/>
        <v>3313.0192869687512</v>
      </c>
    </row>
    <row r="1018" spans="1:9" x14ac:dyDescent="0.35">
      <c r="A1018" s="28" t="s">
        <v>3842</v>
      </c>
      <c r="B1018" s="28" t="s">
        <v>3844</v>
      </c>
      <c r="C1018" s="29">
        <v>45731</v>
      </c>
      <c r="D1018" s="11">
        <v>2074.2174933479996</v>
      </c>
      <c r="E1018" s="27">
        <f t="shared" si="75"/>
        <v>2309.0189135949936</v>
      </c>
      <c r="F1018" s="6">
        <f t="shared" si="76"/>
        <v>3001.7245876734919</v>
      </c>
      <c r="G1018" s="7">
        <f t="shared" si="77"/>
        <v>3232.626479032991</v>
      </c>
      <c r="H1018" s="8">
        <f t="shared" si="78"/>
        <v>3463.5283703924906</v>
      </c>
      <c r="I1018" s="9">
        <f t="shared" si="79"/>
        <v>3694.4302617519897</v>
      </c>
    </row>
    <row r="1019" spans="1:9" x14ac:dyDescent="0.35">
      <c r="A1019" s="28"/>
      <c r="B1019" s="28"/>
      <c r="C1019" s="29">
        <v>45731</v>
      </c>
      <c r="D1019" s="11">
        <v>0</v>
      </c>
      <c r="E1019" s="27">
        <f t="shared" si="75"/>
        <v>0</v>
      </c>
      <c r="F1019" s="6">
        <f t="shared" si="76"/>
        <v>0</v>
      </c>
      <c r="G1019" s="7">
        <f t="shared" si="77"/>
        <v>0</v>
      </c>
      <c r="H1019" s="8">
        <f t="shared" si="78"/>
        <v>0</v>
      </c>
      <c r="I1019" s="9">
        <f t="shared" si="79"/>
        <v>0</v>
      </c>
    </row>
    <row r="1020" spans="1:9" x14ac:dyDescent="0.35">
      <c r="A1020" s="28" t="s">
        <v>3845</v>
      </c>
      <c r="B1020" s="28" t="s">
        <v>3849</v>
      </c>
      <c r="C1020" s="29">
        <v>45731</v>
      </c>
      <c r="D1020" s="11">
        <v>2346.6231177479999</v>
      </c>
      <c r="E1020" s="27">
        <f t="shared" si="75"/>
        <v>2612.2608546770734</v>
      </c>
      <c r="F1020" s="6">
        <f t="shared" si="76"/>
        <v>3395.9391110801957</v>
      </c>
      <c r="G1020" s="7">
        <f t="shared" si="77"/>
        <v>3657.1651965479027</v>
      </c>
      <c r="H1020" s="8">
        <f t="shared" si="78"/>
        <v>3918.3912820156102</v>
      </c>
      <c r="I1020" s="9">
        <f t="shared" si="79"/>
        <v>4179.617367483318</v>
      </c>
    </row>
    <row r="1021" spans="1:9" x14ac:dyDescent="0.35">
      <c r="A1021" s="28" t="s">
        <v>3846</v>
      </c>
      <c r="B1021" s="28" t="s">
        <v>3850</v>
      </c>
      <c r="C1021" s="29">
        <v>45731</v>
      </c>
      <c r="D1021" s="11">
        <v>2672.2991753639999</v>
      </c>
      <c r="E1021" s="27">
        <f t="shared" si="75"/>
        <v>2974.8034420152048</v>
      </c>
      <c r="F1021" s="6">
        <f t="shared" si="76"/>
        <v>3867.2444746197666</v>
      </c>
      <c r="G1021" s="7">
        <f t="shared" si="77"/>
        <v>4164.7248188212861</v>
      </c>
      <c r="H1021" s="8">
        <f t="shared" si="78"/>
        <v>4462.205163022807</v>
      </c>
      <c r="I1021" s="9">
        <f t="shared" si="79"/>
        <v>4759.6855072243279</v>
      </c>
    </row>
    <row r="1022" spans="1:9" x14ac:dyDescent="0.35">
      <c r="A1022" s="28" t="s">
        <v>3847</v>
      </c>
      <c r="B1022" s="28" t="s">
        <v>3851</v>
      </c>
      <c r="C1022" s="29">
        <v>45731</v>
      </c>
      <c r="D1022" s="11">
        <v>3010.9901683680005</v>
      </c>
      <c r="E1022" s="27">
        <f t="shared" si="75"/>
        <v>3351.8342554272581</v>
      </c>
      <c r="F1022" s="6">
        <f t="shared" si="76"/>
        <v>4357.3845320554356</v>
      </c>
      <c r="G1022" s="7">
        <f t="shared" si="77"/>
        <v>4692.5679575981612</v>
      </c>
      <c r="H1022" s="8">
        <f t="shared" si="78"/>
        <v>5027.7513831408869</v>
      </c>
      <c r="I1022" s="9">
        <f t="shared" si="79"/>
        <v>5362.9348086836135</v>
      </c>
    </row>
    <row r="1023" spans="1:9" x14ac:dyDescent="0.35">
      <c r="A1023" s="28" t="s">
        <v>3848</v>
      </c>
      <c r="B1023" s="28" t="s">
        <v>3852</v>
      </c>
      <c r="C1023" s="29">
        <v>45731</v>
      </c>
      <c r="D1023" s="11">
        <v>3226.2662798730007</v>
      </c>
      <c r="E1023" s="27">
        <f t="shared" si="75"/>
        <v>3591.4796227546244</v>
      </c>
      <c r="F1023" s="6">
        <f t="shared" si="76"/>
        <v>4668.9235095810118</v>
      </c>
      <c r="G1023" s="7">
        <f t="shared" si="77"/>
        <v>5028.0714718564741</v>
      </c>
      <c r="H1023" s="8">
        <f t="shared" si="78"/>
        <v>5387.2194341319364</v>
      </c>
      <c r="I1023" s="9">
        <f t="shared" si="79"/>
        <v>5746.3673964073996</v>
      </c>
    </row>
    <row r="1024" spans="1:9" x14ac:dyDescent="0.35">
      <c r="A1024" s="28"/>
      <c r="B1024" s="28"/>
      <c r="C1024" s="29">
        <v>45731</v>
      </c>
      <c r="D1024" s="11">
        <v>0</v>
      </c>
      <c r="E1024" s="27">
        <f t="shared" si="75"/>
        <v>0</v>
      </c>
      <c r="F1024" s="6">
        <f t="shared" si="76"/>
        <v>0</v>
      </c>
      <c r="G1024" s="7">
        <f t="shared" si="77"/>
        <v>0</v>
      </c>
      <c r="H1024" s="8">
        <f t="shared" si="78"/>
        <v>0</v>
      </c>
      <c r="I1024" s="9">
        <f t="shared" si="79"/>
        <v>0</v>
      </c>
    </row>
    <row r="1025" spans="1:9" x14ac:dyDescent="0.35">
      <c r="A1025" s="28" t="s">
        <v>3853</v>
      </c>
      <c r="B1025" s="28" t="s">
        <v>3856</v>
      </c>
      <c r="C1025" s="29">
        <v>45731</v>
      </c>
      <c r="D1025" s="11">
        <v>1119.4357798260003</v>
      </c>
      <c r="E1025" s="27">
        <f t="shared" si="75"/>
        <v>1246.1559101023036</v>
      </c>
      <c r="F1025" s="6">
        <f t="shared" si="76"/>
        <v>1620.0026831329947</v>
      </c>
      <c r="G1025" s="7">
        <f t="shared" si="77"/>
        <v>1744.6182741432249</v>
      </c>
      <c r="H1025" s="8">
        <f t="shared" si="78"/>
        <v>1869.2338651534553</v>
      </c>
      <c r="I1025" s="9">
        <f t="shared" si="79"/>
        <v>1993.8494561636858</v>
      </c>
    </row>
    <row r="1026" spans="1:9" x14ac:dyDescent="0.35">
      <c r="A1026" s="28" t="s">
        <v>3854</v>
      </c>
      <c r="B1026" s="28" t="s">
        <v>3857</v>
      </c>
      <c r="C1026" s="29">
        <v>45731</v>
      </c>
      <c r="D1026" s="11">
        <v>1928.3291478360002</v>
      </c>
      <c r="E1026" s="27">
        <f t="shared" si="75"/>
        <v>2146.6160073710353</v>
      </c>
      <c r="F1026" s="6">
        <f t="shared" si="76"/>
        <v>2790.6008095823458</v>
      </c>
      <c r="G1026" s="7">
        <f t="shared" si="77"/>
        <v>3005.2624103194494</v>
      </c>
      <c r="H1026" s="8">
        <f t="shared" si="78"/>
        <v>3219.9240110565529</v>
      </c>
      <c r="I1026" s="9">
        <f t="shared" si="79"/>
        <v>3434.5856117936564</v>
      </c>
    </row>
    <row r="1027" spans="1:9" x14ac:dyDescent="0.35">
      <c r="A1027" s="28" t="s">
        <v>3855</v>
      </c>
      <c r="B1027" s="28" t="s">
        <v>3858</v>
      </c>
      <c r="C1027" s="29">
        <v>45731</v>
      </c>
      <c r="D1027" s="11">
        <v>3850.9831784970002</v>
      </c>
      <c r="E1027" s="27">
        <f t="shared" si="75"/>
        <v>4286.9144743028601</v>
      </c>
      <c r="F1027" s="6">
        <f t="shared" si="76"/>
        <v>5572.9888165937182</v>
      </c>
      <c r="G1027" s="7">
        <f t="shared" si="77"/>
        <v>6001.6802640240039</v>
      </c>
      <c r="H1027" s="8">
        <f t="shared" si="78"/>
        <v>6430.3717114542906</v>
      </c>
      <c r="I1027" s="9">
        <f t="shared" si="79"/>
        <v>6859.0631588845763</v>
      </c>
    </row>
    <row r="1028" spans="1:9" x14ac:dyDescent="0.35">
      <c r="A1028" s="28"/>
      <c r="B1028" s="28"/>
      <c r="C1028" s="29">
        <v>45731</v>
      </c>
      <c r="D1028" s="11">
        <v>0</v>
      </c>
      <c r="E1028" s="27">
        <f t="shared" si="75"/>
        <v>0</v>
      </c>
      <c r="F1028" s="6">
        <f t="shared" si="76"/>
        <v>0</v>
      </c>
      <c r="G1028" s="7">
        <f t="shared" si="77"/>
        <v>0</v>
      </c>
      <c r="H1028" s="8">
        <f t="shared" si="78"/>
        <v>0</v>
      </c>
      <c r="I1028" s="9">
        <f t="shared" si="79"/>
        <v>0</v>
      </c>
    </row>
    <row r="1029" spans="1:9" x14ac:dyDescent="0.35">
      <c r="A1029" s="28" t="s">
        <v>3859</v>
      </c>
      <c r="B1029" s="28" t="s">
        <v>3862</v>
      </c>
      <c r="C1029" s="29">
        <v>45731</v>
      </c>
      <c r="D1029" s="11">
        <v>1108.1612137049999</v>
      </c>
      <c r="E1029" s="27">
        <f t="shared" si="75"/>
        <v>1233.605063096406</v>
      </c>
      <c r="F1029" s="6">
        <f t="shared" si="76"/>
        <v>1603.6865820253279</v>
      </c>
      <c r="G1029" s="7">
        <f t="shared" si="77"/>
        <v>1727.0470883349683</v>
      </c>
      <c r="H1029" s="8">
        <f t="shared" si="78"/>
        <v>1850.4075946446089</v>
      </c>
      <c r="I1029" s="9">
        <f t="shared" si="79"/>
        <v>1973.7681009542496</v>
      </c>
    </row>
    <row r="1030" spans="1:9" x14ac:dyDescent="0.35">
      <c r="A1030" s="28" t="s">
        <v>3860</v>
      </c>
      <c r="B1030" s="28" t="s">
        <v>3863</v>
      </c>
      <c r="C1030" s="29">
        <v>45731</v>
      </c>
      <c r="D1030" s="11">
        <v>1902.4506135179997</v>
      </c>
      <c r="E1030" s="27">
        <f t="shared" si="75"/>
        <v>2117.8080229682373</v>
      </c>
      <c r="F1030" s="6">
        <f t="shared" si="76"/>
        <v>2753.1504298587088</v>
      </c>
      <c r="G1030" s="7">
        <f t="shared" si="77"/>
        <v>2964.9312321555321</v>
      </c>
      <c r="H1030" s="8">
        <f t="shared" si="78"/>
        <v>3176.712034452356</v>
      </c>
      <c r="I1030" s="9">
        <f t="shared" si="79"/>
        <v>3388.4928367491798</v>
      </c>
    </row>
    <row r="1031" spans="1:9" x14ac:dyDescent="0.35">
      <c r="A1031" s="28" t="s">
        <v>3861</v>
      </c>
      <c r="B1031" s="28" t="s">
        <v>3864</v>
      </c>
      <c r="C1031" s="29">
        <v>45731</v>
      </c>
      <c r="D1031" s="11">
        <v>3799.2261098609997</v>
      </c>
      <c r="E1031" s="27">
        <f t="shared" si="75"/>
        <v>4229.2985054972651</v>
      </c>
      <c r="F1031" s="6">
        <f t="shared" si="76"/>
        <v>5498.088057146445</v>
      </c>
      <c r="G1031" s="7">
        <f t="shared" si="77"/>
        <v>5921.0179076961704</v>
      </c>
      <c r="H1031" s="8">
        <f t="shared" si="78"/>
        <v>6343.9477582458976</v>
      </c>
      <c r="I1031" s="9">
        <f t="shared" si="79"/>
        <v>6766.8776087956248</v>
      </c>
    </row>
    <row r="1032" spans="1:9" x14ac:dyDescent="0.35">
      <c r="A1032" s="28"/>
      <c r="B1032" s="28"/>
      <c r="C1032" s="29">
        <v>45731</v>
      </c>
      <c r="D1032" s="11">
        <v>0</v>
      </c>
      <c r="E1032" s="27">
        <f t="shared" si="75"/>
        <v>0</v>
      </c>
      <c r="F1032" s="6">
        <f t="shared" si="76"/>
        <v>0</v>
      </c>
      <c r="G1032" s="7">
        <f t="shared" si="77"/>
        <v>0</v>
      </c>
      <c r="H1032" s="8">
        <f t="shared" si="78"/>
        <v>0</v>
      </c>
      <c r="I1032" s="9">
        <f t="shared" si="79"/>
        <v>0</v>
      </c>
    </row>
    <row r="1033" spans="1:9" x14ac:dyDescent="0.35">
      <c r="A1033" s="28" t="s">
        <v>3865</v>
      </c>
      <c r="B1033" s="28" t="s">
        <v>3880</v>
      </c>
      <c r="C1033" s="29">
        <v>45731</v>
      </c>
      <c r="D1033" s="11">
        <v>416.40226418700001</v>
      </c>
      <c r="E1033" s="27">
        <f t="shared" si="75"/>
        <v>463.53900049296846</v>
      </c>
      <c r="F1033" s="6">
        <f t="shared" si="76"/>
        <v>602.60070064085903</v>
      </c>
      <c r="G1033" s="7">
        <f t="shared" si="77"/>
        <v>648.95460069015576</v>
      </c>
      <c r="H1033" s="8">
        <f t="shared" si="78"/>
        <v>695.30850073945271</v>
      </c>
      <c r="I1033" s="9">
        <f t="shared" si="79"/>
        <v>741.66240078874955</v>
      </c>
    </row>
    <row r="1034" spans="1:9" x14ac:dyDescent="0.35">
      <c r="A1034" s="28" t="s">
        <v>3866</v>
      </c>
      <c r="B1034" s="28" t="s">
        <v>3881</v>
      </c>
      <c r="C1034" s="29">
        <v>45731</v>
      </c>
      <c r="D1034" s="11">
        <v>503.87473691100001</v>
      </c>
      <c r="E1034" s="27">
        <f t="shared" si="75"/>
        <v>560.91335712932516</v>
      </c>
      <c r="F1034" s="6">
        <f t="shared" si="76"/>
        <v>729.18736426812279</v>
      </c>
      <c r="G1034" s="7">
        <f t="shared" si="77"/>
        <v>785.27869998105518</v>
      </c>
      <c r="H1034" s="8">
        <f t="shared" si="78"/>
        <v>841.3700356939878</v>
      </c>
      <c r="I1034" s="9">
        <f t="shared" si="79"/>
        <v>897.46137140692031</v>
      </c>
    </row>
    <row r="1035" spans="1:9" x14ac:dyDescent="0.35">
      <c r="A1035" s="28" t="s">
        <v>3867</v>
      </c>
      <c r="B1035" s="28" t="s">
        <v>3882</v>
      </c>
      <c r="C1035" s="29">
        <v>45731</v>
      </c>
      <c r="D1035" s="11">
        <v>620.02546842600009</v>
      </c>
      <c r="E1035" s="27">
        <f t="shared" si="75"/>
        <v>690.21235145182334</v>
      </c>
      <c r="F1035" s="6">
        <f t="shared" si="76"/>
        <v>897.27605688737037</v>
      </c>
      <c r="G1035" s="7">
        <f t="shared" si="77"/>
        <v>966.2972920325526</v>
      </c>
      <c r="H1035" s="8">
        <f t="shared" si="78"/>
        <v>1035.3185271777349</v>
      </c>
      <c r="I1035" s="9">
        <f t="shared" si="79"/>
        <v>1104.3397623229173</v>
      </c>
    </row>
    <row r="1036" spans="1:9" x14ac:dyDescent="0.35">
      <c r="A1036" s="28" t="s">
        <v>3868</v>
      </c>
      <c r="B1036" s="28" t="s">
        <v>3883</v>
      </c>
      <c r="C1036" s="29">
        <v>45731</v>
      </c>
      <c r="D1036" s="11">
        <v>1290.8999867400003</v>
      </c>
      <c r="E1036" s="27">
        <f t="shared" ref="E1036:E1099" si="80">D1036*1.21*0.92</f>
        <v>1437.0298652389683</v>
      </c>
      <c r="F1036" s="6">
        <f t="shared" si="76"/>
        <v>1868.1388248106589</v>
      </c>
      <c r="G1036" s="7">
        <f t="shared" si="77"/>
        <v>2011.8418113345556</v>
      </c>
      <c r="H1036" s="8">
        <f t="shared" si="78"/>
        <v>2155.5447978584525</v>
      </c>
      <c r="I1036" s="9">
        <f t="shared" si="79"/>
        <v>2299.2477843823494</v>
      </c>
    </row>
    <row r="1037" spans="1:9" x14ac:dyDescent="0.35">
      <c r="A1037" s="28" t="s">
        <v>3869</v>
      </c>
      <c r="B1037" s="28" t="s">
        <v>3884</v>
      </c>
      <c r="C1037" s="29">
        <v>45731</v>
      </c>
      <c r="D1037" s="11">
        <v>1335.241568934</v>
      </c>
      <c r="E1037" s="27">
        <f t="shared" si="80"/>
        <v>1486.3909145373289</v>
      </c>
      <c r="F1037" s="6">
        <f t="shared" si="76"/>
        <v>1932.3081888985275</v>
      </c>
      <c r="G1037" s="7">
        <f t="shared" si="77"/>
        <v>2080.9472803522603</v>
      </c>
      <c r="H1037" s="8">
        <f t="shared" si="78"/>
        <v>2229.5863718059932</v>
      </c>
      <c r="I1037" s="9">
        <f t="shared" si="79"/>
        <v>2378.2254632597264</v>
      </c>
    </row>
    <row r="1038" spans="1:9" x14ac:dyDescent="0.35">
      <c r="A1038" s="28" t="s">
        <v>3870</v>
      </c>
      <c r="B1038" s="28" t="s">
        <v>3885</v>
      </c>
      <c r="C1038" s="29">
        <v>45731</v>
      </c>
      <c r="D1038" s="11">
        <v>1375.7240714489997</v>
      </c>
      <c r="E1038" s="27">
        <f t="shared" si="80"/>
        <v>1531.4560363370265</v>
      </c>
      <c r="F1038" s="6">
        <f t="shared" si="76"/>
        <v>1990.8928472381344</v>
      </c>
      <c r="G1038" s="7">
        <f t="shared" si="77"/>
        <v>2144.0384508718371</v>
      </c>
      <c r="H1038" s="8">
        <f t="shared" si="78"/>
        <v>2297.1840545055397</v>
      </c>
      <c r="I1038" s="9">
        <f t="shared" si="79"/>
        <v>2450.3296581392424</v>
      </c>
    </row>
    <row r="1039" spans="1:9" x14ac:dyDescent="0.35">
      <c r="A1039" s="28" t="s">
        <v>3871</v>
      </c>
      <c r="B1039" s="28" t="s">
        <v>3886</v>
      </c>
      <c r="C1039" s="29">
        <v>45731</v>
      </c>
      <c r="D1039" s="11">
        <v>1793.4126955290001</v>
      </c>
      <c r="E1039" s="27">
        <f t="shared" si="80"/>
        <v>1996.427012662883</v>
      </c>
      <c r="F1039" s="6">
        <f t="shared" si="76"/>
        <v>2595.3551164617479</v>
      </c>
      <c r="G1039" s="7">
        <f t="shared" si="77"/>
        <v>2794.9978177280359</v>
      </c>
      <c r="H1039" s="8">
        <f t="shared" si="78"/>
        <v>2994.6405189943243</v>
      </c>
      <c r="I1039" s="9">
        <f t="shared" si="79"/>
        <v>3194.2832202606132</v>
      </c>
    </row>
    <row r="1040" spans="1:9" x14ac:dyDescent="0.35">
      <c r="A1040" s="28" t="s">
        <v>3872</v>
      </c>
      <c r="B1040" s="28" t="s">
        <v>3887</v>
      </c>
      <c r="C1040" s="29">
        <v>45731</v>
      </c>
      <c r="D1040" s="11">
        <v>1844.488750104</v>
      </c>
      <c r="E1040" s="27">
        <f t="shared" si="80"/>
        <v>2053.2848766157726</v>
      </c>
      <c r="F1040" s="6">
        <f t="shared" si="76"/>
        <v>2669.2703396005045</v>
      </c>
      <c r="G1040" s="7">
        <f t="shared" si="77"/>
        <v>2874.5988272620816</v>
      </c>
      <c r="H1040" s="8">
        <f t="shared" si="78"/>
        <v>3079.9273149236587</v>
      </c>
      <c r="I1040" s="9">
        <f t="shared" si="79"/>
        <v>3285.2558025852363</v>
      </c>
    </row>
    <row r="1041" spans="1:9" x14ac:dyDescent="0.35">
      <c r="A1041" s="28" t="s">
        <v>3873</v>
      </c>
      <c r="B1041" s="28" t="s">
        <v>3888</v>
      </c>
      <c r="C1041" s="29">
        <v>45731</v>
      </c>
      <c r="D1041" s="11">
        <v>1806.2006262300001</v>
      </c>
      <c r="E1041" s="27">
        <f t="shared" si="80"/>
        <v>2010.6625371192363</v>
      </c>
      <c r="F1041" s="6">
        <f t="shared" si="76"/>
        <v>2613.8612982550071</v>
      </c>
      <c r="G1041" s="7">
        <f t="shared" si="77"/>
        <v>2814.9275519669304</v>
      </c>
      <c r="H1041" s="8">
        <f t="shared" si="78"/>
        <v>3015.9938056788542</v>
      </c>
      <c r="I1041" s="9">
        <f t="shared" si="79"/>
        <v>3217.0600593907784</v>
      </c>
    </row>
    <row r="1042" spans="1:9" x14ac:dyDescent="0.35">
      <c r="A1042" s="28" t="s">
        <v>3874</v>
      </c>
      <c r="B1042" s="28" t="s">
        <v>3889</v>
      </c>
      <c r="C1042" s="29">
        <v>45731</v>
      </c>
      <c r="D1042" s="11">
        <v>1864.2381578729999</v>
      </c>
      <c r="E1042" s="27">
        <f t="shared" si="80"/>
        <v>2075.2699173442234</v>
      </c>
      <c r="F1042" s="6">
        <f t="shared" si="76"/>
        <v>2697.8508925474903</v>
      </c>
      <c r="G1042" s="7">
        <f t="shared" si="77"/>
        <v>2905.3778842819124</v>
      </c>
      <c r="H1042" s="8">
        <f t="shared" si="78"/>
        <v>3112.904876016335</v>
      </c>
      <c r="I1042" s="9">
        <f t="shared" si="79"/>
        <v>3320.4318677507576</v>
      </c>
    </row>
    <row r="1043" spans="1:9" x14ac:dyDescent="0.35">
      <c r="A1043" s="28" t="s">
        <v>3875</v>
      </c>
      <c r="B1043" s="28" t="s">
        <v>3890</v>
      </c>
      <c r="C1043" s="29">
        <v>45731</v>
      </c>
      <c r="D1043" s="11">
        <v>3468.0262715280005</v>
      </c>
      <c r="E1043" s="27">
        <f t="shared" si="80"/>
        <v>3860.6068454649708</v>
      </c>
      <c r="F1043" s="6">
        <f t="shared" si="76"/>
        <v>5018.788899104462</v>
      </c>
      <c r="G1043" s="7">
        <f t="shared" si="77"/>
        <v>5404.8495836509592</v>
      </c>
      <c r="H1043" s="8">
        <f t="shared" si="78"/>
        <v>5790.9102681974564</v>
      </c>
      <c r="I1043" s="9">
        <f t="shared" si="79"/>
        <v>6176.9709527439536</v>
      </c>
    </row>
    <row r="1044" spans="1:9" x14ac:dyDescent="0.35">
      <c r="A1044" s="28" t="s">
        <v>3876</v>
      </c>
      <c r="B1044" s="28" t="s">
        <v>3891</v>
      </c>
      <c r="C1044" s="29">
        <v>45731</v>
      </c>
      <c r="D1044" s="11">
        <v>3566.5463056860003</v>
      </c>
      <c r="E1044" s="27">
        <f t="shared" si="80"/>
        <v>3970.2793474896557</v>
      </c>
      <c r="F1044" s="6">
        <f t="shared" si="76"/>
        <v>5161.3631517365529</v>
      </c>
      <c r="G1044" s="7">
        <f t="shared" si="77"/>
        <v>5558.3910864855179</v>
      </c>
      <c r="H1044" s="8">
        <f t="shared" si="78"/>
        <v>5955.4190212344838</v>
      </c>
      <c r="I1044" s="9">
        <f t="shared" si="79"/>
        <v>6352.4469559834497</v>
      </c>
    </row>
    <row r="1045" spans="1:9" x14ac:dyDescent="0.35">
      <c r="A1045" s="28" t="s">
        <v>3877</v>
      </c>
      <c r="B1045" s="28" t="s">
        <v>3892</v>
      </c>
      <c r="C1045" s="29">
        <v>45731</v>
      </c>
      <c r="D1045" s="11">
        <v>3678.7622892930003</v>
      </c>
      <c r="E1045" s="27">
        <f t="shared" si="80"/>
        <v>4095.1981804409679</v>
      </c>
      <c r="F1045" s="6">
        <f t="shared" si="76"/>
        <v>5323.7576345732587</v>
      </c>
      <c r="G1045" s="7">
        <f t="shared" si="77"/>
        <v>5733.2774526173544</v>
      </c>
      <c r="H1045" s="8">
        <f t="shared" si="78"/>
        <v>6142.7972706614519</v>
      </c>
      <c r="I1045" s="9">
        <f t="shared" si="79"/>
        <v>6552.3170887055494</v>
      </c>
    </row>
    <row r="1046" spans="1:9" x14ac:dyDescent="0.35">
      <c r="A1046" s="28" t="s">
        <v>3878</v>
      </c>
      <c r="B1046" s="28" t="s">
        <v>3893</v>
      </c>
      <c r="C1046" s="29">
        <v>45731</v>
      </c>
      <c r="D1046" s="11">
        <v>3781.8980854200004</v>
      </c>
      <c r="E1046" s="27">
        <f t="shared" si="80"/>
        <v>4210.0089486895449</v>
      </c>
      <c r="F1046" s="6">
        <f t="shared" si="76"/>
        <v>5473.0116332964089</v>
      </c>
      <c r="G1046" s="7">
        <f t="shared" si="77"/>
        <v>5894.0125281653627</v>
      </c>
      <c r="H1046" s="8">
        <f t="shared" si="78"/>
        <v>6315.0134230343174</v>
      </c>
      <c r="I1046" s="9">
        <f t="shared" si="79"/>
        <v>6736.0143179032721</v>
      </c>
    </row>
    <row r="1047" spans="1:9" x14ac:dyDescent="0.35">
      <c r="A1047" s="28" t="s">
        <v>3879</v>
      </c>
      <c r="B1047" s="28" t="s">
        <v>3894</v>
      </c>
      <c r="C1047" s="29">
        <v>45731</v>
      </c>
      <c r="D1047" s="11">
        <v>3895.0220877750007</v>
      </c>
      <c r="E1047" s="27">
        <f t="shared" si="80"/>
        <v>4335.9385881111302</v>
      </c>
      <c r="F1047" s="6">
        <f t="shared" si="76"/>
        <v>5636.7201645444693</v>
      </c>
      <c r="G1047" s="7">
        <f t="shared" si="77"/>
        <v>6070.3140233555823</v>
      </c>
      <c r="H1047" s="8">
        <f t="shared" si="78"/>
        <v>6503.9078821666953</v>
      </c>
      <c r="I1047" s="9">
        <f t="shared" si="79"/>
        <v>6937.5017409778084</v>
      </c>
    </row>
    <row r="1048" spans="1:9" x14ac:dyDescent="0.35">
      <c r="A1048" s="28"/>
      <c r="B1048" s="28"/>
      <c r="C1048" s="29">
        <v>45731</v>
      </c>
      <c r="D1048" s="11">
        <v>0</v>
      </c>
      <c r="E1048" s="27">
        <f t="shared" si="80"/>
        <v>0</v>
      </c>
      <c r="F1048" s="6">
        <f t="shared" si="76"/>
        <v>0</v>
      </c>
      <c r="G1048" s="7">
        <f t="shared" si="77"/>
        <v>0</v>
      </c>
      <c r="H1048" s="8">
        <f t="shared" si="78"/>
        <v>0</v>
      </c>
      <c r="I1048" s="9">
        <f t="shared" si="79"/>
        <v>0</v>
      </c>
    </row>
    <row r="1049" spans="1:9" x14ac:dyDescent="0.35">
      <c r="A1049" s="28" t="s">
        <v>3895</v>
      </c>
      <c r="B1049" s="28" t="s">
        <v>4087</v>
      </c>
      <c r="C1049" s="29">
        <v>45731</v>
      </c>
      <c r="D1049" s="11">
        <v>529.90460768699995</v>
      </c>
      <c r="E1049" s="27">
        <f t="shared" si="80"/>
        <v>589.8898092771683</v>
      </c>
      <c r="F1049" s="6">
        <f t="shared" si="76"/>
        <v>766.85675206031885</v>
      </c>
      <c r="G1049" s="7">
        <f t="shared" si="77"/>
        <v>825.84573298803559</v>
      </c>
      <c r="H1049" s="8">
        <f t="shared" si="78"/>
        <v>884.83471391575245</v>
      </c>
      <c r="I1049" s="9">
        <f t="shared" si="79"/>
        <v>943.8236948434693</v>
      </c>
    </row>
    <row r="1050" spans="1:9" x14ac:dyDescent="0.35">
      <c r="A1050" s="28" t="s">
        <v>3896</v>
      </c>
      <c r="B1050" s="28" t="s">
        <v>4088</v>
      </c>
      <c r="C1050" s="29">
        <v>45731</v>
      </c>
      <c r="D1050" s="11">
        <v>996.02089832700005</v>
      </c>
      <c r="E1050" s="27">
        <f t="shared" si="80"/>
        <v>1108.7704640176166</v>
      </c>
      <c r="F1050" s="6">
        <f t="shared" si="76"/>
        <v>1441.4016032229017</v>
      </c>
      <c r="G1050" s="7">
        <f t="shared" si="77"/>
        <v>1552.2786496246631</v>
      </c>
      <c r="H1050" s="8">
        <f t="shared" si="78"/>
        <v>1663.1556960264249</v>
      </c>
      <c r="I1050" s="9">
        <f t="shared" si="79"/>
        <v>1774.0327424281868</v>
      </c>
    </row>
    <row r="1051" spans="1:9" x14ac:dyDescent="0.35">
      <c r="A1051" s="28" t="s">
        <v>3897</v>
      </c>
      <c r="B1051" s="28" t="s">
        <v>4089</v>
      </c>
      <c r="C1051" s="29">
        <v>45731</v>
      </c>
      <c r="D1051" s="11">
        <v>912.93718288500008</v>
      </c>
      <c r="E1051" s="27">
        <f t="shared" si="80"/>
        <v>1016.2816719875822</v>
      </c>
      <c r="F1051" s="6">
        <f t="shared" si="76"/>
        <v>1321.1661735838568</v>
      </c>
      <c r="G1051" s="7">
        <f t="shared" si="77"/>
        <v>1422.7943407826149</v>
      </c>
      <c r="H1051" s="8">
        <f t="shared" si="78"/>
        <v>1524.4225079813732</v>
      </c>
      <c r="I1051" s="9">
        <f t="shared" si="79"/>
        <v>1626.0506751801315</v>
      </c>
    </row>
    <row r="1052" spans="1:9" x14ac:dyDescent="0.35">
      <c r="A1052" s="28"/>
      <c r="B1052" s="28"/>
      <c r="C1052" s="29">
        <v>45731</v>
      </c>
      <c r="D1052" s="11">
        <v>0</v>
      </c>
      <c r="E1052" s="27">
        <f t="shared" si="80"/>
        <v>0</v>
      </c>
      <c r="F1052" s="6">
        <f t="shared" si="76"/>
        <v>0</v>
      </c>
      <c r="G1052" s="7">
        <f t="shared" si="77"/>
        <v>0</v>
      </c>
      <c r="H1052" s="8">
        <f t="shared" si="78"/>
        <v>0</v>
      </c>
      <c r="I1052" s="9">
        <f t="shared" si="79"/>
        <v>0</v>
      </c>
    </row>
    <row r="1053" spans="1:9" x14ac:dyDescent="0.35">
      <c r="A1053" s="28" t="s">
        <v>3898</v>
      </c>
      <c r="B1053" s="28" t="s">
        <v>3913</v>
      </c>
      <c r="C1053" s="29">
        <v>45731</v>
      </c>
      <c r="D1053" s="11">
        <v>581.28333517800002</v>
      </c>
      <c r="E1053" s="27">
        <f t="shared" si="80"/>
        <v>647.08460872014962</v>
      </c>
      <c r="F1053" s="6">
        <f t="shared" si="76"/>
        <v>841.20999133619455</v>
      </c>
      <c r="G1053" s="7">
        <f t="shared" si="77"/>
        <v>905.91845220820937</v>
      </c>
      <c r="H1053" s="8">
        <f t="shared" si="78"/>
        <v>970.62691308022443</v>
      </c>
      <c r="I1053" s="9">
        <f t="shared" si="79"/>
        <v>1035.3353739522395</v>
      </c>
    </row>
    <row r="1054" spans="1:9" x14ac:dyDescent="0.35">
      <c r="A1054" s="28" t="s">
        <v>3899</v>
      </c>
      <c r="B1054" s="28" t="s">
        <v>3914</v>
      </c>
      <c r="C1054" s="29">
        <v>45731</v>
      </c>
      <c r="D1054" s="11">
        <v>1086.3687637530002</v>
      </c>
      <c r="E1054" s="27">
        <f t="shared" si="80"/>
        <v>1209.3457078098397</v>
      </c>
      <c r="F1054" s="6">
        <f t="shared" si="76"/>
        <v>1572.1494201527917</v>
      </c>
      <c r="G1054" s="7">
        <f t="shared" si="77"/>
        <v>1693.0839909337756</v>
      </c>
      <c r="H1054" s="8">
        <f t="shared" si="78"/>
        <v>1814.0185617147595</v>
      </c>
      <c r="I1054" s="9">
        <f t="shared" si="79"/>
        <v>1934.9531324957436</v>
      </c>
    </row>
    <row r="1055" spans="1:9" x14ac:dyDescent="0.35">
      <c r="A1055" s="28" t="s">
        <v>3900</v>
      </c>
      <c r="B1055" s="28" t="s">
        <v>3915</v>
      </c>
      <c r="C1055" s="29">
        <v>45731</v>
      </c>
      <c r="D1055" s="11">
        <v>1040.8164898950001</v>
      </c>
      <c r="E1055" s="27">
        <f t="shared" si="80"/>
        <v>1158.6369165511142</v>
      </c>
      <c r="F1055" s="6">
        <f t="shared" si="76"/>
        <v>1506.2279915164484</v>
      </c>
      <c r="G1055" s="7">
        <f t="shared" si="77"/>
        <v>1622.0916831715597</v>
      </c>
      <c r="H1055" s="8">
        <f t="shared" si="78"/>
        <v>1737.9553748266712</v>
      </c>
      <c r="I1055" s="9">
        <f t="shared" si="79"/>
        <v>1853.8190664817828</v>
      </c>
    </row>
    <row r="1056" spans="1:9" x14ac:dyDescent="0.35">
      <c r="A1056" s="28" t="s">
        <v>3901</v>
      </c>
      <c r="B1056" s="28" t="s">
        <v>3916</v>
      </c>
      <c r="C1056" s="29">
        <v>45731</v>
      </c>
      <c r="D1056" s="11">
        <v>2075.3525167829998</v>
      </c>
      <c r="E1056" s="27">
        <f t="shared" si="80"/>
        <v>2310.2824216828358</v>
      </c>
      <c r="F1056" s="6">
        <f t="shared" si="76"/>
        <v>3003.3671481876868</v>
      </c>
      <c r="G1056" s="7">
        <f t="shared" si="77"/>
        <v>3234.39539035597</v>
      </c>
      <c r="H1056" s="8">
        <f t="shared" si="78"/>
        <v>3465.4236325242537</v>
      </c>
      <c r="I1056" s="9">
        <f t="shared" si="79"/>
        <v>3696.4518746925373</v>
      </c>
    </row>
    <row r="1057" spans="1:9" x14ac:dyDescent="0.35">
      <c r="A1057" s="28" t="s">
        <v>3902</v>
      </c>
      <c r="B1057" s="28" t="s">
        <v>3917</v>
      </c>
      <c r="C1057" s="29">
        <v>45731</v>
      </c>
      <c r="D1057" s="11">
        <v>1937.4093353160004</v>
      </c>
      <c r="E1057" s="27">
        <f t="shared" si="80"/>
        <v>2156.7240720737714</v>
      </c>
      <c r="F1057" s="6">
        <f t="shared" si="76"/>
        <v>2803.7412936959031</v>
      </c>
      <c r="G1057" s="7">
        <f t="shared" si="77"/>
        <v>3019.4137009032797</v>
      </c>
      <c r="H1057" s="8">
        <f t="shared" si="78"/>
        <v>3235.0861081106568</v>
      </c>
      <c r="I1057" s="9">
        <f t="shared" si="79"/>
        <v>3450.7585153180344</v>
      </c>
    </row>
    <row r="1058" spans="1:9" x14ac:dyDescent="0.35">
      <c r="A1058" s="28" t="s">
        <v>3903</v>
      </c>
      <c r="B1058" s="28" t="s">
        <v>3918</v>
      </c>
      <c r="C1058" s="29">
        <v>45731</v>
      </c>
      <c r="D1058" s="11">
        <v>1780.2464236830001</v>
      </c>
      <c r="E1058" s="27">
        <f t="shared" si="80"/>
        <v>1981.7703188439157</v>
      </c>
      <c r="F1058" s="6">
        <f t="shared" si="76"/>
        <v>2576.3014144970903</v>
      </c>
      <c r="G1058" s="7">
        <f t="shared" si="77"/>
        <v>2774.4784463814817</v>
      </c>
      <c r="H1058" s="8">
        <f t="shared" si="78"/>
        <v>2972.6554782658736</v>
      </c>
      <c r="I1058" s="9">
        <f t="shared" si="79"/>
        <v>3170.8325101502651</v>
      </c>
    </row>
    <row r="1059" spans="1:9" x14ac:dyDescent="0.35">
      <c r="A1059" s="28" t="s">
        <v>3904</v>
      </c>
      <c r="B1059" s="28" t="s">
        <v>3919</v>
      </c>
      <c r="C1059" s="29">
        <v>45731</v>
      </c>
      <c r="D1059" s="11">
        <v>3644.4089133270004</v>
      </c>
      <c r="E1059" s="27">
        <f t="shared" si="80"/>
        <v>4056.9560023156164</v>
      </c>
      <c r="F1059" s="6">
        <f t="shared" si="76"/>
        <v>5274.0428030103012</v>
      </c>
      <c r="G1059" s="7">
        <f t="shared" si="77"/>
        <v>5679.7384032418622</v>
      </c>
      <c r="H1059" s="8">
        <f t="shared" si="78"/>
        <v>6085.434003473425</v>
      </c>
      <c r="I1059" s="9">
        <f t="shared" si="79"/>
        <v>6491.1296037049869</v>
      </c>
    </row>
    <row r="1060" spans="1:9" x14ac:dyDescent="0.35">
      <c r="A1060" s="28" t="s">
        <v>3905</v>
      </c>
      <c r="B1060" s="28" t="s">
        <v>3920</v>
      </c>
      <c r="C1060" s="29">
        <v>45731</v>
      </c>
      <c r="D1060" s="11">
        <v>3644.4089133270004</v>
      </c>
      <c r="E1060" s="27">
        <f t="shared" si="80"/>
        <v>4056.9560023156164</v>
      </c>
      <c r="F1060" s="6">
        <f t="shared" si="76"/>
        <v>5274.0428030103012</v>
      </c>
      <c r="G1060" s="7">
        <f t="shared" si="77"/>
        <v>5679.7384032418622</v>
      </c>
      <c r="H1060" s="8">
        <f t="shared" si="78"/>
        <v>6085.434003473425</v>
      </c>
      <c r="I1060" s="9">
        <f t="shared" si="79"/>
        <v>6491.1296037049869</v>
      </c>
    </row>
    <row r="1061" spans="1:9" x14ac:dyDescent="0.35">
      <c r="A1061" s="28" t="s">
        <v>3906</v>
      </c>
      <c r="B1061" s="28" t="s">
        <v>3921</v>
      </c>
      <c r="C1061" s="29">
        <v>45731</v>
      </c>
      <c r="D1061" s="11">
        <v>3644.4089133270004</v>
      </c>
      <c r="E1061" s="27">
        <f t="shared" si="80"/>
        <v>4056.9560023156164</v>
      </c>
      <c r="F1061" s="6">
        <f t="shared" si="76"/>
        <v>5274.0428030103012</v>
      </c>
      <c r="G1061" s="7">
        <f t="shared" si="77"/>
        <v>5679.7384032418622</v>
      </c>
      <c r="H1061" s="8">
        <f t="shared" si="78"/>
        <v>6085.434003473425</v>
      </c>
      <c r="I1061" s="9">
        <f t="shared" si="79"/>
        <v>6491.1296037049869</v>
      </c>
    </row>
    <row r="1062" spans="1:9" x14ac:dyDescent="0.35">
      <c r="A1062" s="28" t="s">
        <v>3907</v>
      </c>
      <c r="B1062" s="28" t="s">
        <v>3922</v>
      </c>
      <c r="C1062" s="29">
        <v>45731</v>
      </c>
      <c r="D1062" s="11">
        <v>3644.4089133270004</v>
      </c>
      <c r="E1062" s="27">
        <f t="shared" si="80"/>
        <v>4056.9560023156164</v>
      </c>
      <c r="F1062" s="6">
        <f t="shared" si="76"/>
        <v>5274.0428030103012</v>
      </c>
      <c r="G1062" s="7">
        <f t="shared" si="77"/>
        <v>5679.7384032418622</v>
      </c>
      <c r="H1062" s="8">
        <f t="shared" si="78"/>
        <v>6085.434003473425</v>
      </c>
      <c r="I1062" s="9">
        <f t="shared" si="79"/>
        <v>6491.1296037049869</v>
      </c>
    </row>
    <row r="1063" spans="1:9" x14ac:dyDescent="0.35">
      <c r="A1063" s="28" t="s">
        <v>3908</v>
      </c>
      <c r="B1063" s="28" t="s">
        <v>3923</v>
      </c>
      <c r="C1063" s="29">
        <v>45731</v>
      </c>
      <c r="D1063" s="11">
        <v>5167.9887042420005</v>
      </c>
      <c r="E1063" s="27">
        <f t="shared" si="80"/>
        <v>5753.0050255621945</v>
      </c>
      <c r="F1063" s="6">
        <f t="shared" si="76"/>
        <v>7478.9065332308528</v>
      </c>
      <c r="G1063" s="7">
        <f t="shared" si="77"/>
        <v>8054.2070357870716</v>
      </c>
      <c r="H1063" s="8">
        <f t="shared" si="78"/>
        <v>8629.5075383432923</v>
      </c>
      <c r="I1063" s="9">
        <f t="shared" si="79"/>
        <v>9204.808040899512</v>
      </c>
    </row>
    <row r="1064" spans="1:9" x14ac:dyDescent="0.35">
      <c r="A1064" s="28" t="s">
        <v>3909</v>
      </c>
      <c r="B1064" s="28" t="s">
        <v>3924</v>
      </c>
      <c r="C1064" s="29">
        <v>45731</v>
      </c>
      <c r="D1064" s="11">
        <v>5167.9887042420005</v>
      </c>
      <c r="E1064" s="27">
        <f t="shared" si="80"/>
        <v>5753.0050255621945</v>
      </c>
      <c r="F1064" s="6">
        <f t="shared" si="76"/>
        <v>7478.9065332308528</v>
      </c>
      <c r="G1064" s="7">
        <f t="shared" si="77"/>
        <v>8054.2070357870716</v>
      </c>
      <c r="H1064" s="8">
        <f t="shared" si="78"/>
        <v>8629.5075383432923</v>
      </c>
      <c r="I1064" s="9">
        <f t="shared" si="79"/>
        <v>9204.808040899512</v>
      </c>
    </row>
    <row r="1065" spans="1:9" x14ac:dyDescent="0.35">
      <c r="A1065" s="28" t="s">
        <v>3910</v>
      </c>
      <c r="B1065" s="28" t="s">
        <v>3925</v>
      </c>
      <c r="C1065" s="29">
        <v>45731</v>
      </c>
      <c r="D1065" s="11">
        <v>5167.9887042420005</v>
      </c>
      <c r="E1065" s="27">
        <f t="shared" si="80"/>
        <v>5753.0050255621945</v>
      </c>
      <c r="F1065" s="6">
        <f t="shared" si="76"/>
        <v>7478.9065332308528</v>
      </c>
      <c r="G1065" s="7">
        <f t="shared" si="77"/>
        <v>8054.2070357870716</v>
      </c>
      <c r="H1065" s="8">
        <f t="shared" si="78"/>
        <v>8629.5075383432923</v>
      </c>
      <c r="I1065" s="9">
        <f t="shared" si="79"/>
        <v>9204.808040899512</v>
      </c>
    </row>
    <row r="1066" spans="1:9" x14ac:dyDescent="0.35">
      <c r="A1066" s="28" t="s">
        <v>3911</v>
      </c>
      <c r="B1066" s="28" t="s">
        <v>3926</v>
      </c>
      <c r="C1066" s="29">
        <v>45731</v>
      </c>
      <c r="D1066" s="11">
        <v>5167.9887042420005</v>
      </c>
      <c r="E1066" s="27">
        <f t="shared" si="80"/>
        <v>5753.0050255621945</v>
      </c>
      <c r="F1066" s="6">
        <f t="shared" si="76"/>
        <v>7478.9065332308528</v>
      </c>
      <c r="G1066" s="7">
        <f t="shared" si="77"/>
        <v>8054.2070357870716</v>
      </c>
      <c r="H1066" s="8">
        <f t="shared" si="78"/>
        <v>8629.5075383432923</v>
      </c>
      <c r="I1066" s="9">
        <f t="shared" si="79"/>
        <v>9204.808040899512</v>
      </c>
    </row>
    <row r="1067" spans="1:9" x14ac:dyDescent="0.35">
      <c r="A1067" s="28" t="s">
        <v>3912</v>
      </c>
      <c r="B1067" s="28" t="s">
        <v>3927</v>
      </c>
      <c r="C1067" s="29">
        <v>45731</v>
      </c>
      <c r="D1067" s="11">
        <v>5167.9887042420005</v>
      </c>
      <c r="E1067" s="27">
        <f t="shared" si="80"/>
        <v>5753.0050255621945</v>
      </c>
      <c r="F1067" s="6">
        <f t="shared" si="76"/>
        <v>7478.9065332308528</v>
      </c>
      <c r="G1067" s="7">
        <f t="shared" si="77"/>
        <v>8054.2070357870716</v>
      </c>
      <c r="H1067" s="8">
        <f t="shared" si="78"/>
        <v>8629.5075383432923</v>
      </c>
      <c r="I1067" s="9">
        <f t="shared" si="79"/>
        <v>9204.808040899512</v>
      </c>
    </row>
    <row r="1068" spans="1:9" x14ac:dyDescent="0.35">
      <c r="A1068" s="28"/>
      <c r="B1068" s="28"/>
      <c r="C1068" s="29">
        <v>45731</v>
      </c>
      <c r="D1068" s="11">
        <v>0</v>
      </c>
      <c r="E1068" s="27">
        <f t="shared" si="80"/>
        <v>0</v>
      </c>
      <c r="F1068" s="6">
        <f t="shared" si="76"/>
        <v>0</v>
      </c>
      <c r="G1068" s="7">
        <f t="shared" si="77"/>
        <v>0</v>
      </c>
      <c r="H1068" s="8">
        <f t="shared" si="78"/>
        <v>0</v>
      </c>
      <c r="I1068" s="9">
        <f t="shared" si="79"/>
        <v>0</v>
      </c>
    </row>
    <row r="1069" spans="1:9" x14ac:dyDescent="0.35">
      <c r="A1069" s="28" t="s">
        <v>3928</v>
      </c>
      <c r="B1069" s="28" t="s">
        <v>3930</v>
      </c>
      <c r="C1069" s="29">
        <v>45731</v>
      </c>
      <c r="D1069" s="11">
        <v>2371.4422968600006</v>
      </c>
      <c r="E1069" s="27">
        <f t="shared" si="80"/>
        <v>2639.8895648645525</v>
      </c>
      <c r="F1069" s="6">
        <f t="shared" si="76"/>
        <v>3431.8564343239186</v>
      </c>
      <c r="G1069" s="7">
        <f t="shared" si="77"/>
        <v>3695.8453908103734</v>
      </c>
      <c r="H1069" s="8">
        <f t="shared" si="78"/>
        <v>3959.834347296829</v>
      </c>
      <c r="I1069" s="9">
        <f t="shared" si="79"/>
        <v>4223.8233037832842</v>
      </c>
    </row>
    <row r="1070" spans="1:9" x14ac:dyDescent="0.35">
      <c r="A1070" s="28" t="s">
        <v>3929</v>
      </c>
      <c r="B1070" s="28" t="s">
        <v>3931</v>
      </c>
      <c r="C1070" s="29">
        <v>45731</v>
      </c>
      <c r="D1070" s="11">
        <v>34764.405785928</v>
      </c>
      <c r="E1070" s="27">
        <f t="shared" si="80"/>
        <v>38699.73652089505</v>
      </c>
      <c r="F1070" s="6">
        <f t="shared" si="76"/>
        <v>50309.657477163564</v>
      </c>
      <c r="G1070" s="7">
        <f t="shared" si="77"/>
        <v>54179.631129253066</v>
      </c>
      <c r="H1070" s="8">
        <f t="shared" si="78"/>
        <v>58049.604781342576</v>
      </c>
      <c r="I1070" s="9">
        <f t="shared" si="79"/>
        <v>61919.578433432085</v>
      </c>
    </row>
    <row r="1071" spans="1:9" x14ac:dyDescent="0.35">
      <c r="A1071" s="28"/>
      <c r="B1071" s="28"/>
      <c r="C1071" s="29">
        <v>45731</v>
      </c>
      <c r="D1071" s="11">
        <v>0</v>
      </c>
      <c r="E1071" s="27">
        <f t="shared" si="80"/>
        <v>0</v>
      </c>
      <c r="F1071" s="6">
        <f t="shared" si="76"/>
        <v>0</v>
      </c>
      <c r="G1071" s="7">
        <f t="shared" si="77"/>
        <v>0</v>
      </c>
      <c r="H1071" s="8">
        <f t="shared" si="78"/>
        <v>0</v>
      </c>
      <c r="I1071" s="9">
        <f t="shared" si="79"/>
        <v>0</v>
      </c>
    </row>
    <row r="1072" spans="1:9" x14ac:dyDescent="0.35">
      <c r="A1072" s="28" t="s">
        <v>3932</v>
      </c>
      <c r="B1072" s="28" t="s">
        <v>3939</v>
      </c>
      <c r="C1072" s="29">
        <v>45731</v>
      </c>
      <c r="D1072" s="11">
        <v>1344.5487611010003</v>
      </c>
      <c r="E1072" s="27">
        <f t="shared" si="80"/>
        <v>1496.7516808576336</v>
      </c>
      <c r="F1072" s="6">
        <f t="shared" si="76"/>
        <v>1945.7771851149237</v>
      </c>
      <c r="G1072" s="7">
        <f t="shared" si="77"/>
        <v>2095.452353200687</v>
      </c>
      <c r="H1072" s="8">
        <f t="shared" si="78"/>
        <v>2245.1275212864502</v>
      </c>
      <c r="I1072" s="9">
        <f t="shared" si="79"/>
        <v>2394.802689372214</v>
      </c>
    </row>
    <row r="1073" spans="1:9" x14ac:dyDescent="0.35">
      <c r="A1073" s="28" t="s">
        <v>3933</v>
      </c>
      <c r="B1073" s="28" t="s">
        <v>3940</v>
      </c>
      <c r="C1073" s="29">
        <v>45731</v>
      </c>
      <c r="D1073" s="11">
        <v>1307.3199924329999</v>
      </c>
      <c r="E1073" s="27">
        <f t="shared" si="80"/>
        <v>1455.3086155764156</v>
      </c>
      <c r="F1073" s="6">
        <f t="shared" ref="F1073:F1136" si="81">E1073*1.3</f>
        <v>1891.9012002493403</v>
      </c>
      <c r="G1073" s="7">
        <f t="shared" ref="G1073:G1136" si="82">E1073*1.4</f>
        <v>2037.4320618069817</v>
      </c>
      <c r="H1073" s="8">
        <f t="shared" ref="H1073:H1136" si="83">E1073*1.5</f>
        <v>2182.9629233646233</v>
      </c>
      <c r="I1073" s="9">
        <f t="shared" ref="I1073:I1136" si="84">E1073*1.6</f>
        <v>2328.4937849222651</v>
      </c>
    </row>
    <row r="1074" spans="1:9" x14ac:dyDescent="0.35">
      <c r="A1074" s="28" t="s">
        <v>3934</v>
      </c>
      <c r="B1074" s="28" t="s">
        <v>3941</v>
      </c>
      <c r="C1074" s="29">
        <v>45731</v>
      </c>
      <c r="D1074" s="11">
        <v>2158.3605639960006</v>
      </c>
      <c r="E1074" s="27">
        <f t="shared" si="80"/>
        <v>2402.6869798403477</v>
      </c>
      <c r="F1074" s="6">
        <f t="shared" si="81"/>
        <v>3123.4930737924519</v>
      </c>
      <c r="G1074" s="7">
        <f t="shared" si="82"/>
        <v>3363.7617717764865</v>
      </c>
      <c r="H1074" s="8">
        <f t="shared" si="83"/>
        <v>3604.0304697605216</v>
      </c>
      <c r="I1074" s="9">
        <f t="shared" si="84"/>
        <v>3844.2991677445566</v>
      </c>
    </row>
    <row r="1075" spans="1:9" x14ac:dyDescent="0.35">
      <c r="A1075" s="28" t="s">
        <v>3935</v>
      </c>
      <c r="B1075" s="28" t="s">
        <v>3942</v>
      </c>
      <c r="C1075" s="29">
        <v>45731</v>
      </c>
      <c r="D1075" s="11">
        <v>2105.241467238</v>
      </c>
      <c r="E1075" s="27">
        <f t="shared" si="80"/>
        <v>2343.5548013293419</v>
      </c>
      <c r="F1075" s="6">
        <f t="shared" si="81"/>
        <v>3046.6212417281445</v>
      </c>
      <c r="G1075" s="7">
        <f t="shared" si="82"/>
        <v>3280.9767218610787</v>
      </c>
      <c r="H1075" s="8">
        <f t="shared" si="83"/>
        <v>3515.3322019940128</v>
      </c>
      <c r="I1075" s="9">
        <f t="shared" si="84"/>
        <v>3749.687682126947</v>
      </c>
    </row>
    <row r="1076" spans="1:9" x14ac:dyDescent="0.35">
      <c r="A1076" s="28" t="s">
        <v>3936</v>
      </c>
      <c r="B1076" s="28" t="s">
        <v>3943</v>
      </c>
      <c r="C1076" s="29">
        <v>45731</v>
      </c>
      <c r="D1076" s="11">
        <v>3332.5044733889999</v>
      </c>
      <c r="E1076" s="27">
        <f t="shared" si="80"/>
        <v>3709.7439797766347</v>
      </c>
      <c r="F1076" s="6">
        <f t="shared" si="81"/>
        <v>4822.6671737096249</v>
      </c>
      <c r="G1076" s="7">
        <f t="shared" si="82"/>
        <v>5193.641571687288</v>
      </c>
      <c r="H1076" s="8">
        <f t="shared" si="83"/>
        <v>5564.615969664952</v>
      </c>
      <c r="I1076" s="9">
        <f t="shared" si="84"/>
        <v>5935.590367642616</v>
      </c>
    </row>
    <row r="1077" spans="1:9" x14ac:dyDescent="0.35">
      <c r="A1077" s="28" t="s">
        <v>3937</v>
      </c>
      <c r="B1077" s="28" t="s">
        <v>3944</v>
      </c>
      <c r="C1077" s="29">
        <v>45731</v>
      </c>
      <c r="D1077" s="11">
        <v>1377.4644407159999</v>
      </c>
      <c r="E1077" s="27">
        <f t="shared" si="80"/>
        <v>1533.393415405051</v>
      </c>
      <c r="F1077" s="6">
        <f t="shared" si="81"/>
        <v>1993.4114400265664</v>
      </c>
      <c r="G1077" s="7">
        <f t="shared" si="82"/>
        <v>2146.750781567071</v>
      </c>
      <c r="H1077" s="8">
        <f t="shared" si="83"/>
        <v>2300.0901231075763</v>
      </c>
      <c r="I1077" s="9">
        <f t="shared" si="84"/>
        <v>2453.4294646480816</v>
      </c>
    </row>
    <row r="1078" spans="1:9" x14ac:dyDescent="0.35">
      <c r="A1078" s="28" t="s">
        <v>3938</v>
      </c>
      <c r="B1078" s="28" t="s">
        <v>3945</v>
      </c>
      <c r="C1078" s="29">
        <v>45731</v>
      </c>
      <c r="D1078" s="11">
        <v>3801.9501661050003</v>
      </c>
      <c r="E1078" s="27">
        <f t="shared" si="80"/>
        <v>4232.3309249080858</v>
      </c>
      <c r="F1078" s="6">
        <f t="shared" si="81"/>
        <v>5502.0302023805116</v>
      </c>
      <c r="G1078" s="7">
        <f t="shared" si="82"/>
        <v>5925.2632948713199</v>
      </c>
      <c r="H1078" s="8">
        <f t="shared" si="83"/>
        <v>6348.4963873621291</v>
      </c>
      <c r="I1078" s="9">
        <f t="shared" si="84"/>
        <v>6771.7294798529374</v>
      </c>
    </row>
    <row r="1079" spans="1:9" x14ac:dyDescent="0.35">
      <c r="A1079" s="28"/>
      <c r="B1079" s="28"/>
      <c r="C1079" s="29">
        <v>45731</v>
      </c>
      <c r="D1079" s="11">
        <v>0</v>
      </c>
      <c r="E1079" s="27">
        <f t="shared" si="80"/>
        <v>0</v>
      </c>
      <c r="F1079" s="6">
        <f t="shared" si="81"/>
        <v>0</v>
      </c>
      <c r="G1079" s="7">
        <f t="shared" si="82"/>
        <v>0</v>
      </c>
      <c r="H1079" s="8">
        <f t="shared" si="83"/>
        <v>0</v>
      </c>
      <c r="I1079" s="9">
        <f t="shared" si="84"/>
        <v>0</v>
      </c>
    </row>
    <row r="1080" spans="1:9" x14ac:dyDescent="0.35">
      <c r="A1080" s="28" t="s">
        <v>3948</v>
      </c>
      <c r="B1080" s="28" t="s">
        <v>3955</v>
      </c>
      <c r="C1080" s="29">
        <v>45731</v>
      </c>
      <c r="D1080" s="11">
        <v>3810.2736712950009</v>
      </c>
      <c r="E1080" s="27">
        <f t="shared" si="80"/>
        <v>4241.5966508855945</v>
      </c>
      <c r="F1080" s="6">
        <f t="shared" si="81"/>
        <v>5514.0756461512728</v>
      </c>
      <c r="G1080" s="7">
        <f t="shared" si="82"/>
        <v>5938.2353112398323</v>
      </c>
      <c r="H1080" s="8">
        <f t="shared" si="83"/>
        <v>6362.3949763283917</v>
      </c>
      <c r="I1080" s="9">
        <f t="shared" si="84"/>
        <v>6786.5546414169512</v>
      </c>
    </row>
    <row r="1081" spans="1:9" x14ac:dyDescent="0.35">
      <c r="A1081" s="28" t="s">
        <v>3947</v>
      </c>
      <c r="B1081" s="28" t="s">
        <v>3956</v>
      </c>
      <c r="C1081" s="29">
        <v>45731</v>
      </c>
      <c r="D1081" s="11">
        <v>1955.9480514210004</v>
      </c>
      <c r="E1081" s="27">
        <f t="shared" si="80"/>
        <v>2177.3613708418579</v>
      </c>
      <c r="F1081" s="6">
        <f t="shared" si="81"/>
        <v>2830.5697820944156</v>
      </c>
      <c r="G1081" s="7">
        <f t="shared" si="82"/>
        <v>3048.305919178601</v>
      </c>
      <c r="H1081" s="8">
        <f t="shared" si="83"/>
        <v>3266.0420562627869</v>
      </c>
      <c r="I1081" s="9">
        <f t="shared" si="84"/>
        <v>3483.7781933469728</v>
      </c>
    </row>
    <row r="1082" spans="1:9" x14ac:dyDescent="0.35">
      <c r="A1082" s="28" t="s">
        <v>3946</v>
      </c>
      <c r="B1082" s="28" t="s">
        <v>3957</v>
      </c>
      <c r="C1082" s="29">
        <v>45731</v>
      </c>
      <c r="D1082" s="11">
        <v>1785.0135221100002</v>
      </c>
      <c r="E1082" s="27">
        <f t="shared" si="80"/>
        <v>1987.0770528128521</v>
      </c>
      <c r="F1082" s="6">
        <f t="shared" si="81"/>
        <v>2583.2001686567078</v>
      </c>
      <c r="G1082" s="7">
        <f t="shared" si="82"/>
        <v>2781.9078739379929</v>
      </c>
      <c r="H1082" s="8">
        <f t="shared" si="83"/>
        <v>2980.6155792192781</v>
      </c>
      <c r="I1082" s="9">
        <f t="shared" si="84"/>
        <v>3179.3232845005637</v>
      </c>
    </row>
    <row r="1083" spans="1:9" x14ac:dyDescent="0.35">
      <c r="A1083" s="28" t="s">
        <v>3949</v>
      </c>
      <c r="B1083" s="28" t="s">
        <v>3958</v>
      </c>
      <c r="C1083" s="29">
        <v>45731</v>
      </c>
      <c r="D1083" s="11">
        <v>2529.891568386</v>
      </c>
      <c r="E1083" s="27">
        <f t="shared" si="80"/>
        <v>2816.2752939272955</v>
      </c>
      <c r="F1083" s="6">
        <f t="shared" si="81"/>
        <v>3661.1578821054841</v>
      </c>
      <c r="G1083" s="7">
        <f t="shared" si="82"/>
        <v>3942.7854114982133</v>
      </c>
      <c r="H1083" s="8">
        <f t="shared" si="83"/>
        <v>4224.412940890943</v>
      </c>
      <c r="I1083" s="9">
        <f t="shared" si="84"/>
        <v>4506.0404702836731</v>
      </c>
    </row>
    <row r="1084" spans="1:9" x14ac:dyDescent="0.35">
      <c r="A1084" s="28" t="s">
        <v>3950</v>
      </c>
      <c r="B1084" s="28" t="s">
        <v>3959</v>
      </c>
      <c r="C1084" s="29">
        <v>45731</v>
      </c>
      <c r="D1084" s="11">
        <v>4120.8160831109999</v>
      </c>
      <c r="E1084" s="27">
        <f t="shared" si="80"/>
        <v>4587.2924637191654</v>
      </c>
      <c r="F1084" s="6">
        <f t="shared" si="81"/>
        <v>5963.480202834915</v>
      </c>
      <c r="G1084" s="7">
        <f t="shared" si="82"/>
        <v>6422.2094492068309</v>
      </c>
      <c r="H1084" s="8">
        <f t="shared" si="83"/>
        <v>6880.9386955787486</v>
      </c>
      <c r="I1084" s="9">
        <f t="shared" si="84"/>
        <v>7339.6679419506654</v>
      </c>
    </row>
    <row r="1085" spans="1:9" x14ac:dyDescent="0.35">
      <c r="A1085" s="28" t="s">
        <v>3951</v>
      </c>
      <c r="B1085" s="28" t="s">
        <v>3960</v>
      </c>
      <c r="C1085" s="29">
        <v>45731</v>
      </c>
      <c r="D1085" s="11">
        <v>10764.259584624002</v>
      </c>
      <c r="E1085" s="27">
        <f t="shared" si="80"/>
        <v>11982.773769603438</v>
      </c>
      <c r="F1085" s="6">
        <f t="shared" si="81"/>
        <v>15577.60590048447</v>
      </c>
      <c r="G1085" s="7">
        <f t="shared" si="82"/>
        <v>16775.883277444813</v>
      </c>
      <c r="H1085" s="8">
        <f t="shared" si="83"/>
        <v>17974.160654405157</v>
      </c>
      <c r="I1085" s="9">
        <f t="shared" si="84"/>
        <v>19172.438031365502</v>
      </c>
    </row>
    <row r="1086" spans="1:9" x14ac:dyDescent="0.35">
      <c r="A1086" s="28" t="s">
        <v>3952</v>
      </c>
      <c r="B1086" s="28" t="s">
        <v>3961</v>
      </c>
      <c r="C1086" s="29">
        <v>45731</v>
      </c>
      <c r="D1086" s="11">
        <v>13804.836030531002</v>
      </c>
      <c r="E1086" s="27">
        <f t="shared" si="80"/>
        <v>15367.543469187111</v>
      </c>
      <c r="F1086" s="6">
        <f t="shared" si="81"/>
        <v>19977.806509943246</v>
      </c>
      <c r="G1086" s="7">
        <f t="shared" si="82"/>
        <v>21514.560856861954</v>
      </c>
      <c r="H1086" s="8">
        <f t="shared" si="83"/>
        <v>23051.315203780665</v>
      </c>
      <c r="I1086" s="9">
        <f t="shared" si="84"/>
        <v>24588.06955069938</v>
      </c>
    </row>
    <row r="1087" spans="1:9" x14ac:dyDescent="0.35">
      <c r="A1087" s="28" t="s">
        <v>3953</v>
      </c>
      <c r="B1087" s="28" t="s">
        <v>3962</v>
      </c>
      <c r="C1087" s="29">
        <v>45731</v>
      </c>
      <c r="D1087" s="11">
        <v>19642.791234339005</v>
      </c>
      <c r="E1087" s="27">
        <f t="shared" si="80"/>
        <v>21866.355202066181</v>
      </c>
      <c r="F1087" s="6">
        <f t="shared" si="81"/>
        <v>28426.261762686037</v>
      </c>
      <c r="G1087" s="7">
        <f t="shared" si="82"/>
        <v>30612.897282892653</v>
      </c>
      <c r="H1087" s="8">
        <f t="shared" si="83"/>
        <v>32799.532803099268</v>
      </c>
      <c r="I1087" s="9">
        <f t="shared" si="84"/>
        <v>34986.168323305894</v>
      </c>
    </row>
    <row r="1088" spans="1:9" x14ac:dyDescent="0.35">
      <c r="A1088" s="28"/>
      <c r="B1088" s="28"/>
      <c r="C1088" s="29">
        <v>45731</v>
      </c>
      <c r="D1088" s="11">
        <v>0</v>
      </c>
      <c r="E1088" s="27">
        <f t="shared" si="80"/>
        <v>0</v>
      </c>
      <c r="F1088" s="6">
        <f t="shared" si="81"/>
        <v>0</v>
      </c>
      <c r="G1088" s="7">
        <f t="shared" si="82"/>
        <v>0</v>
      </c>
      <c r="H1088" s="8">
        <f t="shared" si="83"/>
        <v>0</v>
      </c>
      <c r="I1088" s="9">
        <f t="shared" si="84"/>
        <v>0</v>
      </c>
    </row>
    <row r="1089" spans="1:9" x14ac:dyDescent="0.35">
      <c r="A1089" s="28" t="s">
        <v>3963</v>
      </c>
      <c r="B1089" s="28" t="s">
        <v>3968</v>
      </c>
      <c r="C1089" s="29">
        <v>45731</v>
      </c>
      <c r="D1089" s="11">
        <v>2173.2672051089999</v>
      </c>
      <c r="E1089" s="27">
        <f t="shared" si="80"/>
        <v>2419.2810527273391</v>
      </c>
      <c r="F1089" s="6">
        <f t="shared" si="81"/>
        <v>3145.0653685455409</v>
      </c>
      <c r="G1089" s="7">
        <f t="shared" si="82"/>
        <v>3386.9934738182747</v>
      </c>
      <c r="H1089" s="8">
        <f t="shared" si="83"/>
        <v>3628.9215790910084</v>
      </c>
      <c r="I1089" s="9">
        <f t="shared" si="84"/>
        <v>3870.8496843637427</v>
      </c>
    </row>
    <row r="1090" spans="1:9" x14ac:dyDescent="0.35">
      <c r="A1090" s="28" t="s">
        <v>3964</v>
      </c>
      <c r="B1090" s="28" t="s">
        <v>3969</v>
      </c>
      <c r="C1090" s="29">
        <v>45731</v>
      </c>
      <c r="D1090" s="11">
        <v>2083.827358431</v>
      </c>
      <c r="E1090" s="27">
        <f t="shared" si="80"/>
        <v>2319.7166154053893</v>
      </c>
      <c r="F1090" s="6">
        <f t="shared" si="81"/>
        <v>3015.6316000270062</v>
      </c>
      <c r="G1090" s="7">
        <f t="shared" si="82"/>
        <v>3247.6032615675449</v>
      </c>
      <c r="H1090" s="8">
        <f t="shared" si="83"/>
        <v>3479.574923108084</v>
      </c>
      <c r="I1090" s="9">
        <f t="shared" si="84"/>
        <v>3711.5465846486231</v>
      </c>
    </row>
    <row r="1091" spans="1:9" x14ac:dyDescent="0.35">
      <c r="A1091" s="28" t="s">
        <v>3965</v>
      </c>
      <c r="B1091" s="28" t="s">
        <v>3970</v>
      </c>
      <c r="C1091" s="29">
        <v>45731</v>
      </c>
      <c r="D1091" s="11">
        <v>2310.3023678280001</v>
      </c>
      <c r="E1091" s="27">
        <f t="shared" si="80"/>
        <v>2571.8285958661299</v>
      </c>
      <c r="F1091" s="6">
        <f t="shared" si="81"/>
        <v>3343.377174625969</v>
      </c>
      <c r="G1091" s="7">
        <f t="shared" si="82"/>
        <v>3600.5600342125817</v>
      </c>
      <c r="H1091" s="8">
        <f t="shared" si="83"/>
        <v>3857.7428937991949</v>
      </c>
      <c r="I1091" s="9">
        <f t="shared" si="84"/>
        <v>4114.9257533858081</v>
      </c>
    </row>
    <row r="1092" spans="1:9" x14ac:dyDescent="0.35">
      <c r="A1092" s="28" t="s">
        <v>3966</v>
      </c>
      <c r="B1092" s="28" t="s">
        <v>3971</v>
      </c>
      <c r="C1092" s="29">
        <v>45731</v>
      </c>
      <c r="D1092" s="11">
        <v>2884.3215530220004</v>
      </c>
      <c r="E1092" s="27">
        <f t="shared" si="80"/>
        <v>3210.8267528240908</v>
      </c>
      <c r="F1092" s="6">
        <f t="shared" si="81"/>
        <v>4174.0747786713182</v>
      </c>
      <c r="G1092" s="7">
        <f t="shared" si="82"/>
        <v>4495.1574539537269</v>
      </c>
      <c r="H1092" s="8">
        <f t="shared" si="83"/>
        <v>4816.2401292361365</v>
      </c>
      <c r="I1092" s="9">
        <f t="shared" si="84"/>
        <v>5137.322804518546</v>
      </c>
    </row>
    <row r="1093" spans="1:9" x14ac:dyDescent="0.35">
      <c r="A1093" s="28" t="s">
        <v>3967</v>
      </c>
      <c r="B1093" s="28" t="s">
        <v>3972</v>
      </c>
      <c r="C1093" s="29">
        <v>45731</v>
      </c>
      <c r="D1093" s="11">
        <v>3528.6365229570006</v>
      </c>
      <c r="E1093" s="27">
        <f t="shared" si="80"/>
        <v>3928.0781773557333</v>
      </c>
      <c r="F1093" s="6">
        <f t="shared" si="81"/>
        <v>5106.5016305624531</v>
      </c>
      <c r="G1093" s="7">
        <f t="shared" si="82"/>
        <v>5499.3094482980259</v>
      </c>
      <c r="H1093" s="8">
        <f t="shared" si="83"/>
        <v>5892.1172660335997</v>
      </c>
      <c r="I1093" s="9">
        <f t="shared" si="84"/>
        <v>6284.9250837691734</v>
      </c>
    </row>
    <row r="1094" spans="1:9" x14ac:dyDescent="0.35">
      <c r="A1094" s="28"/>
      <c r="B1094" s="28"/>
      <c r="C1094" s="29">
        <v>45731</v>
      </c>
      <c r="D1094" s="11">
        <v>0</v>
      </c>
      <c r="E1094" s="27">
        <f t="shared" si="80"/>
        <v>0</v>
      </c>
      <c r="F1094" s="6">
        <f t="shared" si="81"/>
        <v>0</v>
      </c>
      <c r="G1094" s="7">
        <f t="shared" si="82"/>
        <v>0</v>
      </c>
      <c r="H1094" s="8">
        <f t="shared" si="83"/>
        <v>0</v>
      </c>
      <c r="I1094" s="9">
        <f t="shared" si="84"/>
        <v>0</v>
      </c>
    </row>
    <row r="1095" spans="1:9" x14ac:dyDescent="0.35">
      <c r="A1095" s="28" t="s">
        <v>3973</v>
      </c>
      <c r="B1095" s="28" t="s">
        <v>3981</v>
      </c>
      <c r="C1095" s="29">
        <v>45731</v>
      </c>
      <c r="D1095" s="11">
        <v>1259.270667018</v>
      </c>
      <c r="E1095" s="27">
        <f t="shared" si="80"/>
        <v>1401.8201065244375</v>
      </c>
      <c r="F1095" s="6">
        <f t="shared" si="81"/>
        <v>1822.3661384817688</v>
      </c>
      <c r="G1095" s="7">
        <f t="shared" si="82"/>
        <v>1962.5481491342123</v>
      </c>
      <c r="H1095" s="8">
        <f t="shared" si="83"/>
        <v>2102.7301597866563</v>
      </c>
      <c r="I1095" s="9">
        <f t="shared" si="84"/>
        <v>2242.9121704391</v>
      </c>
    </row>
    <row r="1096" spans="1:9" x14ac:dyDescent="0.35">
      <c r="A1096" s="28" t="s">
        <v>3974</v>
      </c>
      <c r="B1096" s="28" t="s">
        <v>3982</v>
      </c>
      <c r="C1096" s="29">
        <v>45731</v>
      </c>
      <c r="D1096" s="11">
        <v>1380.112828731</v>
      </c>
      <c r="E1096" s="27">
        <f t="shared" si="80"/>
        <v>1536.3416009433492</v>
      </c>
      <c r="F1096" s="6">
        <f t="shared" si="81"/>
        <v>1997.2440812263542</v>
      </c>
      <c r="G1096" s="7">
        <f t="shared" si="82"/>
        <v>2150.8782413206886</v>
      </c>
      <c r="H1096" s="8">
        <f t="shared" si="83"/>
        <v>2304.5124014150238</v>
      </c>
      <c r="I1096" s="9">
        <f t="shared" si="84"/>
        <v>2458.1465615093589</v>
      </c>
    </row>
    <row r="1097" spans="1:9" x14ac:dyDescent="0.35">
      <c r="A1097" s="28" t="s">
        <v>3975</v>
      </c>
      <c r="B1097" s="28" t="s">
        <v>3983</v>
      </c>
      <c r="C1097" s="29">
        <v>45731</v>
      </c>
      <c r="D1097" s="11">
        <v>2058.4785017160002</v>
      </c>
      <c r="E1097" s="27">
        <f t="shared" si="80"/>
        <v>2291.498268110251</v>
      </c>
      <c r="F1097" s="6">
        <f t="shared" si="81"/>
        <v>2978.9477485433263</v>
      </c>
      <c r="G1097" s="7">
        <f t="shared" si="82"/>
        <v>3208.0975753543512</v>
      </c>
      <c r="H1097" s="8">
        <f t="shared" si="83"/>
        <v>3437.2474021653766</v>
      </c>
      <c r="I1097" s="9">
        <f t="shared" si="84"/>
        <v>3666.3972289764019</v>
      </c>
    </row>
    <row r="1098" spans="1:9" x14ac:dyDescent="0.35">
      <c r="A1098" s="28" t="s">
        <v>3976</v>
      </c>
      <c r="B1098" s="28" t="s">
        <v>3984</v>
      </c>
      <c r="C1098" s="29">
        <v>45731</v>
      </c>
      <c r="D1098" s="11">
        <v>3447.5958496980002</v>
      </c>
      <c r="E1098" s="27">
        <f t="shared" si="80"/>
        <v>3837.8636998838138</v>
      </c>
      <c r="F1098" s="6">
        <f t="shared" si="81"/>
        <v>4989.2228098489577</v>
      </c>
      <c r="G1098" s="7">
        <f t="shared" si="82"/>
        <v>5373.0091798373387</v>
      </c>
      <c r="H1098" s="8">
        <f t="shared" si="83"/>
        <v>5756.7955498257206</v>
      </c>
      <c r="I1098" s="9">
        <f t="shared" si="84"/>
        <v>6140.5819198141025</v>
      </c>
    </row>
    <row r="1099" spans="1:9" x14ac:dyDescent="0.35">
      <c r="A1099" s="28" t="s">
        <v>3977</v>
      </c>
      <c r="B1099" s="28" t="s">
        <v>3985</v>
      </c>
      <c r="C1099" s="29">
        <v>45731</v>
      </c>
      <c r="D1099" s="11">
        <v>9455.8802369850018</v>
      </c>
      <c r="E1099" s="27">
        <f t="shared" si="80"/>
        <v>10526.285879811705</v>
      </c>
      <c r="F1099" s="6">
        <f t="shared" si="81"/>
        <v>13684.171643755217</v>
      </c>
      <c r="G1099" s="7">
        <f t="shared" si="82"/>
        <v>14736.800231736386</v>
      </c>
      <c r="H1099" s="8">
        <f t="shared" si="83"/>
        <v>15789.428819717557</v>
      </c>
      <c r="I1099" s="9">
        <f t="shared" si="84"/>
        <v>16842.057407698729</v>
      </c>
    </row>
    <row r="1100" spans="1:9" x14ac:dyDescent="0.35">
      <c r="A1100" s="28" t="s">
        <v>3978</v>
      </c>
      <c r="B1100" s="28" t="s">
        <v>3986</v>
      </c>
      <c r="C1100" s="29">
        <v>45731</v>
      </c>
      <c r="D1100" s="11">
        <v>13751.792602002002</v>
      </c>
      <c r="E1100" s="27">
        <f t="shared" ref="E1100:E1163" si="85">D1100*1.21*0.92</f>
        <v>15308.495524548631</v>
      </c>
      <c r="F1100" s="6">
        <f t="shared" si="81"/>
        <v>19901.044181913221</v>
      </c>
      <c r="G1100" s="7">
        <f t="shared" si="82"/>
        <v>21431.893734368081</v>
      </c>
      <c r="H1100" s="8">
        <f t="shared" si="83"/>
        <v>22962.743286822944</v>
      </c>
      <c r="I1100" s="9">
        <f t="shared" si="84"/>
        <v>24493.592839277811</v>
      </c>
    </row>
    <row r="1101" spans="1:9" x14ac:dyDescent="0.35">
      <c r="A1101" s="28" t="s">
        <v>3979</v>
      </c>
      <c r="B1101" s="28" t="s">
        <v>3987</v>
      </c>
      <c r="C1101" s="29">
        <v>45731</v>
      </c>
      <c r="D1101" s="11">
        <v>18493.617840516003</v>
      </c>
      <c r="E1101" s="27">
        <f t="shared" si="85"/>
        <v>20587.095380062416</v>
      </c>
      <c r="F1101" s="6">
        <f t="shared" si="81"/>
        <v>26763.223994081141</v>
      </c>
      <c r="G1101" s="7">
        <f t="shared" si="82"/>
        <v>28821.93353208738</v>
      </c>
      <c r="H1101" s="8">
        <f t="shared" si="83"/>
        <v>30880.643070093625</v>
      </c>
      <c r="I1101" s="9">
        <f t="shared" si="84"/>
        <v>32939.352608099864</v>
      </c>
    </row>
    <row r="1102" spans="1:9" x14ac:dyDescent="0.35">
      <c r="A1102" s="28" t="s">
        <v>3980</v>
      </c>
      <c r="B1102" s="28" t="s">
        <v>3988</v>
      </c>
      <c r="C1102" s="29">
        <v>45731</v>
      </c>
      <c r="D1102" s="11">
        <v>1837.1489318909998</v>
      </c>
      <c r="E1102" s="27">
        <f t="shared" si="85"/>
        <v>2045.114190981061</v>
      </c>
      <c r="F1102" s="6">
        <f t="shared" si="81"/>
        <v>2658.6484482753795</v>
      </c>
      <c r="G1102" s="7">
        <f t="shared" si="82"/>
        <v>2863.1598673734852</v>
      </c>
      <c r="H1102" s="8">
        <f t="shared" si="83"/>
        <v>3067.6712864715914</v>
      </c>
      <c r="I1102" s="9">
        <f t="shared" si="84"/>
        <v>3272.1827055696976</v>
      </c>
    </row>
    <row r="1103" spans="1:9" x14ac:dyDescent="0.35">
      <c r="A1103" s="28" t="s">
        <v>3989</v>
      </c>
      <c r="B1103" s="28" t="s">
        <v>3990</v>
      </c>
      <c r="C1103" s="29">
        <v>45731</v>
      </c>
      <c r="D1103" s="11">
        <v>3694.3499444670001</v>
      </c>
      <c r="E1103" s="27">
        <f t="shared" si="85"/>
        <v>4112.5503581806652</v>
      </c>
      <c r="F1103" s="6">
        <f t="shared" si="81"/>
        <v>5346.3154656348652</v>
      </c>
      <c r="G1103" s="7">
        <f t="shared" si="82"/>
        <v>5757.5705014529312</v>
      </c>
      <c r="H1103" s="8">
        <f t="shared" si="83"/>
        <v>6168.8255372709973</v>
      </c>
      <c r="I1103" s="9">
        <f t="shared" si="84"/>
        <v>6580.0805730890643</v>
      </c>
    </row>
    <row r="1104" spans="1:9" x14ac:dyDescent="0.35">
      <c r="A1104" s="28" t="s">
        <v>3820</v>
      </c>
      <c r="B1104" s="28" t="s">
        <v>3991</v>
      </c>
      <c r="C1104" s="29">
        <v>45731</v>
      </c>
      <c r="D1104" s="11">
        <v>2069.4503949210002</v>
      </c>
      <c r="E1104" s="27">
        <f t="shared" si="85"/>
        <v>2303.7121796260572</v>
      </c>
      <c r="F1104" s="6">
        <f t="shared" si="81"/>
        <v>2994.8258335138744</v>
      </c>
      <c r="G1104" s="7">
        <f t="shared" si="82"/>
        <v>3225.1970514764798</v>
      </c>
      <c r="H1104" s="8">
        <f t="shared" si="83"/>
        <v>3455.5682694390857</v>
      </c>
      <c r="I1104" s="9">
        <f t="shared" si="84"/>
        <v>3685.9394874016916</v>
      </c>
    </row>
    <row r="1105" spans="1:9" x14ac:dyDescent="0.35">
      <c r="A1105" s="28" t="s">
        <v>3992</v>
      </c>
      <c r="B1105" s="28" t="s">
        <v>3993</v>
      </c>
      <c r="C1105" s="29">
        <v>45731</v>
      </c>
      <c r="D1105" s="11">
        <v>1673.7812254799999</v>
      </c>
      <c r="E1105" s="27">
        <f t="shared" si="85"/>
        <v>1863.2532602043359</v>
      </c>
      <c r="F1105" s="6">
        <f t="shared" si="81"/>
        <v>2422.2292382656369</v>
      </c>
      <c r="G1105" s="7">
        <f t="shared" si="82"/>
        <v>2608.5545642860702</v>
      </c>
      <c r="H1105" s="8">
        <f t="shared" si="83"/>
        <v>2794.879890306504</v>
      </c>
      <c r="I1105" s="9">
        <f t="shared" si="84"/>
        <v>2981.2052163269377</v>
      </c>
    </row>
    <row r="1106" spans="1:9" x14ac:dyDescent="0.35">
      <c r="A1106" s="28"/>
      <c r="B1106" s="28"/>
      <c r="C1106" s="29">
        <v>45731</v>
      </c>
      <c r="D1106" s="11">
        <v>0</v>
      </c>
      <c r="E1106" s="27">
        <f t="shared" si="85"/>
        <v>0</v>
      </c>
      <c r="F1106" s="6">
        <f t="shared" si="81"/>
        <v>0</v>
      </c>
      <c r="G1106" s="7">
        <f t="shared" si="82"/>
        <v>0</v>
      </c>
      <c r="H1106" s="8">
        <f t="shared" si="83"/>
        <v>0</v>
      </c>
      <c r="I1106" s="9">
        <f t="shared" si="84"/>
        <v>0</v>
      </c>
    </row>
    <row r="1107" spans="1:9" x14ac:dyDescent="0.35">
      <c r="A1107" s="28" t="s">
        <v>3994</v>
      </c>
      <c r="B1107" s="28" t="s">
        <v>3998</v>
      </c>
      <c r="C1107" s="29">
        <v>45731</v>
      </c>
      <c r="D1107" s="11">
        <v>2264.9770986570002</v>
      </c>
      <c r="E1107" s="27">
        <f t="shared" si="85"/>
        <v>2521.3725062249723</v>
      </c>
      <c r="F1107" s="6">
        <f t="shared" si="81"/>
        <v>3277.7842580924639</v>
      </c>
      <c r="G1107" s="7">
        <f t="shared" si="82"/>
        <v>3529.921508714961</v>
      </c>
      <c r="H1107" s="8">
        <f t="shared" si="83"/>
        <v>3782.0587593374585</v>
      </c>
      <c r="I1107" s="9">
        <f t="shared" si="84"/>
        <v>4034.196009959956</v>
      </c>
    </row>
    <row r="1108" spans="1:9" x14ac:dyDescent="0.35">
      <c r="A1108" s="28" t="s">
        <v>3995</v>
      </c>
      <c r="B1108" s="28" t="s">
        <v>3999</v>
      </c>
      <c r="C1108" s="29">
        <v>45731</v>
      </c>
      <c r="D1108" s="11">
        <v>3165.3533555280001</v>
      </c>
      <c r="E1108" s="27">
        <f t="shared" si="85"/>
        <v>3523.6713553737695</v>
      </c>
      <c r="F1108" s="6">
        <f t="shared" si="81"/>
        <v>4580.7727619859006</v>
      </c>
      <c r="G1108" s="7">
        <f t="shared" si="82"/>
        <v>4933.1398975232769</v>
      </c>
      <c r="H1108" s="8">
        <f t="shared" si="83"/>
        <v>5285.5070330606541</v>
      </c>
      <c r="I1108" s="9">
        <f t="shared" si="84"/>
        <v>5637.8741685980312</v>
      </c>
    </row>
    <row r="1109" spans="1:9" x14ac:dyDescent="0.35">
      <c r="A1109" s="28" t="s">
        <v>3996</v>
      </c>
      <c r="B1109" s="28" t="s">
        <v>4000</v>
      </c>
      <c r="C1109" s="29">
        <v>45731</v>
      </c>
      <c r="D1109" s="11">
        <v>4725.7079057370011</v>
      </c>
      <c r="E1109" s="27">
        <f t="shared" si="85"/>
        <v>5260.6580406664298</v>
      </c>
      <c r="F1109" s="6">
        <f t="shared" si="81"/>
        <v>6838.855452866359</v>
      </c>
      <c r="G1109" s="7">
        <f t="shared" si="82"/>
        <v>7364.9212569330011</v>
      </c>
      <c r="H1109" s="8">
        <f t="shared" si="83"/>
        <v>7890.9870609996451</v>
      </c>
      <c r="I1109" s="9">
        <f t="shared" si="84"/>
        <v>8417.0528650662873</v>
      </c>
    </row>
    <row r="1110" spans="1:9" x14ac:dyDescent="0.35">
      <c r="A1110" s="28" t="s">
        <v>3997</v>
      </c>
      <c r="B1110" s="28" t="s">
        <v>4001</v>
      </c>
      <c r="C1110" s="29">
        <v>45731</v>
      </c>
      <c r="D1110" s="11">
        <v>4617.2753335800007</v>
      </c>
      <c r="E1110" s="27">
        <f t="shared" si="85"/>
        <v>5139.9509013412571</v>
      </c>
      <c r="F1110" s="6">
        <f t="shared" si="81"/>
        <v>6681.9361717436341</v>
      </c>
      <c r="G1110" s="7">
        <f t="shared" si="82"/>
        <v>7195.9312618777594</v>
      </c>
      <c r="H1110" s="8">
        <f t="shared" si="83"/>
        <v>7709.9263520118857</v>
      </c>
      <c r="I1110" s="9">
        <f t="shared" si="84"/>
        <v>8223.921442146011</v>
      </c>
    </row>
    <row r="1111" spans="1:9" x14ac:dyDescent="0.35">
      <c r="A1111" s="28"/>
      <c r="B1111" s="28"/>
      <c r="C1111" s="29">
        <v>45731</v>
      </c>
      <c r="D1111" s="11">
        <v>0</v>
      </c>
      <c r="E1111" s="27">
        <f t="shared" si="85"/>
        <v>0</v>
      </c>
      <c r="F1111" s="6">
        <f t="shared" si="81"/>
        <v>0</v>
      </c>
      <c r="G1111" s="7">
        <f t="shared" si="82"/>
        <v>0</v>
      </c>
      <c r="H1111" s="8">
        <f t="shared" si="83"/>
        <v>0</v>
      </c>
      <c r="I1111" s="9">
        <f t="shared" si="84"/>
        <v>0</v>
      </c>
    </row>
    <row r="1112" spans="1:9" x14ac:dyDescent="0.35">
      <c r="A1112" s="28" t="s">
        <v>4002</v>
      </c>
      <c r="B1112" s="28" t="s">
        <v>4006</v>
      </c>
      <c r="C1112" s="29">
        <v>45731</v>
      </c>
      <c r="D1112" s="11">
        <v>2173.1915368800001</v>
      </c>
      <c r="E1112" s="27">
        <f t="shared" si="85"/>
        <v>2419.1968188548158</v>
      </c>
      <c r="F1112" s="6">
        <f t="shared" si="81"/>
        <v>3144.9558645112606</v>
      </c>
      <c r="G1112" s="7">
        <f t="shared" si="82"/>
        <v>3386.8755463967418</v>
      </c>
      <c r="H1112" s="8">
        <f t="shared" si="83"/>
        <v>3628.7952282822234</v>
      </c>
      <c r="I1112" s="9">
        <f t="shared" si="84"/>
        <v>3870.7149101677055</v>
      </c>
    </row>
    <row r="1113" spans="1:9" x14ac:dyDescent="0.35">
      <c r="A1113" s="28" t="s">
        <v>4003</v>
      </c>
      <c r="B1113" s="28" t="s">
        <v>4007</v>
      </c>
      <c r="C1113" s="29">
        <v>45731</v>
      </c>
      <c r="D1113" s="11">
        <v>2188.7943256998001</v>
      </c>
      <c r="E1113" s="27">
        <f t="shared" si="85"/>
        <v>2436.5658433690178</v>
      </c>
      <c r="F1113" s="6">
        <f t="shared" si="81"/>
        <v>3167.5355963797233</v>
      </c>
      <c r="G1113" s="7">
        <f t="shared" si="82"/>
        <v>3411.1921807166245</v>
      </c>
      <c r="H1113" s="8">
        <f t="shared" si="83"/>
        <v>3654.8487650535267</v>
      </c>
      <c r="I1113" s="9">
        <f t="shared" si="84"/>
        <v>3898.5053493904288</v>
      </c>
    </row>
    <row r="1114" spans="1:9" x14ac:dyDescent="0.35">
      <c r="A1114" s="28" t="s">
        <v>4004</v>
      </c>
      <c r="B1114" s="28" t="s">
        <v>4008</v>
      </c>
      <c r="C1114" s="29">
        <v>45731</v>
      </c>
      <c r="D1114" s="11">
        <v>2757.0475918440002</v>
      </c>
      <c r="E1114" s="27">
        <f t="shared" si="85"/>
        <v>3069.145379240741</v>
      </c>
      <c r="F1114" s="6">
        <f t="shared" si="81"/>
        <v>3989.8889930129635</v>
      </c>
      <c r="G1114" s="7">
        <f t="shared" si="82"/>
        <v>4296.8035309370371</v>
      </c>
      <c r="H1114" s="8">
        <f t="shared" si="83"/>
        <v>4603.7180688611115</v>
      </c>
      <c r="I1114" s="9">
        <f t="shared" si="84"/>
        <v>4910.632606785186</v>
      </c>
    </row>
    <row r="1115" spans="1:9" x14ac:dyDescent="0.35">
      <c r="A1115" s="28" t="s">
        <v>4005</v>
      </c>
      <c r="B1115" s="28" t="s">
        <v>4009</v>
      </c>
      <c r="C1115" s="29">
        <v>45731</v>
      </c>
      <c r="D1115" s="11">
        <v>3824.045288973</v>
      </c>
      <c r="E1115" s="27">
        <f t="shared" si="85"/>
        <v>4256.9272156847437</v>
      </c>
      <c r="F1115" s="6">
        <f t="shared" si="81"/>
        <v>5534.0053803901674</v>
      </c>
      <c r="G1115" s="7">
        <f t="shared" si="82"/>
        <v>5959.698101958641</v>
      </c>
      <c r="H1115" s="8">
        <f t="shared" si="83"/>
        <v>6385.3908235271156</v>
      </c>
      <c r="I1115" s="9">
        <f t="shared" si="84"/>
        <v>6811.0835450955901</v>
      </c>
    </row>
    <row r="1116" spans="1:9" x14ac:dyDescent="0.35">
      <c r="A1116" s="28" t="s">
        <v>3954</v>
      </c>
      <c r="B1116" s="28" t="s">
        <v>4010</v>
      </c>
      <c r="C1116" s="29">
        <v>45731</v>
      </c>
      <c r="D1116" s="11">
        <v>4093.0458430680001</v>
      </c>
      <c r="E1116" s="27">
        <f t="shared" si="85"/>
        <v>4556.3786325032979</v>
      </c>
      <c r="F1116" s="6">
        <f t="shared" si="81"/>
        <v>5923.2922222542875</v>
      </c>
      <c r="G1116" s="7">
        <f t="shared" si="82"/>
        <v>6378.9300855046167</v>
      </c>
      <c r="H1116" s="8">
        <f t="shared" si="83"/>
        <v>6834.5679487549469</v>
      </c>
      <c r="I1116" s="9">
        <f t="shared" si="84"/>
        <v>7290.205812005277</v>
      </c>
    </row>
    <row r="1117" spans="1:9" x14ac:dyDescent="0.35">
      <c r="A1117" s="28"/>
      <c r="B1117" s="28"/>
      <c r="C1117" s="29">
        <v>45731</v>
      </c>
      <c r="D1117" s="11">
        <v>0</v>
      </c>
      <c r="E1117" s="27">
        <f t="shared" si="85"/>
        <v>0</v>
      </c>
      <c r="F1117" s="6">
        <f t="shared" si="81"/>
        <v>0</v>
      </c>
      <c r="G1117" s="7">
        <f t="shared" si="82"/>
        <v>0</v>
      </c>
      <c r="H1117" s="8">
        <f t="shared" si="83"/>
        <v>0</v>
      </c>
      <c r="I1117" s="9">
        <f t="shared" si="84"/>
        <v>0</v>
      </c>
    </row>
    <row r="1118" spans="1:9" x14ac:dyDescent="0.35">
      <c r="A1118" s="28" t="s">
        <v>4011</v>
      </c>
      <c r="B1118" s="28" t="s">
        <v>4012</v>
      </c>
      <c r="C1118" s="29">
        <v>45731</v>
      </c>
      <c r="D1118" s="11">
        <v>1470.2336894699999</v>
      </c>
      <c r="E1118" s="27">
        <f t="shared" si="85"/>
        <v>1636.6641431180039</v>
      </c>
      <c r="F1118" s="6">
        <f t="shared" si="81"/>
        <v>2127.6633860534052</v>
      </c>
      <c r="G1118" s="7">
        <f t="shared" si="82"/>
        <v>2291.3298003652053</v>
      </c>
      <c r="H1118" s="8">
        <f t="shared" si="83"/>
        <v>2454.9962146770058</v>
      </c>
      <c r="I1118" s="9">
        <f t="shared" si="84"/>
        <v>2618.6626289888063</v>
      </c>
    </row>
    <row r="1119" spans="1:9" x14ac:dyDescent="0.35">
      <c r="A1119" s="28"/>
      <c r="B1119" s="28"/>
      <c r="C1119" s="29">
        <v>45731</v>
      </c>
      <c r="D1119" s="11">
        <v>0</v>
      </c>
      <c r="E1119" s="27">
        <f t="shared" si="85"/>
        <v>0</v>
      </c>
      <c r="F1119" s="6">
        <f t="shared" si="81"/>
        <v>0</v>
      </c>
      <c r="G1119" s="7">
        <f t="shared" si="82"/>
        <v>0</v>
      </c>
      <c r="H1119" s="8">
        <f t="shared" si="83"/>
        <v>0</v>
      </c>
      <c r="I1119" s="9">
        <f t="shared" si="84"/>
        <v>0</v>
      </c>
    </row>
    <row r="1120" spans="1:9" x14ac:dyDescent="0.35">
      <c r="A1120" s="28" t="s">
        <v>4013</v>
      </c>
      <c r="B1120" s="28" t="s">
        <v>4014</v>
      </c>
      <c r="C1120" s="29">
        <v>45731</v>
      </c>
      <c r="D1120" s="11">
        <v>3710.0132678700006</v>
      </c>
      <c r="E1120" s="27">
        <f t="shared" si="85"/>
        <v>4129.9867697928848</v>
      </c>
      <c r="F1120" s="6">
        <f t="shared" si="81"/>
        <v>5368.9828007307506</v>
      </c>
      <c r="G1120" s="7">
        <f t="shared" si="82"/>
        <v>5781.9814777100382</v>
      </c>
      <c r="H1120" s="8">
        <f t="shared" si="83"/>
        <v>6194.9801546893268</v>
      </c>
      <c r="I1120" s="9">
        <f t="shared" si="84"/>
        <v>6607.9788316686163</v>
      </c>
    </row>
    <row r="1121" spans="1:9" x14ac:dyDescent="0.35">
      <c r="A1121" s="28"/>
      <c r="B1121" s="28"/>
      <c r="C1121" s="29">
        <v>45731</v>
      </c>
      <c r="D1121" s="11">
        <v>0</v>
      </c>
      <c r="E1121" s="27">
        <f t="shared" si="85"/>
        <v>0</v>
      </c>
      <c r="F1121" s="6">
        <f t="shared" si="81"/>
        <v>0</v>
      </c>
      <c r="G1121" s="7">
        <f t="shared" si="82"/>
        <v>0</v>
      </c>
      <c r="H1121" s="8">
        <f t="shared" si="83"/>
        <v>0</v>
      </c>
      <c r="I1121" s="9">
        <f t="shared" si="84"/>
        <v>0</v>
      </c>
    </row>
    <row r="1122" spans="1:9" x14ac:dyDescent="0.35">
      <c r="A1122" s="28" t="s">
        <v>4015</v>
      </c>
      <c r="B1122" s="28" t="s">
        <v>4021</v>
      </c>
      <c r="C1122" s="29">
        <v>45731</v>
      </c>
      <c r="D1122" s="11">
        <v>1349.9212053600002</v>
      </c>
      <c r="E1122" s="27">
        <f t="shared" si="85"/>
        <v>1502.7322858067521</v>
      </c>
      <c r="F1122" s="6">
        <f t="shared" si="81"/>
        <v>1953.5519715487778</v>
      </c>
      <c r="G1122" s="7">
        <f t="shared" si="82"/>
        <v>2103.8252001294527</v>
      </c>
      <c r="H1122" s="8">
        <f t="shared" si="83"/>
        <v>2254.0984287101282</v>
      </c>
      <c r="I1122" s="9">
        <f t="shared" si="84"/>
        <v>2404.3716572908033</v>
      </c>
    </row>
    <row r="1123" spans="1:9" x14ac:dyDescent="0.35">
      <c r="A1123" s="28" t="s">
        <v>4016</v>
      </c>
      <c r="B1123" s="28" t="s">
        <v>4022</v>
      </c>
      <c r="C1123" s="29">
        <v>45731</v>
      </c>
      <c r="D1123" s="11">
        <v>1837.8299459520003</v>
      </c>
      <c r="E1123" s="27">
        <f t="shared" si="85"/>
        <v>2045.8722958337669</v>
      </c>
      <c r="F1123" s="6">
        <f t="shared" si="81"/>
        <v>2659.633984583897</v>
      </c>
      <c r="G1123" s="7">
        <f t="shared" si="82"/>
        <v>2864.2212141672735</v>
      </c>
      <c r="H1123" s="8">
        <f t="shared" si="83"/>
        <v>3068.8084437506504</v>
      </c>
      <c r="I1123" s="9">
        <f t="shared" si="84"/>
        <v>3273.3956733340274</v>
      </c>
    </row>
    <row r="1124" spans="1:9" x14ac:dyDescent="0.35">
      <c r="A1124" s="28" t="s">
        <v>4017</v>
      </c>
      <c r="B1124" s="28" t="s">
        <v>4023</v>
      </c>
      <c r="C1124" s="29">
        <v>45731</v>
      </c>
      <c r="D1124" s="11">
        <v>2564.39628081</v>
      </c>
      <c r="E1124" s="27">
        <f t="shared" si="85"/>
        <v>2854.6859397976923</v>
      </c>
      <c r="F1124" s="6">
        <f t="shared" si="81"/>
        <v>3711.0917217370002</v>
      </c>
      <c r="G1124" s="7">
        <f t="shared" si="82"/>
        <v>3996.5603157167689</v>
      </c>
      <c r="H1124" s="8">
        <f t="shared" si="83"/>
        <v>4282.0289096965389</v>
      </c>
      <c r="I1124" s="9">
        <f t="shared" si="84"/>
        <v>4567.497503676308</v>
      </c>
    </row>
    <row r="1125" spans="1:9" x14ac:dyDescent="0.35">
      <c r="A1125" s="28" t="s">
        <v>4018</v>
      </c>
      <c r="B1125" s="28" t="s">
        <v>4024</v>
      </c>
      <c r="C1125" s="29">
        <v>45731</v>
      </c>
      <c r="D1125" s="11">
        <v>5532.709568022</v>
      </c>
      <c r="E1125" s="27">
        <f t="shared" si="85"/>
        <v>6159.0122911220906</v>
      </c>
      <c r="F1125" s="6">
        <f t="shared" si="81"/>
        <v>8006.7159784587184</v>
      </c>
      <c r="G1125" s="7">
        <f t="shared" si="82"/>
        <v>8622.6172075709255</v>
      </c>
      <c r="H1125" s="8">
        <f t="shared" si="83"/>
        <v>9238.5184366831363</v>
      </c>
      <c r="I1125" s="9">
        <f t="shared" si="84"/>
        <v>9854.4196657953453</v>
      </c>
    </row>
    <row r="1126" spans="1:9" x14ac:dyDescent="0.35">
      <c r="A1126" s="28" t="s">
        <v>4019</v>
      </c>
      <c r="B1126" s="28" t="s">
        <v>4025</v>
      </c>
      <c r="C1126" s="29">
        <v>45731</v>
      </c>
      <c r="D1126" s="11">
        <v>9924.039569808001</v>
      </c>
      <c r="E1126" s="27">
        <f t="shared" si="85"/>
        <v>11047.440849110268</v>
      </c>
      <c r="F1126" s="6">
        <f t="shared" si="81"/>
        <v>14361.673103843348</v>
      </c>
      <c r="G1126" s="7">
        <f t="shared" si="82"/>
        <v>15466.417188754374</v>
      </c>
      <c r="H1126" s="8">
        <f t="shared" si="83"/>
        <v>16571.161273665402</v>
      </c>
      <c r="I1126" s="9">
        <f t="shared" si="84"/>
        <v>17675.90535857643</v>
      </c>
    </row>
    <row r="1127" spans="1:9" x14ac:dyDescent="0.35">
      <c r="A1127" s="28" t="s">
        <v>4020</v>
      </c>
      <c r="B1127" s="28" t="s">
        <v>4026</v>
      </c>
      <c r="C1127" s="29">
        <v>45731</v>
      </c>
      <c r="D1127" s="11">
        <v>10805.4231012</v>
      </c>
      <c r="E1127" s="27">
        <f t="shared" si="85"/>
        <v>12028.596996255839</v>
      </c>
      <c r="F1127" s="6">
        <f t="shared" si="81"/>
        <v>15637.176095132592</v>
      </c>
      <c r="G1127" s="7">
        <f t="shared" si="82"/>
        <v>16840.035794758172</v>
      </c>
      <c r="H1127" s="8">
        <f t="shared" si="83"/>
        <v>18042.89549438376</v>
      </c>
      <c r="I1127" s="9">
        <f t="shared" si="84"/>
        <v>19245.755194009344</v>
      </c>
    </row>
    <row r="1128" spans="1:9" x14ac:dyDescent="0.35">
      <c r="A1128" s="28"/>
      <c r="B1128" s="28"/>
      <c r="C1128" s="29">
        <v>45731</v>
      </c>
      <c r="D1128" s="11">
        <v>0</v>
      </c>
      <c r="E1128" s="27">
        <f t="shared" si="85"/>
        <v>0</v>
      </c>
      <c r="F1128" s="6">
        <f t="shared" si="81"/>
        <v>0</v>
      </c>
      <c r="G1128" s="7">
        <f t="shared" si="82"/>
        <v>0</v>
      </c>
      <c r="H1128" s="8">
        <f t="shared" si="83"/>
        <v>0</v>
      </c>
      <c r="I1128" s="9">
        <f t="shared" si="84"/>
        <v>0</v>
      </c>
    </row>
    <row r="1129" spans="1:9" x14ac:dyDescent="0.35">
      <c r="A1129" s="28" t="s">
        <v>4027</v>
      </c>
      <c r="B1129" s="28" t="s">
        <v>4033</v>
      </c>
      <c r="C1129" s="29">
        <v>45731</v>
      </c>
      <c r="D1129" s="11">
        <v>1548.5503064850002</v>
      </c>
      <c r="E1129" s="27">
        <f t="shared" si="85"/>
        <v>1723.8462011791023</v>
      </c>
      <c r="F1129" s="6">
        <f t="shared" si="81"/>
        <v>2241.0000615328331</v>
      </c>
      <c r="G1129" s="7">
        <f t="shared" si="82"/>
        <v>2413.384681650743</v>
      </c>
      <c r="H1129" s="8">
        <f t="shared" si="83"/>
        <v>2585.7693017686533</v>
      </c>
      <c r="I1129" s="9">
        <f t="shared" si="84"/>
        <v>2758.1539218865637</v>
      </c>
    </row>
    <row r="1130" spans="1:9" x14ac:dyDescent="0.35">
      <c r="A1130" s="28" t="s">
        <v>4028</v>
      </c>
      <c r="B1130" s="28" t="s">
        <v>4034</v>
      </c>
      <c r="C1130" s="29">
        <v>45731</v>
      </c>
      <c r="D1130" s="11">
        <v>2142.6972405930001</v>
      </c>
      <c r="E1130" s="27">
        <f t="shared" si="85"/>
        <v>2385.2505682281276</v>
      </c>
      <c r="F1130" s="6">
        <f t="shared" si="81"/>
        <v>3100.8257386965661</v>
      </c>
      <c r="G1130" s="7">
        <f t="shared" si="82"/>
        <v>3339.3507955193786</v>
      </c>
      <c r="H1130" s="8">
        <f t="shared" si="83"/>
        <v>3577.8758523421911</v>
      </c>
      <c r="I1130" s="9">
        <f t="shared" si="84"/>
        <v>3816.4009091650041</v>
      </c>
    </row>
    <row r="1131" spans="1:9" x14ac:dyDescent="0.35">
      <c r="A1131" s="28" t="s">
        <v>4029</v>
      </c>
      <c r="B1131" s="28" t="s">
        <v>4035</v>
      </c>
      <c r="C1131" s="29">
        <v>45731</v>
      </c>
      <c r="D1131" s="11">
        <v>2981.0255496839995</v>
      </c>
      <c r="E1131" s="27">
        <f t="shared" si="85"/>
        <v>3318.4776419082286</v>
      </c>
      <c r="F1131" s="6">
        <f t="shared" si="81"/>
        <v>4314.0209344806972</v>
      </c>
      <c r="G1131" s="7">
        <f t="shared" si="82"/>
        <v>4645.8686986715202</v>
      </c>
      <c r="H1131" s="8">
        <f t="shared" si="83"/>
        <v>4977.7164628623432</v>
      </c>
      <c r="I1131" s="9">
        <f t="shared" si="84"/>
        <v>5309.5642270531662</v>
      </c>
    </row>
    <row r="1132" spans="1:9" x14ac:dyDescent="0.35">
      <c r="A1132" s="28" t="s">
        <v>4030</v>
      </c>
      <c r="B1132" s="28" t="s">
        <v>4036</v>
      </c>
      <c r="C1132" s="29">
        <v>45731</v>
      </c>
      <c r="D1132" s="11">
        <v>6444.0577180980008</v>
      </c>
      <c r="E1132" s="27">
        <f t="shared" si="85"/>
        <v>7173.5250517866943</v>
      </c>
      <c r="F1132" s="6">
        <f t="shared" si="81"/>
        <v>9325.5825673227027</v>
      </c>
      <c r="G1132" s="7">
        <f t="shared" si="82"/>
        <v>10042.935072501372</v>
      </c>
      <c r="H1132" s="8">
        <f t="shared" si="83"/>
        <v>10760.287577680041</v>
      </c>
      <c r="I1132" s="9">
        <f t="shared" si="84"/>
        <v>11477.640082858712</v>
      </c>
    </row>
    <row r="1133" spans="1:9" x14ac:dyDescent="0.35">
      <c r="A1133" s="28" t="s">
        <v>4031</v>
      </c>
      <c r="B1133" s="28" t="s">
        <v>4037</v>
      </c>
      <c r="C1133" s="29">
        <v>45731</v>
      </c>
      <c r="D1133" s="11">
        <v>11567.856176604002</v>
      </c>
      <c r="E1133" s="27">
        <f t="shared" si="85"/>
        <v>12877.337495795577</v>
      </c>
      <c r="F1133" s="6">
        <f t="shared" si="81"/>
        <v>16740.538744534249</v>
      </c>
      <c r="G1133" s="7">
        <f t="shared" si="82"/>
        <v>18028.272494113808</v>
      </c>
      <c r="H1133" s="8">
        <f t="shared" si="83"/>
        <v>19316.006243693366</v>
      </c>
      <c r="I1133" s="9">
        <f t="shared" si="84"/>
        <v>20603.739993272924</v>
      </c>
    </row>
    <row r="1134" spans="1:9" x14ac:dyDescent="0.35">
      <c r="A1134" s="28" t="s">
        <v>4032</v>
      </c>
      <c r="B1134" s="28" t="s">
        <v>4038</v>
      </c>
      <c r="C1134" s="29">
        <v>45731</v>
      </c>
      <c r="D1134" s="11">
        <v>12602.240867033999</v>
      </c>
      <c r="E1134" s="27">
        <f t="shared" si="85"/>
        <v>14028.814533182249</v>
      </c>
      <c r="F1134" s="6">
        <f t="shared" si="81"/>
        <v>18237.458893136925</v>
      </c>
      <c r="G1134" s="7">
        <f t="shared" si="82"/>
        <v>19640.340346455148</v>
      </c>
      <c r="H1134" s="8">
        <f t="shared" si="83"/>
        <v>21043.221799773375</v>
      </c>
      <c r="I1134" s="9">
        <f t="shared" si="84"/>
        <v>22446.103253091598</v>
      </c>
    </row>
    <row r="1135" spans="1:9" x14ac:dyDescent="0.35">
      <c r="A1135" s="28"/>
      <c r="B1135" s="28"/>
      <c r="C1135" s="29">
        <v>45731</v>
      </c>
      <c r="D1135" s="11">
        <v>0</v>
      </c>
      <c r="E1135" s="27">
        <f t="shared" si="85"/>
        <v>0</v>
      </c>
      <c r="F1135" s="6">
        <f t="shared" si="81"/>
        <v>0</v>
      </c>
      <c r="G1135" s="7">
        <f t="shared" si="82"/>
        <v>0</v>
      </c>
      <c r="H1135" s="8">
        <f t="shared" si="83"/>
        <v>0</v>
      </c>
      <c r="I1135" s="9">
        <f t="shared" si="84"/>
        <v>0</v>
      </c>
    </row>
    <row r="1136" spans="1:9" x14ac:dyDescent="0.35">
      <c r="A1136" s="28" t="s">
        <v>4039</v>
      </c>
      <c r="B1136" s="28" t="s">
        <v>4042</v>
      </c>
      <c r="C1136" s="29">
        <v>45731</v>
      </c>
      <c r="D1136" s="11">
        <v>1600.8370527240002</v>
      </c>
      <c r="E1136" s="27">
        <f t="shared" si="85"/>
        <v>1782.0518070923572</v>
      </c>
      <c r="F1136" s="6">
        <f t="shared" si="81"/>
        <v>2316.6673492200644</v>
      </c>
      <c r="G1136" s="7">
        <f t="shared" si="82"/>
        <v>2494.8725299293001</v>
      </c>
      <c r="H1136" s="8">
        <f t="shared" si="83"/>
        <v>2673.0777106385358</v>
      </c>
      <c r="I1136" s="9">
        <f t="shared" si="84"/>
        <v>2851.2828913477715</v>
      </c>
    </row>
    <row r="1137" spans="1:9" x14ac:dyDescent="0.35">
      <c r="A1137" s="28" t="s">
        <v>4040</v>
      </c>
      <c r="B1137" s="28" t="s">
        <v>4043</v>
      </c>
      <c r="C1137" s="29">
        <v>45731</v>
      </c>
      <c r="D1137" s="11">
        <v>2268.3821689620004</v>
      </c>
      <c r="E1137" s="27">
        <f t="shared" si="85"/>
        <v>2525.1630304884989</v>
      </c>
      <c r="F1137" s="6">
        <f t="shared" ref="F1137:F1193" si="86">E1137*1.3</f>
        <v>3282.7119396350486</v>
      </c>
      <c r="G1137" s="7">
        <f t="shared" ref="G1137:G1193" si="87">E1137*1.4</f>
        <v>3535.2282426838983</v>
      </c>
      <c r="H1137" s="8">
        <f t="shared" ref="H1137:H1193" si="88">E1137*1.5</f>
        <v>3787.7445457327485</v>
      </c>
      <c r="I1137" s="9">
        <f t="shared" ref="I1137:I1193" si="89">E1137*1.6</f>
        <v>4040.2608487815983</v>
      </c>
    </row>
    <row r="1138" spans="1:9" x14ac:dyDescent="0.35">
      <c r="A1138" s="28" t="s">
        <v>4041</v>
      </c>
      <c r="B1138" s="28" t="s">
        <v>4044</v>
      </c>
      <c r="C1138" s="29">
        <v>45731</v>
      </c>
      <c r="D1138" s="11">
        <v>3094.6035614130005</v>
      </c>
      <c r="E1138" s="27">
        <f t="shared" si="85"/>
        <v>3444.9126845649521</v>
      </c>
      <c r="F1138" s="6">
        <f t="shared" si="86"/>
        <v>4478.386489934438</v>
      </c>
      <c r="G1138" s="7">
        <f t="shared" si="87"/>
        <v>4822.8777583909323</v>
      </c>
      <c r="H1138" s="8">
        <f t="shared" si="88"/>
        <v>5167.3690268474284</v>
      </c>
      <c r="I1138" s="9">
        <f t="shared" si="89"/>
        <v>5511.8602953039235</v>
      </c>
    </row>
    <row r="1139" spans="1:9" x14ac:dyDescent="0.35">
      <c r="A1139" s="28"/>
      <c r="B1139" s="28"/>
      <c r="C1139" s="29">
        <v>45731</v>
      </c>
      <c r="D1139" s="11">
        <v>0</v>
      </c>
      <c r="E1139" s="27">
        <f t="shared" si="85"/>
        <v>0</v>
      </c>
      <c r="F1139" s="6">
        <f t="shared" si="86"/>
        <v>0</v>
      </c>
      <c r="G1139" s="7">
        <f t="shared" si="87"/>
        <v>0</v>
      </c>
      <c r="H1139" s="8">
        <f t="shared" si="88"/>
        <v>0</v>
      </c>
      <c r="I1139" s="9">
        <f t="shared" si="89"/>
        <v>0</v>
      </c>
    </row>
    <row r="1140" spans="1:9" x14ac:dyDescent="0.35">
      <c r="A1140" s="28" t="s">
        <v>4045</v>
      </c>
      <c r="B1140" s="28" t="s">
        <v>4048</v>
      </c>
      <c r="C1140" s="29">
        <v>45731</v>
      </c>
      <c r="D1140" s="11">
        <v>9479.8670655780006</v>
      </c>
      <c r="E1140" s="27">
        <f t="shared" si="85"/>
        <v>10552.988017401431</v>
      </c>
      <c r="F1140" s="6">
        <f t="shared" si="86"/>
        <v>13718.884422621861</v>
      </c>
      <c r="G1140" s="7">
        <f t="shared" si="87"/>
        <v>14774.183224362001</v>
      </c>
      <c r="H1140" s="8">
        <f t="shared" si="88"/>
        <v>15829.482026102145</v>
      </c>
      <c r="I1140" s="9">
        <f t="shared" si="89"/>
        <v>16884.780827842289</v>
      </c>
    </row>
    <row r="1141" spans="1:9" x14ac:dyDescent="0.35">
      <c r="A1141" s="28" t="s">
        <v>4046</v>
      </c>
      <c r="B1141" s="28" t="s">
        <v>4049</v>
      </c>
      <c r="C1141" s="29">
        <v>45731</v>
      </c>
      <c r="D1141" s="11">
        <v>10090.888014753002</v>
      </c>
      <c r="E1141" s="27">
        <f t="shared" si="85"/>
        <v>11233.176538023041</v>
      </c>
      <c r="F1141" s="6">
        <f t="shared" si="86"/>
        <v>14603.129499429953</v>
      </c>
      <c r="G1141" s="7">
        <f t="shared" si="87"/>
        <v>15726.447153232257</v>
      </c>
      <c r="H1141" s="8">
        <f t="shared" si="88"/>
        <v>16849.76480703456</v>
      </c>
      <c r="I1141" s="9">
        <f t="shared" si="89"/>
        <v>17973.082460836868</v>
      </c>
    </row>
    <row r="1142" spans="1:9" x14ac:dyDescent="0.35">
      <c r="A1142" s="28" t="s">
        <v>4047</v>
      </c>
      <c r="B1142" s="28" t="s">
        <v>4050</v>
      </c>
      <c r="C1142" s="29">
        <v>45731</v>
      </c>
      <c r="D1142" s="11">
        <v>10951.008773796</v>
      </c>
      <c r="E1142" s="27">
        <f t="shared" si="85"/>
        <v>12190.662966989708</v>
      </c>
      <c r="F1142" s="6">
        <f t="shared" si="86"/>
        <v>15847.861857086622</v>
      </c>
      <c r="G1142" s="7">
        <f t="shared" si="87"/>
        <v>17066.92815378559</v>
      </c>
      <c r="H1142" s="8">
        <f t="shared" si="88"/>
        <v>18285.994450484563</v>
      </c>
      <c r="I1142" s="9">
        <f t="shared" si="89"/>
        <v>19505.060747183536</v>
      </c>
    </row>
    <row r="1143" spans="1:9" x14ac:dyDescent="0.35">
      <c r="A1143" s="28"/>
      <c r="B1143" s="28"/>
      <c r="C1143" s="29">
        <v>45731</v>
      </c>
      <c r="D1143" s="11">
        <v>0</v>
      </c>
      <c r="E1143" s="27">
        <f t="shared" si="85"/>
        <v>0</v>
      </c>
      <c r="F1143" s="6">
        <f t="shared" si="86"/>
        <v>0</v>
      </c>
      <c r="G1143" s="7">
        <f t="shared" si="87"/>
        <v>0</v>
      </c>
      <c r="H1143" s="8">
        <f t="shared" si="88"/>
        <v>0</v>
      </c>
      <c r="I1143" s="9">
        <f t="shared" si="89"/>
        <v>0</v>
      </c>
    </row>
    <row r="1144" spans="1:9" x14ac:dyDescent="0.35">
      <c r="A1144" s="28" t="s">
        <v>4051</v>
      </c>
      <c r="B1144" s="28" t="s">
        <v>4054</v>
      </c>
      <c r="C1144" s="29">
        <v>45731</v>
      </c>
      <c r="D1144" s="11">
        <v>5772.5778539520006</v>
      </c>
      <c r="E1144" s="27">
        <f t="shared" si="85"/>
        <v>6426.0336670193674</v>
      </c>
      <c r="F1144" s="6">
        <f t="shared" si="86"/>
        <v>8353.8437671251777</v>
      </c>
      <c r="G1144" s="7">
        <f t="shared" si="87"/>
        <v>8996.4471338271142</v>
      </c>
      <c r="H1144" s="8">
        <f t="shared" si="88"/>
        <v>9639.0505005290506</v>
      </c>
      <c r="I1144" s="9">
        <f t="shared" si="89"/>
        <v>10281.653867230989</v>
      </c>
    </row>
    <row r="1145" spans="1:9" x14ac:dyDescent="0.35">
      <c r="A1145" s="28" t="s">
        <v>4052</v>
      </c>
      <c r="B1145" s="28" t="s">
        <v>4055</v>
      </c>
      <c r="C1145" s="29">
        <v>45731</v>
      </c>
      <c r="D1145" s="11">
        <v>7272.2464845030017</v>
      </c>
      <c r="E1145" s="27">
        <f t="shared" si="85"/>
        <v>8095.4647865487414</v>
      </c>
      <c r="F1145" s="6">
        <f t="shared" si="86"/>
        <v>10524.104222513364</v>
      </c>
      <c r="G1145" s="7">
        <f t="shared" si="87"/>
        <v>11333.650701168237</v>
      </c>
      <c r="H1145" s="8">
        <f t="shared" si="88"/>
        <v>12143.197179823112</v>
      </c>
      <c r="I1145" s="9">
        <f t="shared" si="89"/>
        <v>12952.743658477986</v>
      </c>
    </row>
    <row r="1146" spans="1:9" x14ac:dyDescent="0.35">
      <c r="A1146" s="28" t="s">
        <v>4053</v>
      </c>
      <c r="B1146" s="28" t="s">
        <v>4056</v>
      </c>
      <c r="C1146" s="29">
        <v>45731</v>
      </c>
      <c r="D1146" s="11">
        <v>9719.8110197370006</v>
      </c>
      <c r="E1146" s="27">
        <f t="shared" si="85"/>
        <v>10820.093627171229</v>
      </c>
      <c r="F1146" s="6">
        <f t="shared" si="86"/>
        <v>14066.121715322599</v>
      </c>
      <c r="G1146" s="7">
        <f t="shared" si="87"/>
        <v>15148.13107803972</v>
      </c>
      <c r="H1146" s="8">
        <f t="shared" si="88"/>
        <v>16230.140440756844</v>
      </c>
      <c r="I1146" s="9">
        <f t="shared" si="89"/>
        <v>17312.149803473967</v>
      </c>
    </row>
    <row r="1147" spans="1:9" x14ac:dyDescent="0.35">
      <c r="A1147" s="28"/>
      <c r="B1147" s="28"/>
      <c r="C1147" s="29">
        <v>45731</v>
      </c>
      <c r="D1147" s="11">
        <v>0</v>
      </c>
      <c r="E1147" s="27">
        <f t="shared" si="85"/>
        <v>0</v>
      </c>
      <c r="F1147" s="6">
        <f t="shared" si="86"/>
        <v>0</v>
      </c>
      <c r="G1147" s="7">
        <f t="shared" si="87"/>
        <v>0</v>
      </c>
      <c r="H1147" s="8">
        <f t="shared" si="88"/>
        <v>0</v>
      </c>
      <c r="I1147" s="9">
        <f t="shared" si="89"/>
        <v>0</v>
      </c>
    </row>
    <row r="1148" spans="1:9" x14ac:dyDescent="0.35">
      <c r="A1148" s="28" t="s">
        <v>4057</v>
      </c>
      <c r="B1148" s="28" t="s">
        <v>4063</v>
      </c>
      <c r="C1148" s="29">
        <v>45731</v>
      </c>
      <c r="D1148" s="11">
        <v>4119.5297232180001</v>
      </c>
      <c r="E1148" s="27">
        <f t="shared" si="85"/>
        <v>4585.860487886278</v>
      </c>
      <c r="F1148" s="6">
        <f t="shared" si="86"/>
        <v>5961.6186342521614</v>
      </c>
      <c r="G1148" s="7">
        <f t="shared" si="87"/>
        <v>6420.204683040789</v>
      </c>
      <c r="H1148" s="8">
        <f t="shared" si="88"/>
        <v>6878.7907318294165</v>
      </c>
      <c r="I1148" s="9">
        <f t="shared" si="89"/>
        <v>7337.3767806180449</v>
      </c>
    </row>
    <row r="1149" spans="1:9" x14ac:dyDescent="0.35">
      <c r="A1149" s="28" t="s">
        <v>4058</v>
      </c>
      <c r="B1149" s="28" t="s">
        <v>4064</v>
      </c>
      <c r="C1149" s="29">
        <v>45731</v>
      </c>
      <c r="D1149" s="11">
        <v>5204.233785933</v>
      </c>
      <c r="E1149" s="27">
        <f t="shared" si="85"/>
        <v>5793.3530505006156</v>
      </c>
      <c r="F1149" s="6">
        <f t="shared" si="86"/>
        <v>7531.3589656508002</v>
      </c>
      <c r="G1149" s="7">
        <f t="shared" si="87"/>
        <v>8110.6942707008611</v>
      </c>
      <c r="H1149" s="8">
        <f t="shared" si="88"/>
        <v>8690.029575750923</v>
      </c>
      <c r="I1149" s="9">
        <f t="shared" si="89"/>
        <v>9269.3648808009857</v>
      </c>
    </row>
    <row r="1150" spans="1:9" x14ac:dyDescent="0.35">
      <c r="A1150" s="28" t="s">
        <v>4059</v>
      </c>
      <c r="B1150" s="28" t="s">
        <v>4065</v>
      </c>
      <c r="C1150" s="29">
        <v>45731</v>
      </c>
      <c r="D1150" s="11">
        <v>6938.7765993000003</v>
      </c>
      <c r="E1150" s="27">
        <f t="shared" si="85"/>
        <v>7724.2461103407595</v>
      </c>
      <c r="F1150" s="6">
        <f t="shared" si="86"/>
        <v>10041.519943442987</v>
      </c>
      <c r="G1150" s="7">
        <f t="shared" si="87"/>
        <v>10813.944554477062</v>
      </c>
      <c r="H1150" s="8">
        <f t="shared" si="88"/>
        <v>11586.36916551114</v>
      </c>
      <c r="I1150" s="9">
        <f t="shared" si="89"/>
        <v>12358.793776545215</v>
      </c>
    </row>
    <row r="1151" spans="1:9" x14ac:dyDescent="0.35">
      <c r="A1151" s="28" t="s">
        <v>4060</v>
      </c>
      <c r="B1151" s="28" t="s">
        <v>4066</v>
      </c>
      <c r="C1151" s="29">
        <v>45731</v>
      </c>
      <c r="D1151" s="11">
        <v>26138.303348157002</v>
      </c>
      <c r="E1151" s="27">
        <f t="shared" si="85"/>
        <v>29097.159287168375</v>
      </c>
      <c r="F1151" s="6">
        <f t="shared" si="86"/>
        <v>37826.307073318887</v>
      </c>
      <c r="G1151" s="7">
        <f t="shared" si="87"/>
        <v>40736.023002035719</v>
      </c>
      <c r="H1151" s="8">
        <f t="shared" si="88"/>
        <v>43645.738930752559</v>
      </c>
      <c r="I1151" s="9">
        <f t="shared" si="89"/>
        <v>46555.454859469406</v>
      </c>
    </row>
    <row r="1152" spans="1:9" x14ac:dyDescent="0.35">
      <c r="A1152" s="28" t="s">
        <v>4061</v>
      </c>
      <c r="B1152" s="28" t="s">
        <v>4067</v>
      </c>
      <c r="C1152" s="29">
        <v>45731</v>
      </c>
      <c r="D1152" s="11">
        <v>45135.039243293999</v>
      </c>
      <c r="E1152" s="27">
        <f t="shared" si="85"/>
        <v>50244.325685634882</v>
      </c>
      <c r="F1152" s="6">
        <f t="shared" si="86"/>
        <v>65317.623391325345</v>
      </c>
      <c r="G1152" s="7">
        <f t="shared" si="87"/>
        <v>70342.055959888836</v>
      </c>
      <c r="H1152" s="8">
        <f t="shared" si="88"/>
        <v>75366.488528452319</v>
      </c>
      <c r="I1152" s="9">
        <f t="shared" si="89"/>
        <v>80390.921097015816</v>
      </c>
    </row>
    <row r="1153" spans="1:9" x14ac:dyDescent="0.35">
      <c r="A1153" s="28" t="s">
        <v>4062</v>
      </c>
      <c r="B1153" s="28" t="s">
        <v>4068</v>
      </c>
      <c r="C1153" s="29">
        <v>45731</v>
      </c>
      <c r="D1153" s="11">
        <v>69642.162578898002</v>
      </c>
      <c r="E1153" s="27">
        <f t="shared" si="85"/>
        <v>77525.655382829253</v>
      </c>
      <c r="F1153" s="6">
        <f t="shared" si="86"/>
        <v>100783.35199767804</v>
      </c>
      <c r="G1153" s="7">
        <f t="shared" si="87"/>
        <v>108535.91753596095</v>
      </c>
      <c r="H1153" s="8">
        <f t="shared" si="88"/>
        <v>116288.48307424388</v>
      </c>
      <c r="I1153" s="9">
        <f t="shared" si="89"/>
        <v>124041.04861252681</v>
      </c>
    </row>
    <row r="1154" spans="1:9" x14ac:dyDescent="0.35">
      <c r="A1154" s="28"/>
      <c r="B1154" s="28"/>
      <c r="C1154" s="29">
        <v>45731</v>
      </c>
      <c r="D1154" s="11">
        <v>0</v>
      </c>
      <c r="E1154" s="27">
        <f t="shared" si="85"/>
        <v>0</v>
      </c>
      <c r="F1154" s="6">
        <f t="shared" si="86"/>
        <v>0</v>
      </c>
      <c r="G1154" s="7">
        <f t="shared" si="87"/>
        <v>0</v>
      </c>
      <c r="H1154" s="8">
        <f t="shared" si="88"/>
        <v>0</v>
      </c>
      <c r="I1154" s="9">
        <f t="shared" si="89"/>
        <v>0</v>
      </c>
    </row>
    <row r="1155" spans="1:9" x14ac:dyDescent="0.35">
      <c r="A1155" s="28" t="s">
        <v>4069</v>
      </c>
      <c r="B1155" s="28" t="s">
        <v>4072</v>
      </c>
      <c r="C1155" s="29">
        <v>45731</v>
      </c>
      <c r="D1155" s="11">
        <v>11402.672432697</v>
      </c>
      <c r="E1155" s="27">
        <f t="shared" si="85"/>
        <v>12693.4549520783</v>
      </c>
      <c r="F1155" s="6">
        <f t="shared" si="86"/>
        <v>16501.491437701792</v>
      </c>
      <c r="G1155" s="7">
        <f t="shared" si="87"/>
        <v>17770.83693290962</v>
      </c>
      <c r="H1155" s="8">
        <f t="shared" si="88"/>
        <v>19040.182428117449</v>
      </c>
      <c r="I1155" s="9">
        <f t="shared" si="89"/>
        <v>20309.52792332528</v>
      </c>
    </row>
    <row r="1156" spans="1:9" x14ac:dyDescent="0.35">
      <c r="A1156" s="28" t="s">
        <v>4070</v>
      </c>
      <c r="B1156" s="28" t="s">
        <v>4073</v>
      </c>
      <c r="C1156" s="29">
        <v>45731</v>
      </c>
      <c r="D1156" s="11">
        <v>12878.732575800001</v>
      </c>
      <c r="E1156" s="27">
        <f t="shared" si="85"/>
        <v>14336.605103380562</v>
      </c>
      <c r="F1156" s="6">
        <f t="shared" si="86"/>
        <v>18637.586634394731</v>
      </c>
      <c r="G1156" s="7">
        <f t="shared" si="87"/>
        <v>20071.247144732784</v>
      </c>
      <c r="H1156" s="8">
        <f t="shared" si="88"/>
        <v>21504.907655070841</v>
      </c>
      <c r="I1156" s="9">
        <f t="shared" si="89"/>
        <v>22938.568165408898</v>
      </c>
    </row>
    <row r="1157" spans="1:9" x14ac:dyDescent="0.35">
      <c r="A1157" s="28" t="s">
        <v>4071</v>
      </c>
      <c r="B1157" s="28" t="s">
        <v>4074</v>
      </c>
      <c r="C1157" s="29">
        <v>45731</v>
      </c>
      <c r="D1157" s="11">
        <v>15526.742249655001</v>
      </c>
      <c r="E1157" s="27">
        <f t="shared" si="85"/>
        <v>17284.369472315946</v>
      </c>
      <c r="F1157" s="6">
        <f t="shared" si="86"/>
        <v>22469.680314010729</v>
      </c>
      <c r="G1157" s="7">
        <f t="shared" si="87"/>
        <v>24198.117261242322</v>
      </c>
      <c r="H1157" s="8">
        <f t="shared" si="88"/>
        <v>25926.554208473921</v>
      </c>
      <c r="I1157" s="9">
        <f t="shared" si="89"/>
        <v>27654.991155705517</v>
      </c>
    </row>
    <row r="1158" spans="1:9" x14ac:dyDescent="0.35">
      <c r="A1158" s="28"/>
      <c r="B1158" s="28"/>
      <c r="C1158" s="29">
        <v>45731</v>
      </c>
      <c r="D1158" s="11">
        <v>0</v>
      </c>
      <c r="E1158" s="27">
        <f t="shared" si="85"/>
        <v>0</v>
      </c>
      <c r="F1158" s="6">
        <f t="shared" si="86"/>
        <v>0</v>
      </c>
      <c r="G1158" s="7">
        <f t="shared" si="87"/>
        <v>0</v>
      </c>
      <c r="H1158" s="8">
        <f t="shared" si="88"/>
        <v>0</v>
      </c>
      <c r="I1158" s="9">
        <f t="shared" si="89"/>
        <v>0</v>
      </c>
    </row>
    <row r="1159" spans="1:9" x14ac:dyDescent="0.35">
      <c r="A1159" s="28" t="s">
        <v>4075</v>
      </c>
      <c r="B1159" s="28" t="s">
        <v>4078</v>
      </c>
      <c r="C1159" s="29">
        <v>45731</v>
      </c>
      <c r="D1159" s="11">
        <v>14341.399442370001</v>
      </c>
      <c r="E1159" s="27">
        <f t="shared" si="85"/>
        <v>15964.845859246283</v>
      </c>
      <c r="F1159" s="6">
        <f t="shared" si="86"/>
        <v>20754.29961702017</v>
      </c>
      <c r="G1159" s="7">
        <f t="shared" si="87"/>
        <v>22350.784202944797</v>
      </c>
      <c r="H1159" s="8">
        <f t="shared" si="88"/>
        <v>23947.268788869424</v>
      </c>
      <c r="I1159" s="9">
        <f t="shared" si="89"/>
        <v>25543.753374794054</v>
      </c>
    </row>
    <row r="1160" spans="1:9" x14ac:dyDescent="0.35">
      <c r="A1160" s="28" t="s">
        <v>4076</v>
      </c>
      <c r="B1160" s="28" t="s">
        <v>4079</v>
      </c>
      <c r="C1160" s="29">
        <v>45731</v>
      </c>
      <c r="D1160" s="11">
        <v>14763.325487274</v>
      </c>
      <c r="E1160" s="27">
        <f t="shared" si="85"/>
        <v>16434.533932433416</v>
      </c>
      <c r="F1160" s="6">
        <f t="shared" si="86"/>
        <v>21364.894112163442</v>
      </c>
      <c r="G1160" s="7">
        <f t="shared" si="87"/>
        <v>23008.347505406782</v>
      </c>
      <c r="H1160" s="8">
        <f t="shared" si="88"/>
        <v>24651.800898650123</v>
      </c>
      <c r="I1160" s="9">
        <f t="shared" si="89"/>
        <v>26295.254291893467</v>
      </c>
    </row>
    <row r="1161" spans="1:9" x14ac:dyDescent="0.35">
      <c r="A1161" s="28" t="s">
        <v>4077</v>
      </c>
      <c r="B1161" s="28" t="s">
        <v>4080</v>
      </c>
      <c r="C1161" s="29">
        <v>45731</v>
      </c>
      <c r="D1161" s="11">
        <v>16661.387343509999</v>
      </c>
      <c r="E1161" s="27">
        <f t="shared" si="85"/>
        <v>18547.456390795331</v>
      </c>
      <c r="F1161" s="6">
        <f t="shared" si="86"/>
        <v>24111.693308033929</v>
      </c>
      <c r="G1161" s="7">
        <f t="shared" si="87"/>
        <v>25966.43894711346</v>
      </c>
      <c r="H1161" s="8">
        <f t="shared" si="88"/>
        <v>27821.184586192998</v>
      </c>
      <c r="I1161" s="9">
        <f t="shared" si="89"/>
        <v>29675.930225272532</v>
      </c>
    </row>
    <row r="1162" spans="1:9" x14ac:dyDescent="0.35">
      <c r="A1162" s="28"/>
      <c r="B1162" s="28"/>
      <c r="C1162" s="29">
        <v>45731</v>
      </c>
      <c r="D1162" s="11">
        <v>0</v>
      </c>
      <c r="E1162" s="27">
        <f t="shared" si="85"/>
        <v>0</v>
      </c>
      <c r="F1162" s="6">
        <f t="shared" si="86"/>
        <v>0</v>
      </c>
      <c r="G1162" s="7">
        <f t="shared" si="87"/>
        <v>0</v>
      </c>
      <c r="H1162" s="8">
        <f t="shared" si="88"/>
        <v>0</v>
      </c>
      <c r="I1162" s="9">
        <f t="shared" si="89"/>
        <v>0</v>
      </c>
    </row>
    <row r="1163" spans="1:9" x14ac:dyDescent="0.35">
      <c r="A1163" s="28" t="s">
        <v>4081</v>
      </c>
      <c r="B1163" s="28" t="s">
        <v>4084</v>
      </c>
      <c r="C1163" s="29">
        <v>45731</v>
      </c>
      <c r="D1163" s="11">
        <v>8278.3463909328002</v>
      </c>
      <c r="E1163" s="27">
        <f t="shared" si="85"/>
        <v>9215.4552023863926</v>
      </c>
      <c r="F1163" s="6">
        <f t="shared" si="86"/>
        <v>11980.091763102311</v>
      </c>
      <c r="G1163" s="7">
        <f t="shared" si="87"/>
        <v>12901.63728334095</v>
      </c>
      <c r="H1163" s="8">
        <f t="shared" si="88"/>
        <v>13823.182803579588</v>
      </c>
      <c r="I1163" s="9">
        <f t="shared" si="89"/>
        <v>14744.728323818228</v>
      </c>
    </row>
    <row r="1164" spans="1:9" x14ac:dyDescent="0.35">
      <c r="A1164" s="28" t="s">
        <v>4082</v>
      </c>
      <c r="B1164" s="28" t="s">
        <v>4085</v>
      </c>
      <c r="C1164" s="29">
        <v>45731</v>
      </c>
      <c r="D1164" s="11">
        <v>10077.873079365001</v>
      </c>
      <c r="E1164" s="27">
        <f t="shared" ref="E1164:E1227" si="90">D1164*1.21*0.92</f>
        <v>11218.688311949119</v>
      </c>
      <c r="F1164" s="6">
        <f t="shared" si="86"/>
        <v>14584.294805533857</v>
      </c>
      <c r="G1164" s="7">
        <f t="shared" si="87"/>
        <v>15706.163636728767</v>
      </c>
      <c r="H1164" s="8">
        <f t="shared" si="88"/>
        <v>16828.03246792368</v>
      </c>
      <c r="I1164" s="9">
        <f t="shared" si="89"/>
        <v>17949.901299118592</v>
      </c>
    </row>
    <row r="1165" spans="1:9" x14ac:dyDescent="0.35">
      <c r="A1165" s="28" t="s">
        <v>4083</v>
      </c>
      <c r="B1165" s="28" t="s">
        <v>4086</v>
      </c>
      <c r="C1165" s="29">
        <v>45731</v>
      </c>
      <c r="D1165" s="11">
        <v>14516.798397191998</v>
      </c>
      <c r="E1165" s="27">
        <f t="shared" si="90"/>
        <v>16160.099975754132</v>
      </c>
      <c r="F1165" s="6">
        <f t="shared" si="86"/>
        <v>21008.129968480371</v>
      </c>
      <c r="G1165" s="7">
        <f t="shared" si="87"/>
        <v>22624.139966055784</v>
      </c>
      <c r="H1165" s="8">
        <f t="shared" si="88"/>
        <v>24240.1499636312</v>
      </c>
      <c r="I1165" s="9">
        <f t="shared" si="89"/>
        <v>25856.159961206613</v>
      </c>
    </row>
    <row r="1166" spans="1:9" ht="18" x14ac:dyDescent="0.4">
      <c r="B1166" s="19" t="s">
        <v>5143</v>
      </c>
      <c r="D1166" s="11">
        <v>0</v>
      </c>
      <c r="E1166" s="27">
        <f t="shared" si="90"/>
        <v>0</v>
      </c>
      <c r="F1166" s="6">
        <f t="shared" si="86"/>
        <v>0</v>
      </c>
      <c r="G1166" s="7">
        <f t="shared" si="87"/>
        <v>0</v>
      </c>
      <c r="H1166" s="8">
        <f t="shared" si="88"/>
        <v>0</v>
      </c>
      <c r="I1166" s="9">
        <f t="shared" si="89"/>
        <v>0</v>
      </c>
    </row>
    <row r="1167" spans="1:9" x14ac:dyDescent="0.35">
      <c r="A1167" s="24" t="s">
        <v>5144</v>
      </c>
      <c r="B1167" s="24" t="s">
        <v>5145</v>
      </c>
      <c r="C1167" s="20">
        <v>45685</v>
      </c>
      <c r="D1167" s="11">
        <v>2659.2328438</v>
      </c>
      <c r="E1167" s="27">
        <f t="shared" si="90"/>
        <v>2960.2580017181599</v>
      </c>
      <c r="F1167" s="6">
        <f t="shared" si="86"/>
        <v>3848.335402233608</v>
      </c>
      <c r="G1167" s="7">
        <f t="shared" si="87"/>
        <v>4144.3612024054237</v>
      </c>
      <c r="H1167" s="8">
        <f t="shared" si="88"/>
        <v>4440.3870025772394</v>
      </c>
      <c r="I1167" s="9">
        <f t="shared" si="89"/>
        <v>4736.412802749056</v>
      </c>
    </row>
    <row r="1168" spans="1:9" x14ac:dyDescent="0.35">
      <c r="A1168" s="24" t="s">
        <v>5152</v>
      </c>
      <c r="B1168" s="24" t="s">
        <v>5146</v>
      </c>
      <c r="C1168" s="20">
        <v>45685</v>
      </c>
      <c r="D1168" s="11">
        <v>4011.4745495500006</v>
      </c>
      <c r="E1168" s="27">
        <f t="shared" si="90"/>
        <v>4465.5734685590605</v>
      </c>
      <c r="F1168" s="6">
        <f t="shared" si="86"/>
        <v>5805.2455091267793</v>
      </c>
      <c r="G1168" s="7">
        <f t="shared" si="87"/>
        <v>6251.8028559826844</v>
      </c>
      <c r="H1168" s="8">
        <f t="shared" si="88"/>
        <v>6698.3602028385903</v>
      </c>
      <c r="I1168" s="9">
        <f t="shared" si="89"/>
        <v>7144.9175496944972</v>
      </c>
    </row>
    <row r="1169" spans="1:9" x14ac:dyDescent="0.35">
      <c r="A1169" s="24" t="s">
        <v>5153</v>
      </c>
      <c r="B1169" s="24" t="s">
        <v>5147</v>
      </c>
      <c r="C1169" s="20">
        <v>45685</v>
      </c>
      <c r="D1169" s="11">
        <v>6654.2366556249999</v>
      </c>
      <c r="E1169" s="27">
        <f t="shared" si="90"/>
        <v>7407.4962450417497</v>
      </c>
      <c r="F1169" s="6">
        <f t="shared" si="86"/>
        <v>9629.7451185542741</v>
      </c>
      <c r="G1169" s="7">
        <f t="shared" si="87"/>
        <v>10370.494743058449</v>
      </c>
      <c r="H1169" s="8">
        <f t="shared" si="88"/>
        <v>11111.244367562624</v>
      </c>
      <c r="I1169" s="9">
        <f t="shared" si="89"/>
        <v>11851.9939920668</v>
      </c>
    </row>
    <row r="1170" spans="1:9" x14ac:dyDescent="0.35">
      <c r="A1170" s="24" t="s">
        <v>5154</v>
      </c>
      <c r="B1170" s="24" t="s">
        <v>5148</v>
      </c>
      <c r="C1170" s="20">
        <v>45685</v>
      </c>
      <c r="D1170" s="11">
        <v>10072.471573450001</v>
      </c>
      <c r="E1170" s="27">
        <f t="shared" si="90"/>
        <v>11212.675355564541</v>
      </c>
      <c r="F1170" s="6">
        <f t="shared" si="86"/>
        <v>14576.477962233903</v>
      </c>
      <c r="G1170" s="7">
        <f t="shared" si="87"/>
        <v>15697.745497790356</v>
      </c>
      <c r="H1170" s="8">
        <f t="shared" si="88"/>
        <v>16819.013033346811</v>
      </c>
      <c r="I1170" s="9">
        <f t="shared" si="89"/>
        <v>17940.280568903265</v>
      </c>
    </row>
    <row r="1171" spans="1:9" x14ac:dyDescent="0.35">
      <c r="A1171" s="24" t="s">
        <v>5155</v>
      </c>
      <c r="B1171" s="24" t="s">
        <v>5149</v>
      </c>
      <c r="C1171" s="20">
        <v>45685</v>
      </c>
      <c r="D1171" s="11">
        <v>14897.811579625</v>
      </c>
      <c r="E1171" s="27">
        <f t="shared" si="90"/>
        <v>16584.24385043855</v>
      </c>
      <c r="F1171" s="6">
        <f t="shared" si="86"/>
        <v>21559.517005570116</v>
      </c>
      <c r="G1171" s="7">
        <f t="shared" si="87"/>
        <v>23217.941390613967</v>
      </c>
      <c r="H1171" s="8">
        <f t="shared" si="88"/>
        <v>24876.365775657825</v>
      </c>
      <c r="I1171" s="9">
        <f t="shared" si="89"/>
        <v>26534.790160701683</v>
      </c>
    </row>
    <row r="1172" spans="1:9" x14ac:dyDescent="0.35">
      <c r="A1172" s="24" t="s">
        <v>5156</v>
      </c>
      <c r="B1172" s="24" t="s">
        <v>5150</v>
      </c>
      <c r="C1172" s="20">
        <v>45685</v>
      </c>
      <c r="D1172" s="11">
        <v>23918.266068774999</v>
      </c>
      <c r="E1172" s="27">
        <f t="shared" si="90"/>
        <v>26625.813787760329</v>
      </c>
      <c r="F1172" s="6">
        <f t="shared" si="86"/>
        <v>34613.557924088433</v>
      </c>
      <c r="G1172" s="7">
        <f t="shared" si="87"/>
        <v>37276.13930286446</v>
      </c>
      <c r="H1172" s="8">
        <f t="shared" si="88"/>
        <v>39938.720681640494</v>
      </c>
      <c r="I1172" s="9">
        <f t="shared" si="89"/>
        <v>42601.302060416529</v>
      </c>
    </row>
    <row r="1173" spans="1:9" x14ac:dyDescent="0.35">
      <c r="A1173" s="24" t="s">
        <v>5157</v>
      </c>
      <c r="B1173" s="24" t="s">
        <v>5151</v>
      </c>
      <c r="C1173" s="20">
        <v>45685</v>
      </c>
      <c r="D1173" s="11">
        <v>35172.996645474996</v>
      </c>
      <c r="E1173" s="27">
        <f t="shared" si="90"/>
        <v>39154.579865742766</v>
      </c>
      <c r="F1173" s="6">
        <f t="shared" si="86"/>
        <v>50900.9538254656</v>
      </c>
      <c r="G1173" s="7">
        <f t="shared" si="87"/>
        <v>54816.411812039871</v>
      </c>
      <c r="H1173" s="8">
        <f t="shared" si="88"/>
        <v>58731.869798614149</v>
      </c>
      <c r="I1173" s="9">
        <f t="shared" si="89"/>
        <v>62647.327785188427</v>
      </c>
    </row>
    <row r="1174" spans="1:9" x14ac:dyDescent="0.35">
      <c r="A1174" s="24"/>
      <c r="B1174" s="24"/>
      <c r="C1174" s="20">
        <v>45685</v>
      </c>
      <c r="D1174" s="11">
        <v>0</v>
      </c>
      <c r="E1174" s="27">
        <f t="shared" si="90"/>
        <v>0</v>
      </c>
      <c r="F1174" s="6">
        <f t="shared" si="86"/>
        <v>0</v>
      </c>
      <c r="G1174" s="7">
        <f t="shared" si="87"/>
        <v>0</v>
      </c>
      <c r="H1174" s="8">
        <f t="shared" si="88"/>
        <v>0</v>
      </c>
      <c r="I1174" s="9">
        <f t="shared" si="89"/>
        <v>0</v>
      </c>
    </row>
    <row r="1175" spans="1:9" x14ac:dyDescent="0.35">
      <c r="A1175" s="24" t="s">
        <v>5158</v>
      </c>
      <c r="B1175" s="24" t="s">
        <v>5159</v>
      </c>
      <c r="C1175" s="20">
        <v>45685</v>
      </c>
      <c r="D1175" s="11">
        <v>115.23654935</v>
      </c>
      <c r="E1175" s="27">
        <f t="shared" si="90"/>
        <v>128.28132673642</v>
      </c>
      <c r="F1175" s="6">
        <f t="shared" si="86"/>
        <v>166.76572475734599</v>
      </c>
      <c r="G1175" s="7">
        <f t="shared" si="87"/>
        <v>179.59385743098798</v>
      </c>
      <c r="H1175" s="8">
        <f t="shared" si="88"/>
        <v>192.42199010463</v>
      </c>
      <c r="I1175" s="9">
        <f t="shared" si="89"/>
        <v>205.25012277827202</v>
      </c>
    </row>
    <row r="1176" spans="1:9" x14ac:dyDescent="0.35">
      <c r="A1176" s="24" t="s">
        <v>5160</v>
      </c>
      <c r="B1176" s="24" t="s">
        <v>5166</v>
      </c>
      <c r="C1176" s="20">
        <v>45685</v>
      </c>
      <c r="D1176" s="11">
        <v>181.76426222500001</v>
      </c>
      <c r="E1176" s="27">
        <f t="shared" si="90"/>
        <v>202.33997670887001</v>
      </c>
      <c r="F1176" s="6">
        <f t="shared" si="86"/>
        <v>263.04196972153102</v>
      </c>
      <c r="G1176" s="7">
        <f t="shared" si="87"/>
        <v>283.27596739241801</v>
      </c>
      <c r="H1176" s="8">
        <f t="shared" si="88"/>
        <v>303.509965063305</v>
      </c>
      <c r="I1176" s="9">
        <f t="shared" si="89"/>
        <v>323.74396273419205</v>
      </c>
    </row>
    <row r="1177" spans="1:9" x14ac:dyDescent="0.35">
      <c r="A1177" s="24" t="s">
        <v>5161</v>
      </c>
      <c r="B1177" s="24" t="s">
        <v>5167</v>
      </c>
      <c r="C1177" s="20">
        <v>45685</v>
      </c>
      <c r="D1177" s="11">
        <v>252.39500585000005</v>
      </c>
      <c r="E1177" s="27">
        <f t="shared" si="90"/>
        <v>280.96612051222007</v>
      </c>
      <c r="F1177" s="6">
        <f t="shared" si="86"/>
        <v>365.25595666588612</v>
      </c>
      <c r="G1177" s="7">
        <f t="shared" si="87"/>
        <v>393.35256871710806</v>
      </c>
      <c r="H1177" s="8">
        <f t="shared" si="88"/>
        <v>421.44918076833011</v>
      </c>
      <c r="I1177" s="9">
        <f t="shared" si="89"/>
        <v>449.54579281955216</v>
      </c>
    </row>
    <row r="1178" spans="1:9" x14ac:dyDescent="0.35">
      <c r="A1178" s="24" t="s">
        <v>5162</v>
      </c>
      <c r="B1178" s="24" t="s">
        <v>5168</v>
      </c>
      <c r="C1178" s="20">
        <v>45685</v>
      </c>
      <c r="D1178" s="11">
        <v>466.22152265</v>
      </c>
      <c r="E1178" s="27">
        <f t="shared" si="90"/>
        <v>518.99779901397994</v>
      </c>
      <c r="F1178" s="6">
        <f t="shared" si="86"/>
        <v>674.69713871817396</v>
      </c>
      <c r="G1178" s="7">
        <f t="shared" si="87"/>
        <v>726.59691861957185</v>
      </c>
      <c r="H1178" s="8">
        <f t="shared" si="88"/>
        <v>778.49669852096986</v>
      </c>
      <c r="I1178" s="9">
        <f t="shared" si="89"/>
        <v>830.39647842236798</v>
      </c>
    </row>
    <row r="1179" spans="1:9" x14ac:dyDescent="0.35">
      <c r="A1179" s="24" t="s">
        <v>5163</v>
      </c>
      <c r="B1179" s="24" t="s">
        <v>5169</v>
      </c>
      <c r="C1179" s="20">
        <v>45685</v>
      </c>
      <c r="D1179" s="11">
        <v>753.02337207500022</v>
      </c>
      <c r="E1179" s="27">
        <f t="shared" si="90"/>
        <v>838.26561779389033</v>
      </c>
      <c r="F1179" s="6">
        <f t="shared" si="86"/>
        <v>1089.7453031320574</v>
      </c>
      <c r="G1179" s="7">
        <f t="shared" si="87"/>
        <v>1173.5718649114465</v>
      </c>
      <c r="H1179" s="8">
        <f t="shared" si="88"/>
        <v>1257.3984266908355</v>
      </c>
      <c r="I1179" s="9">
        <f t="shared" si="89"/>
        <v>1341.2249884702246</v>
      </c>
    </row>
    <row r="1180" spans="1:9" x14ac:dyDescent="0.35">
      <c r="A1180" s="24" t="s">
        <v>5164</v>
      </c>
      <c r="B1180" s="24" t="s">
        <v>5170</v>
      </c>
      <c r="C1180" s="20">
        <v>45685</v>
      </c>
      <c r="D1180" s="11">
        <v>1676.3225202750004</v>
      </c>
      <c r="E1180" s="27">
        <f t="shared" si="90"/>
        <v>1866.0822295701305</v>
      </c>
      <c r="F1180" s="6">
        <f t="shared" si="86"/>
        <v>2425.9068984411697</v>
      </c>
      <c r="G1180" s="7">
        <f t="shared" si="87"/>
        <v>2612.5151213981826</v>
      </c>
      <c r="H1180" s="8">
        <f t="shared" si="88"/>
        <v>2799.1233443551955</v>
      </c>
      <c r="I1180" s="9">
        <f t="shared" si="89"/>
        <v>2985.7315673122089</v>
      </c>
    </row>
    <row r="1181" spans="1:9" x14ac:dyDescent="0.35">
      <c r="A1181" s="24" t="s">
        <v>5165</v>
      </c>
      <c r="B1181" s="24" t="s">
        <v>5171</v>
      </c>
      <c r="C1181" s="20">
        <v>45685</v>
      </c>
      <c r="D1181" s="11">
        <v>4265.1590793500009</v>
      </c>
      <c r="E1181" s="27">
        <f t="shared" si="90"/>
        <v>4747.9750871324213</v>
      </c>
      <c r="F1181" s="6">
        <f t="shared" si="86"/>
        <v>6172.3676132721475</v>
      </c>
      <c r="G1181" s="7">
        <f t="shared" si="87"/>
        <v>6647.1651219853893</v>
      </c>
      <c r="H1181" s="8">
        <f t="shared" si="88"/>
        <v>7121.962630698632</v>
      </c>
      <c r="I1181" s="9">
        <f t="shared" si="89"/>
        <v>7596.7601394118747</v>
      </c>
    </row>
    <row r="1182" spans="1:9" x14ac:dyDescent="0.35">
      <c r="A1182" s="24"/>
      <c r="B1182" s="24"/>
      <c r="C1182" s="20">
        <v>45685</v>
      </c>
      <c r="D1182" s="11">
        <v>0</v>
      </c>
      <c r="E1182" s="27">
        <f t="shared" si="90"/>
        <v>0</v>
      </c>
      <c r="F1182" s="6">
        <f t="shared" si="86"/>
        <v>0</v>
      </c>
      <c r="G1182" s="7">
        <f t="shared" si="87"/>
        <v>0</v>
      </c>
      <c r="H1182" s="8">
        <f t="shared" si="88"/>
        <v>0</v>
      </c>
      <c r="I1182" s="9">
        <f t="shared" si="89"/>
        <v>0</v>
      </c>
    </row>
    <row r="1183" spans="1:9" x14ac:dyDescent="0.35">
      <c r="A1183" s="24" t="s">
        <v>5172</v>
      </c>
      <c r="B1183" s="24" t="s">
        <v>5173</v>
      </c>
      <c r="C1183" s="20">
        <v>45685</v>
      </c>
      <c r="D1183" s="11">
        <v>154.742874</v>
      </c>
      <c r="E1183" s="27">
        <f t="shared" si="90"/>
        <v>172.25976733680002</v>
      </c>
      <c r="F1183" s="6">
        <f t="shared" si="86"/>
        <v>223.93769753784005</v>
      </c>
      <c r="G1183" s="7">
        <f t="shared" si="87"/>
        <v>241.16367427152002</v>
      </c>
      <c r="H1183" s="8">
        <f t="shared" si="88"/>
        <v>258.38965100520005</v>
      </c>
      <c r="I1183" s="9">
        <f t="shared" si="89"/>
        <v>275.61562773888005</v>
      </c>
    </row>
    <row r="1184" spans="1:9" x14ac:dyDescent="0.35">
      <c r="A1184" s="24" t="s">
        <v>5174</v>
      </c>
      <c r="B1184" s="24" t="s">
        <v>5180</v>
      </c>
      <c r="C1184" s="20">
        <v>45685</v>
      </c>
      <c r="D1184" s="11">
        <v>252.33639112500001</v>
      </c>
      <c r="E1184" s="27">
        <f t="shared" si="90"/>
        <v>280.90087060035</v>
      </c>
      <c r="F1184" s="6">
        <f t="shared" si="86"/>
        <v>365.17113178045503</v>
      </c>
      <c r="G1184" s="7">
        <f t="shared" si="87"/>
        <v>393.26121884048996</v>
      </c>
      <c r="H1184" s="8">
        <f t="shared" si="88"/>
        <v>421.35130590052501</v>
      </c>
      <c r="I1184" s="9">
        <f t="shared" si="89"/>
        <v>449.44139296056005</v>
      </c>
    </row>
    <row r="1185" spans="1:9" x14ac:dyDescent="0.35">
      <c r="A1185" s="24" t="s">
        <v>5175</v>
      </c>
      <c r="B1185" s="24" t="s">
        <v>5181</v>
      </c>
      <c r="C1185" s="20">
        <v>45685</v>
      </c>
      <c r="D1185" s="11">
        <v>374.19640439999995</v>
      </c>
      <c r="E1185" s="27">
        <f t="shared" si="90"/>
        <v>416.55543737807994</v>
      </c>
      <c r="F1185" s="6">
        <f t="shared" si="86"/>
        <v>541.52206859150397</v>
      </c>
      <c r="G1185" s="7">
        <f t="shared" si="87"/>
        <v>583.17761232931184</v>
      </c>
      <c r="H1185" s="8">
        <f t="shared" si="88"/>
        <v>624.83315606711994</v>
      </c>
      <c r="I1185" s="9">
        <f t="shared" si="89"/>
        <v>666.48869980492793</v>
      </c>
    </row>
    <row r="1186" spans="1:9" x14ac:dyDescent="0.35">
      <c r="A1186" s="24" t="s">
        <v>5176</v>
      </c>
      <c r="B1186" s="24" t="s">
        <v>5182</v>
      </c>
      <c r="C1186" s="20">
        <v>45685</v>
      </c>
      <c r="D1186" s="11">
        <v>826.23316360000001</v>
      </c>
      <c r="E1186" s="27">
        <f t="shared" si="90"/>
        <v>919.76275771951998</v>
      </c>
      <c r="F1186" s="6">
        <f t="shared" si="86"/>
        <v>1195.691585035376</v>
      </c>
      <c r="G1186" s="7">
        <f t="shared" si="87"/>
        <v>1287.667860807328</v>
      </c>
      <c r="H1186" s="8">
        <f t="shared" si="88"/>
        <v>1379.64413657928</v>
      </c>
      <c r="I1186" s="9">
        <f t="shared" si="89"/>
        <v>1471.6204123512321</v>
      </c>
    </row>
    <row r="1187" spans="1:9" x14ac:dyDescent="0.35">
      <c r="A1187" s="24" t="s">
        <v>5177</v>
      </c>
      <c r="B1187" s="24" t="s">
        <v>5183</v>
      </c>
      <c r="C1187" s="20">
        <v>45685</v>
      </c>
      <c r="D1187" s="11">
        <v>1428.44084825</v>
      </c>
      <c r="E1187" s="27">
        <f t="shared" si="90"/>
        <v>1590.1403522718999</v>
      </c>
      <c r="F1187" s="6">
        <f t="shared" si="86"/>
        <v>2067.18245795347</v>
      </c>
      <c r="G1187" s="7">
        <f t="shared" si="87"/>
        <v>2226.1964931806597</v>
      </c>
      <c r="H1187" s="8">
        <f t="shared" si="88"/>
        <v>2385.2105284078498</v>
      </c>
      <c r="I1187" s="9">
        <f t="shared" si="89"/>
        <v>2544.2245636350399</v>
      </c>
    </row>
    <row r="1188" spans="1:9" x14ac:dyDescent="0.35">
      <c r="A1188" s="24" t="s">
        <v>5178</v>
      </c>
      <c r="B1188" s="24" t="s">
        <v>5184</v>
      </c>
      <c r="C1188" s="20">
        <v>45685</v>
      </c>
      <c r="D1188" s="11">
        <v>2366.74536605</v>
      </c>
      <c r="E1188" s="27">
        <f t="shared" si="90"/>
        <v>2634.6609414868603</v>
      </c>
      <c r="F1188" s="6">
        <f t="shared" si="86"/>
        <v>3425.0592239329185</v>
      </c>
      <c r="G1188" s="7">
        <f t="shared" si="87"/>
        <v>3688.5253180816044</v>
      </c>
      <c r="H1188" s="8">
        <f t="shared" si="88"/>
        <v>3951.9914122302907</v>
      </c>
      <c r="I1188" s="9">
        <f t="shared" si="89"/>
        <v>4215.4575063789771</v>
      </c>
    </row>
    <row r="1189" spans="1:9" x14ac:dyDescent="0.35">
      <c r="A1189" s="24" t="s">
        <v>5179</v>
      </c>
      <c r="B1189" s="24" t="s">
        <v>5185</v>
      </c>
      <c r="C1189" s="20">
        <v>45685</v>
      </c>
      <c r="D1189" s="11">
        <v>5417.2314992250012</v>
      </c>
      <c r="E1189" s="27">
        <f t="shared" si="90"/>
        <v>6030.4621049372709</v>
      </c>
      <c r="F1189" s="6">
        <f t="shared" si="86"/>
        <v>7839.6007364184525</v>
      </c>
      <c r="G1189" s="7">
        <f t="shared" si="87"/>
        <v>8442.6469469121785</v>
      </c>
      <c r="H1189" s="8">
        <f t="shared" si="88"/>
        <v>9045.6931574059054</v>
      </c>
      <c r="I1189" s="9">
        <f t="shared" si="89"/>
        <v>9648.7393678996341</v>
      </c>
    </row>
    <row r="1190" spans="1:9" x14ac:dyDescent="0.35">
      <c r="A1190" s="24"/>
      <c r="B1190" s="24"/>
      <c r="C1190" s="20">
        <v>45685</v>
      </c>
      <c r="D1190" s="11">
        <v>0</v>
      </c>
      <c r="E1190" s="27">
        <f t="shared" si="90"/>
        <v>0</v>
      </c>
      <c r="F1190" s="6">
        <f t="shared" si="86"/>
        <v>0</v>
      </c>
      <c r="G1190" s="7">
        <f t="shared" si="87"/>
        <v>0</v>
      </c>
      <c r="H1190" s="8">
        <f t="shared" si="88"/>
        <v>0</v>
      </c>
      <c r="I1190" s="9">
        <f t="shared" si="89"/>
        <v>0</v>
      </c>
    </row>
    <row r="1191" spans="1:9" x14ac:dyDescent="0.35">
      <c r="A1191" s="24" t="s">
        <v>5186</v>
      </c>
      <c r="B1191" s="24" t="s">
        <v>5187</v>
      </c>
      <c r="C1191" s="20">
        <v>45685</v>
      </c>
      <c r="D1191" s="11">
        <v>204.50677552499999</v>
      </c>
      <c r="E1191" s="27">
        <f t="shared" si="90"/>
        <v>227.65694251443</v>
      </c>
      <c r="F1191" s="6">
        <f t="shared" si="86"/>
        <v>295.95402526875898</v>
      </c>
      <c r="G1191" s="7">
        <f t="shared" si="87"/>
        <v>318.71971952020198</v>
      </c>
      <c r="H1191" s="8">
        <f t="shared" si="88"/>
        <v>341.48541377164497</v>
      </c>
      <c r="I1191" s="9">
        <f t="shared" si="89"/>
        <v>364.25110802308802</v>
      </c>
    </row>
    <row r="1192" spans="1:9" x14ac:dyDescent="0.35">
      <c r="A1192" s="24" t="s">
        <v>5188</v>
      </c>
      <c r="B1192" s="24" t="s">
        <v>5194</v>
      </c>
      <c r="C1192" s="20">
        <v>45685</v>
      </c>
      <c r="D1192" s="11">
        <v>337.03466874999998</v>
      </c>
      <c r="E1192" s="27">
        <f t="shared" si="90"/>
        <v>375.18699325249997</v>
      </c>
      <c r="F1192" s="6">
        <f t="shared" si="86"/>
        <v>487.74309122824997</v>
      </c>
      <c r="G1192" s="7">
        <f t="shared" si="87"/>
        <v>525.26179055349996</v>
      </c>
      <c r="H1192" s="8">
        <f t="shared" si="88"/>
        <v>562.7804898787499</v>
      </c>
      <c r="I1192" s="9">
        <f t="shared" si="89"/>
        <v>600.29918920399996</v>
      </c>
    </row>
    <row r="1193" spans="1:9" x14ac:dyDescent="0.35">
      <c r="A1193" s="24" t="s">
        <v>5189</v>
      </c>
      <c r="B1193" s="24" t="s">
        <v>5195</v>
      </c>
      <c r="C1193" s="20">
        <v>45685</v>
      </c>
      <c r="D1193" s="11">
        <v>545.58586029999992</v>
      </c>
      <c r="E1193" s="27">
        <f t="shared" si="90"/>
        <v>607.3461796859599</v>
      </c>
      <c r="F1193" s="6">
        <f t="shared" si="86"/>
        <v>789.55003359174793</v>
      </c>
      <c r="G1193" s="7">
        <f t="shared" si="87"/>
        <v>850.28465156034383</v>
      </c>
      <c r="H1193" s="8">
        <f t="shared" si="88"/>
        <v>911.01926952893984</v>
      </c>
      <c r="I1193" s="9">
        <f t="shared" si="89"/>
        <v>971.75388749753586</v>
      </c>
    </row>
    <row r="1194" spans="1:9" x14ac:dyDescent="0.35">
      <c r="A1194" s="24" t="s">
        <v>5190</v>
      </c>
      <c r="B1194" s="24" t="s">
        <v>5196</v>
      </c>
      <c r="C1194" s="20">
        <v>45685</v>
      </c>
      <c r="D1194" s="11">
        <v>1155.0617708499999</v>
      </c>
      <c r="E1194" s="27">
        <f t="shared" si="90"/>
        <v>1285.8147633102199</v>
      </c>
      <c r="F1194" s="6">
        <f t="shared" ref="F1194:F1257" si="91">E1194*1.3</f>
        <v>1671.559192303286</v>
      </c>
      <c r="G1194" s="7">
        <f t="shared" ref="G1194:G1257" si="92">E1194*1.4</f>
        <v>1800.1406686343078</v>
      </c>
      <c r="H1194" s="8">
        <f t="shared" ref="H1194:H1257" si="93">E1194*1.5</f>
        <v>1928.7221449653298</v>
      </c>
      <c r="I1194" s="9">
        <f t="shared" ref="I1194:I1257" si="94">E1194*1.6</f>
        <v>2057.303621296352</v>
      </c>
    </row>
    <row r="1195" spans="1:9" x14ac:dyDescent="0.35">
      <c r="A1195" s="24" t="s">
        <v>5191</v>
      </c>
      <c r="B1195" s="24" t="s">
        <v>5197</v>
      </c>
      <c r="C1195" s="20">
        <v>45685</v>
      </c>
      <c r="D1195" s="11">
        <v>2078.9470663000002</v>
      </c>
      <c r="E1195" s="27">
        <f t="shared" si="90"/>
        <v>2314.2838742051604</v>
      </c>
      <c r="F1195" s="6">
        <f t="shared" si="91"/>
        <v>3008.5690364667084</v>
      </c>
      <c r="G1195" s="7">
        <f t="shared" si="92"/>
        <v>3239.9974238872242</v>
      </c>
      <c r="H1195" s="8">
        <f t="shared" si="93"/>
        <v>3471.4258113077403</v>
      </c>
      <c r="I1195" s="9">
        <f t="shared" si="94"/>
        <v>3702.854198728257</v>
      </c>
    </row>
    <row r="1196" spans="1:9" x14ac:dyDescent="0.35">
      <c r="A1196" s="24" t="s">
        <v>5192</v>
      </c>
      <c r="B1196" s="24" t="s">
        <v>5198</v>
      </c>
      <c r="C1196" s="20">
        <v>45685</v>
      </c>
      <c r="D1196" s="11">
        <v>3484.1178687250003</v>
      </c>
      <c r="E1196" s="27">
        <f t="shared" si="90"/>
        <v>3878.5200114646705</v>
      </c>
      <c r="F1196" s="6">
        <f t="shared" si="91"/>
        <v>5042.0760149040716</v>
      </c>
      <c r="G1196" s="7">
        <f t="shared" si="92"/>
        <v>5429.9280160505386</v>
      </c>
      <c r="H1196" s="8">
        <f t="shared" si="93"/>
        <v>5817.7800171970057</v>
      </c>
      <c r="I1196" s="9">
        <f t="shared" si="94"/>
        <v>6205.6320183434727</v>
      </c>
    </row>
    <row r="1197" spans="1:9" x14ac:dyDescent="0.35">
      <c r="A1197" s="24" t="s">
        <v>5193</v>
      </c>
      <c r="B1197" s="24" t="s">
        <v>5199</v>
      </c>
      <c r="C1197" s="20">
        <v>45685</v>
      </c>
      <c r="D1197" s="11">
        <v>6803.8214338250018</v>
      </c>
      <c r="E1197" s="27">
        <f t="shared" si="90"/>
        <v>7574.0140201339918</v>
      </c>
      <c r="F1197" s="6">
        <f t="shared" si="91"/>
        <v>9846.2182261741891</v>
      </c>
      <c r="G1197" s="7">
        <f t="shared" si="92"/>
        <v>10603.619628187587</v>
      </c>
      <c r="H1197" s="8">
        <f t="shared" si="93"/>
        <v>11361.021030200987</v>
      </c>
      <c r="I1197" s="9">
        <f t="shared" si="94"/>
        <v>12118.422432214387</v>
      </c>
    </row>
    <row r="1198" spans="1:9" x14ac:dyDescent="0.35">
      <c r="A1198" s="24"/>
      <c r="B1198" s="24"/>
      <c r="C1198" s="20">
        <v>45685</v>
      </c>
      <c r="D1198" s="11">
        <v>0</v>
      </c>
      <c r="E1198" s="27">
        <f t="shared" si="90"/>
        <v>0</v>
      </c>
      <c r="F1198" s="6">
        <f t="shared" si="91"/>
        <v>0</v>
      </c>
      <c r="G1198" s="7">
        <f t="shared" si="92"/>
        <v>0</v>
      </c>
      <c r="H1198" s="8">
        <f t="shared" si="93"/>
        <v>0</v>
      </c>
      <c r="I1198" s="9">
        <f t="shared" si="94"/>
        <v>0</v>
      </c>
    </row>
    <row r="1199" spans="1:9" x14ac:dyDescent="0.35">
      <c r="A1199" s="24" t="s">
        <v>5200</v>
      </c>
      <c r="B1199" s="24" t="s">
        <v>5201</v>
      </c>
      <c r="C1199" s="20">
        <v>45685</v>
      </c>
      <c r="D1199" s="11">
        <v>374.13778967500002</v>
      </c>
      <c r="E1199" s="27">
        <f t="shared" si="90"/>
        <v>416.49018746620999</v>
      </c>
      <c r="F1199" s="6">
        <f t="shared" si="91"/>
        <v>541.43724370607299</v>
      </c>
      <c r="G1199" s="7">
        <f t="shared" si="92"/>
        <v>583.08626245269397</v>
      </c>
      <c r="H1199" s="8">
        <f t="shared" si="93"/>
        <v>624.73528119931495</v>
      </c>
      <c r="I1199" s="9">
        <f t="shared" si="94"/>
        <v>666.38429994593605</v>
      </c>
    </row>
    <row r="1200" spans="1:9" x14ac:dyDescent="0.35">
      <c r="A1200" s="24" t="s">
        <v>5202</v>
      </c>
      <c r="B1200" s="24" t="s">
        <v>5210</v>
      </c>
      <c r="C1200" s="20">
        <v>45685</v>
      </c>
      <c r="D1200" s="11">
        <v>672.77981355000009</v>
      </c>
      <c r="E1200" s="27">
        <f t="shared" si="90"/>
        <v>748.93848844386002</v>
      </c>
      <c r="F1200" s="6">
        <f t="shared" si="91"/>
        <v>973.62003497701801</v>
      </c>
      <c r="G1200" s="7">
        <f t="shared" si="92"/>
        <v>1048.5138838214041</v>
      </c>
      <c r="H1200" s="8">
        <f t="shared" si="93"/>
        <v>1123.40773266579</v>
      </c>
      <c r="I1200" s="9">
        <f t="shared" si="94"/>
        <v>1198.301581510176</v>
      </c>
    </row>
    <row r="1201" spans="1:9" x14ac:dyDescent="0.35">
      <c r="A1201" s="24" t="s">
        <v>5203</v>
      </c>
      <c r="B1201" s="24" t="s">
        <v>5211</v>
      </c>
      <c r="C1201" s="20">
        <v>45685</v>
      </c>
      <c r="D1201" s="11">
        <v>645.58258115000001</v>
      </c>
      <c r="E1201" s="27">
        <f t="shared" si="90"/>
        <v>718.66252933618</v>
      </c>
      <c r="F1201" s="6">
        <f t="shared" si="91"/>
        <v>934.26128813703406</v>
      </c>
      <c r="G1201" s="7">
        <f t="shared" si="92"/>
        <v>1006.1275410706519</v>
      </c>
      <c r="H1201" s="8">
        <f t="shared" si="93"/>
        <v>1077.9937940042701</v>
      </c>
      <c r="I1201" s="9">
        <f t="shared" si="94"/>
        <v>1149.860046937888</v>
      </c>
    </row>
    <row r="1202" spans="1:9" x14ac:dyDescent="0.35">
      <c r="A1202" s="24" t="s">
        <v>5204</v>
      </c>
      <c r="B1202" s="24" t="s">
        <v>5212</v>
      </c>
      <c r="C1202" s="20">
        <v>45685</v>
      </c>
      <c r="D1202" s="11">
        <v>1204.53259875</v>
      </c>
      <c r="E1202" s="27">
        <f t="shared" si="90"/>
        <v>1340.8856889285</v>
      </c>
      <c r="F1202" s="6">
        <f t="shared" si="91"/>
        <v>1743.1513956070501</v>
      </c>
      <c r="G1202" s="7">
        <f t="shared" si="92"/>
        <v>1877.2399644999</v>
      </c>
      <c r="H1202" s="8">
        <f t="shared" si="93"/>
        <v>2011.3285333927502</v>
      </c>
      <c r="I1202" s="9">
        <f t="shared" si="94"/>
        <v>2145.4171022856003</v>
      </c>
    </row>
    <row r="1203" spans="1:9" x14ac:dyDescent="0.35">
      <c r="A1203" s="24" t="s">
        <v>5205</v>
      </c>
      <c r="B1203" s="24" t="s">
        <v>5213</v>
      </c>
      <c r="C1203" s="20">
        <v>45685</v>
      </c>
      <c r="D1203" s="11">
        <v>1117.4311174000002</v>
      </c>
      <c r="E1203" s="27">
        <f t="shared" si="90"/>
        <v>1243.9243198896802</v>
      </c>
      <c r="F1203" s="6">
        <f t="shared" si="91"/>
        <v>1617.1016158565842</v>
      </c>
      <c r="G1203" s="7">
        <f t="shared" si="92"/>
        <v>1741.4940478455521</v>
      </c>
      <c r="H1203" s="8">
        <f t="shared" si="93"/>
        <v>1865.8864798345203</v>
      </c>
      <c r="I1203" s="9">
        <f t="shared" si="94"/>
        <v>1990.2789118234884</v>
      </c>
    </row>
    <row r="1204" spans="1:9" x14ac:dyDescent="0.35">
      <c r="A1204" s="24" t="s">
        <v>5206</v>
      </c>
      <c r="B1204" s="24" t="s">
        <v>5214</v>
      </c>
      <c r="C1204" s="20">
        <v>45685</v>
      </c>
      <c r="D1204" s="11">
        <v>2256.5496830500001</v>
      </c>
      <c r="E1204" s="27">
        <f t="shared" si="90"/>
        <v>2511.99110717126</v>
      </c>
      <c r="F1204" s="6">
        <f t="shared" si="91"/>
        <v>3265.5884393226379</v>
      </c>
      <c r="G1204" s="7">
        <f t="shared" si="92"/>
        <v>3516.7875500397636</v>
      </c>
      <c r="H1204" s="8">
        <f t="shared" si="93"/>
        <v>3767.9866607568902</v>
      </c>
      <c r="I1204" s="9">
        <f t="shared" si="94"/>
        <v>4019.1857714740163</v>
      </c>
    </row>
    <row r="1205" spans="1:9" x14ac:dyDescent="0.35">
      <c r="A1205" s="24" t="s">
        <v>5207</v>
      </c>
      <c r="B1205" s="24" t="s">
        <v>5215</v>
      </c>
      <c r="C1205" s="20">
        <v>45685</v>
      </c>
      <c r="D1205" s="11">
        <v>2198.2866463999999</v>
      </c>
      <c r="E1205" s="27">
        <f t="shared" si="90"/>
        <v>2447.1326947724797</v>
      </c>
      <c r="F1205" s="6">
        <f t="shared" si="91"/>
        <v>3181.2725032042235</v>
      </c>
      <c r="G1205" s="7">
        <f t="shared" si="92"/>
        <v>3425.9857726814712</v>
      </c>
      <c r="H1205" s="8">
        <f t="shared" si="93"/>
        <v>3670.6990421587197</v>
      </c>
      <c r="I1205" s="9">
        <f t="shared" si="94"/>
        <v>3915.4123116359679</v>
      </c>
    </row>
    <row r="1206" spans="1:9" x14ac:dyDescent="0.35">
      <c r="A1206" s="24" t="s">
        <v>5208</v>
      </c>
      <c r="B1206" s="24" t="s">
        <v>5216</v>
      </c>
      <c r="C1206" s="20">
        <v>45685</v>
      </c>
      <c r="D1206" s="11">
        <v>3158.923374425</v>
      </c>
      <c r="E1206" s="27">
        <f t="shared" si="90"/>
        <v>3516.5135004099102</v>
      </c>
      <c r="F1206" s="6">
        <f t="shared" si="91"/>
        <v>4571.4675505328833</v>
      </c>
      <c r="G1206" s="7">
        <f t="shared" si="92"/>
        <v>4923.1189005738743</v>
      </c>
      <c r="H1206" s="8">
        <f t="shared" si="93"/>
        <v>5274.7702506148653</v>
      </c>
      <c r="I1206" s="9">
        <f t="shared" si="94"/>
        <v>5626.4216006558563</v>
      </c>
    </row>
    <row r="1207" spans="1:9" x14ac:dyDescent="0.35">
      <c r="A1207" s="24" t="s">
        <v>5209</v>
      </c>
      <c r="B1207" s="24" t="s">
        <v>5217</v>
      </c>
      <c r="C1207" s="20">
        <v>45685</v>
      </c>
      <c r="D1207" s="11">
        <v>2897.5603156500001</v>
      </c>
      <c r="E1207" s="27">
        <f t="shared" si="90"/>
        <v>3225.5641433815804</v>
      </c>
      <c r="F1207" s="6">
        <f t="shared" si="91"/>
        <v>4193.2333863960548</v>
      </c>
      <c r="G1207" s="7">
        <f t="shared" si="92"/>
        <v>4515.7898007342119</v>
      </c>
      <c r="H1207" s="8">
        <f t="shared" si="93"/>
        <v>4838.3462150723708</v>
      </c>
      <c r="I1207" s="9">
        <f t="shared" si="94"/>
        <v>5160.9026294105288</v>
      </c>
    </row>
    <row r="1208" spans="1:9" x14ac:dyDescent="0.35">
      <c r="A1208" s="24"/>
      <c r="B1208" s="24"/>
      <c r="C1208" s="20">
        <v>45685</v>
      </c>
      <c r="D1208" s="11">
        <v>0</v>
      </c>
      <c r="E1208" s="27">
        <f t="shared" si="90"/>
        <v>0</v>
      </c>
      <c r="F1208" s="6">
        <f t="shared" si="91"/>
        <v>0</v>
      </c>
      <c r="G1208" s="7">
        <f t="shared" si="92"/>
        <v>0</v>
      </c>
      <c r="H1208" s="8">
        <f t="shared" si="93"/>
        <v>0</v>
      </c>
      <c r="I1208" s="9">
        <f t="shared" si="94"/>
        <v>0</v>
      </c>
    </row>
    <row r="1209" spans="1:9" x14ac:dyDescent="0.35">
      <c r="A1209" s="24" t="s">
        <v>5218</v>
      </c>
      <c r="B1209" s="24" t="s">
        <v>5219</v>
      </c>
      <c r="C1209" s="20">
        <v>45685</v>
      </c>
      <c r="D1209" s="11">
        <v>221.44643105000003</v>
      </c>
      <c r="E1209" s="27">
        <f t="shared" si="90"/>
        <v>246.51416704486005</v>
      </c>
      <c r="F1209" s="6">
        <f t="shared" si="91"/>
        <v>320.46841715831806</v>
      </c>
      <c r="G1209" s="7">
        <f t="shared" si="92"/>
        <v>345.11983386280406</v>
      </c>
      <c r="H1209" s="8">
        <f t="shared" si="93"/>
        <v>369.77125056729005</v>
      </c>
      <c r="I1209" s="9">
        <f t="shared" si="94"/>
        <v>394.42266727177611</v>
      </c>
    </row>
    <row r="1210" spans="1:9" x14ac:dyDescent="0.35">
      <c r="A1210" s="24" t="s">
        <v>5220</v>
      </c>
      <c r="B1210" s="24" t="s">
        <v>5228</v>
      </c>
      <c r="C1210" s="20">
        <v>45685</v>
      </c>
      <c r="D1210" s="11">
        <v>278.65440265000001</v>
      </c>
      <c r="E1210" s="27">
        <f t="shared" si="90"/>
        <v>310.19808102998002</v>
      </c>
      <c r="F1210" s="6">
        <f t="shared" si="91"/>
        <v>403.25750533897406</v>
      </c>
      <c r="G1210" s="7">
        <f t="shared" si="92"/>
        <v>434.27731344197201</v>
      </c>
      <c r="H1210" s="8">
        <f t="shared" si="93"/>
        <v>465.29712154497003</v>
      </c>
      <c r="I1210" s="9">
        <f t="shared" si="94"/>
        <v>496.31692964796804</v>
      </c>
    </row>
    <row r="1211" spans="1:9" x14ac:dyDescent="0.35">
      <c r="A1211" s="24" t="s">
        <v>5221</v>
      </c>
      <c r="B1211" s="24" t="s">
        <v>5229</v>
      </c>
      <c r="C1211" s="20">
        <v>45685</v>
      </c>
      <c r="D1211" s="11">
        <v>337.03466874999998</v>
      </c>
      <c r="E1211" s="27">
        <f t="shared" si="90"/>
        <v>375.18699325249997</v>
      </c>
      <c r="F1211" s="6">
        <f t="shared" si="91"/>
        <v>487.74309122824997</v>
      </c>
      <c r="G1211" s="7">
        <f t="shared" si="92"/>
        <v>525.26179055349996</v>
      </c>
      <c r="H1211" s="8">
        <f t="shared" si="93"/>
        <v>562.7804898787499</v>
      </c>
      <c r="I1211" s="9">
        <f t="shared" si="94"/>
        <v>600.29918920399996</v>
      </c>
    </row>
    <row r="1212" spans="1:9" x14ac:dyDescent="0.35">
      <c r="A1212" s="24" t="s">
        <v>5222</v>
      </c>
      <c r="B1212" s="24" t="s">
        <v>5230</v>
      </c>
      <c r="C1212" s="20">
        <v>45685</v>
      </c>
      <c r="D1212" s="11">
        <v>416.22316222500001</v>
      </c>
      <c r="E1212" s="27">
        <f t="shared" si="90"/>
        <v>463.33962418887006</v>
      </c>
      <c r="F1212" s="6">
        <f t="shared" si="91"/>
        <v>602.34151144553107</v>
      </c>
      <c r="G1212" s="7">
        <f t="shared" si="92"/>
        <v>648.675473864418</v>
      </c>
      <c r="H1212" s="8">
        <f t="shared" si="93"/>
        <v>695.00943628330515</v>
      </c>
      <c r="I1212" s="9">
        <f t="shared" si="94"/>
        <v>741.34339870219219</v>
      </c>
    </row>
    <row r="1213" spans="1:9" x14ac:dyDescent="0.35">
      <c r="A1213" s="24" t="s">
        <v>5223</v>
      </c>
      <c r="B1213" s="24" t="s">
        <v>5231</v>
      </c>
      <c r="C1213" s="20">
        <v>45685</v>
      </c>
      <c r="D1213" s="11">
        <v>453.38489787500004</v>
      </c>
      <c r="E1213" s="27">
        <f t="shared" si="90"/>
        <v>504.70806831445003</v>
      </c>
      <c r="F1213" s="6">
        <f t="shared" si="91"/>
        <v>656.12048880878501</v>
      </c>
      <c r="G1213" s="7">
        <f t="shared" si="92"/>
        <v>706.59129564022999</v>
      </c>
      <c r="H1213" s="8">
        <f t="shared" si="93"/>
        <v>757.06210247167508</v>
      </c>
      <c r="I1213" s="9">
        <f t="shared" si="94"/>
        <v>807.53290930312005</v>
      </c>
    </row>
    <row r="1214" spans="1:9" x14ac:dyDescent="0.35">
      <c r="A1214" s="24" t="s">
        <v>5224</v>
      </c>
      <c r="B1214" s="24" t="s">
        <v>5232</v>
      </c>
      <c r="C1214" s="20">
        <v>45685</v>
      </c>
      <c r="D1214" s="11">
        <v>602.03184047500008</v>
      </c>
      <c r="E1214" s="27">
        <f t="shared" si="90"/>
        <v>670.18184481677008</v>
      </c>
      <c r="F1214" s="6">
        <f t="shared" si="91"/>
        <v>871.23639826180113</v>
      </c>
      <c r="G1214" s="7">
        <f t="shared" si="92"/>
        <v>938.25458274347807</v>
      </c>
      <c r="H1214" s="8">
        <f t="shared" si="93"/>
        <v>1005.2727672251551</v>
      </c>
      <c r="I1214" s="9">
        <f t="shared" si="94"/>
        <v>1072.2909517068322</v>
      </c>
    </row>
    <row r="1215" spans="1:9" x14ac:dyDescent="0.35">
      <c r="A1215" s="24" t="s">
        <v>5225</v>
      </c>
      <c r="B1215" s="24" t="s">
        <v>5233</v>
      </c>
      <c r="C1215" s="20">
        <v>45685</v>
      </c>
      <c r="D1215" s="11">
        <v>711.3483025999999</v>
      </c>
      <c r="E1215" s="27">
        <f t="shared" si="90"/>
        <v>791.87293045431989</v>
      </c>
      <c r="F1215" s="6">
        <f t="shared" si="91"/>
        <v>1029.4348095906159</v>
      </c>
      <c r="G1215" s="7">
        <f t="shared" si="92"/>
        <v>1108.6221026360477</v>
      </c>
      <c r="H1215" s="8">
        <f t="shared" si="93"/>
        <v>1187.8093956814798</v>
      </c>
      <c r="I1215" s="9">
        <f t="shared" si="94"/>
        <v>1266.996688726912</v>
      </c>
    </row>
    <row r="1216" spans="1:9" x14ac:dyDescent="0.35">
      <c r="A1216" s="24" t="s">
        <v>5226</v>
      </c>
      <c r="B1216" s="24" t="s">
        <v>5234</v>
      </c>
      <c r="C1216" s="20">
        <v>45685</v>
      </c>
      <c r="D1216" s="11">
        <v>2140.0236097500001</v>
      </c>
      <c r="E1216" s="27">
        <f t="shared" si="90"/>
        <v>2382.2742823736999</v>
      </c>
      <c r="F1216" s="6">
        <f t="shared" si="91"/>
        <v>3096.9565670858101</v>
      </c>
      <c r="G1216" s="7">
        <f t="shared" si="92"/>
        <v>3335.1839953231797</v>
      </c>
      <c r="H1216" s="8">
        <f t="shared" si="93"/>
        <v>3573.4114235605498</v>
      </c>
      <c r="I1216" s="9">
        <f t="shared" si="94"/>
        <v>3811.6388517979199</v>
      </c>
    </row>
    <row r="1217" spans="1:9" x14ac:dyDescent="0.35">
      <c r="A1217" s="24" t="s">
        <v>5227</v>
      </c>
      <c r="B1217" s="24" t="s">
        <v>5235</v>
      </c>
      <c r="C1217" s="20">
        <v>45685</v>
      </c>
      <c r="D1217" s="11">
        <v>2201.3346121</v>
      </c>
      <c r="E1217" s="27">
        <f t="shared" si="90"/>
        <v>2450.5256901897196</v>
      </c>
      <c r="F1217" s="6">
        <f t="shared" si="91"/>
        <v>3185.6833972466356</v>
      </c>
      <c r="G1217" s="7">
        <f t="shared" si="92"/>
        <v>3430.7359662656072</v>
      </c>
      <c r="H1217" s="8">
        <f t="shared" si="93"/>
        <v>3675.7885352845797</v>
      </c>
      <c r="I1217" s="9">
        <f t="shared" si="94"/>
        <v>3920.8411043035517</v>
      </c>
    </row>
    <row r="1218" spans="1:9" x14ac:dyDescent="0.35">
      <c r="A1218" s="24"/>
      <c r="B1218" s="24"/>
      <c r="C1218" s="20">
        <v>45685</v>
      </c>
      <c r="D1218" s="11">
        <v>0</v>
      </c>
      <c r="E1218" s="27">
        <f t="shared" si="90"/>
        <v>0</v>
      </c>
      <c r="F1218" s="6">
        <f t="shared" si="91"/>
        <v>0</v>
      </c>
      <c r="G1218" s="7">
        <f t="shared" si="92"/>
        <v>0</v>
      </c>
      <c r="H1218" s="8">
        <f t="shared" si="93"/>
        <v>0</v>
      </c>
      <c r="I1218" s="9">
        <f t="shared" si="94"/>
        <v>0</v>
      </c>
    </row>
    <row r="1219" spans="1:9" x14ac:dyDescent="0.35">
      <c r="A1219" s="24" t="s">
        <v>5236</v>
      </c>
      <c r="B1219" s="24" t="s">
        <v>5237</v>
      </c>
      <c r="C1219" s="20">
        <v>45685</v>
      </c>
      <c r="D1219" s="11">
        <v>221.44643105000003</v>
      </c>
      <c r="E1219" s="27">
        <f t="shared" si="90"/>
        <v>246.51416704486005</v>
      </c>
      <c r="F1219" s="6">
        <f t="shared" si="91"/>
        <v>320.46841715831806</v>
      </c>
      <c r="G1219" s="7">
        <f t="shared" si="92"/>
        <v>345.11983386280406</v>
      </c>
      <c r="H1219" s="8">
        <f t="shared" si="93"/>
        <v>369.77125056729005</v>
      </c>
      <c r="I1219" s="9">
        <f t="shared" si="94"/>
        <v>394.42266727177611</v>
      </c>
    </row>
    <row r="1220" spans="1:9" x14ac:dyDescent="0.35">
      <c r="A1220" s="24" t="s">
        <v>5238</v>
      </c>
      <c r="B1220" s="24" t="s">
        <v>5247</v>
      </c>
      <c r="C1220" s="20">
        <v>45685</v>
      </c>
      <c r="D1220" s="11">
        <v>278.65440265000001</v>
      </c>
      <c r="E1220" s="27">
        <f t="shared" si="90"/>
        <v>310.19808102998002</v>
      </c>
      <c r="F1220" s="6">
        <f t="shared" si="91"/>
        <v>403.25750533897406</v>
      </c>
      <c r="G1220" s="7">
        <f t="shared" si="92"/>
        <v>434.27731344197201</v>
      </c>
      <c r="H1220" s="8">
        <f t="shared" si="93"/>
        <v>465.29712154497003</v>
      </c>
      <c r="I1220" s="9">
        <f t="shared" si="94"/>
        <v>496.31692964796804</v>
      </c>
    </row>
    <row r="1221" spans="1:9" x14ac:dyDescent="0.35">
      <c r="A1221" s="24" t="s">
        <v>5239</v>
      </c>
      <c r="B1221" s="24" t="s">
        <v>5248</v>
      </c>
      <c r="C1221" s="20">
        <v>45685</v>
      </c>
      <c r="D1221" s="11">
        <v>337.03466874999998</v>
      </c>
      <c r="E1221" s="27">
        <f t="shared" si="90"/>
        <v>375.18699325249997</v>
      </c>
      <c r="F1221" s="6">
        <f t="shared" si="91"/>
        <v>487.74309122824997</v>
      </c>
      <c r="G1221" s="7">
        <f t="shared" si="92"/>
        <v>525.26179055349996</v>
      </c>
      <c r="H1221" s="8">
        <f t="shared" si="93"/>
        <v>562.7804898787499</v>
      </c>
      <c r="I1221" s="9">
        <f t="shared" si="94"/>
        <v>600.29918920399996</v>
      </c>
    </row>
    <row r="1222" spans="1:9" x14ac:dyDescent="0.35">
      <c r="A1222" s="24" t="s">
        <v>5240</v>
      </c>
      <c r="B1222" s="24" t="s">
        <v>5249</v>
      </c>
      <c r="C1222" s="20">
        <v>45685</v>
      </c>
      <c r="D1222" s="11">
        <v>416.22316222500001</v>
      </c>
      <c r="E1222" s="27">
        <f t="shared" si="90"/>
        <v>463.33962418887006</v>
      </c>
      <c r="F1222" s="6">
        <f t="shared" si="91"/>
        <v>602.34151144553107</v>
      </c>
      <c r="G1222" s="7">
        <f t="shared" si="92"/>
        <v>648.675473864418</v>
      </c>
      <c r="H1222" s="8">
        <f t="shared" si="93"/>
        <v>695.00943628330515</v>
      </c>
      <c r="I1222" s="9">
        <f t="shared" si="94"/>
        <v>741.34339870219219</v>
      </c>
    </row>
    <row r="1223" spans="1:9" x14ac:dyDescent="0.35">
      <c r="A1223" s="24" t="s">
        <v>5241</v>
      </c>
      <c r="B1223" s="24" t="s">
        <v>5250</v>
      </c>
      <c r="C1223" s="20">
        <v>45685</v>
      </c>
      <c r="D1223" s="11">
        <v>453.38489787500004</v>
      </c>
      <c r="E1223" s="27">
        <f t="shared" si="90"/>
        <v>504.70806831445003</v>
      </c>
      <c r="F1223" s="6">
        <f t="shared" si="91"/>
        <v>656.12048880878501</v>
      </c>
      <c r="G1223" s="7">
        <f t="shared" si="92"/>
        <v>706.59129564022999</v>
      </c>
      <c r="H1223" s="8">
        <f t="shared" si="93"/>
        <v>757.06210247167508</v>
      </c>
      <c r="I1223" s="9">
        <f t="shared" si="94"/>
        <v>807.53290930312005</v>
      </c>
    </row>
    <row r="1224" spans="1:9" x14ac:dyDescent="0.35">
      <c r="A1224" s="24" t="s">
        <v>5242</v>
      </c>
      <c r="B1224" s="24" t="s">
        <v>5251</v>
      </c>
      <c r="C1224" s="20">
        <v>45685</v>
      </c>
      <c r="D1224" s="11">
        <v>602.03184047500008</v>
      </c>
      <c r="E1224" s="27">
        <f t="shared" si="90"/>
        <v>670.18184481677008</v>
      </c>
      <c r="F1224" s="6">
        <f t="shared" si="91"/>
        <v>871.23639826180113</v>
      </c>
      <c r="G1224" s="7">
        <f t="shared" si="92"/>
        <v>938.25458274347807</v>
      </c>
      <c r="H1224" s="8">
        <f t="shared" si="93"/>
        <v>1005.2727672251551</v>
      </c>
      <c r="I1224" s="9">
        <f t="shared" si="94"/>
        <v>1072.2909517068322</v>
      </c>
    </row>
    <row r="1225" spans="1:9" x14ac:dyDescent="0.35">
      <c r="A1225" s="24" t="s">
        <v>5243</v>
      </c>
      <c r="B1225" s="24" t="s">
        <v>5252</v>
      </c>
      <c r="C1225" s="20">
        <v>45685</v>
      </c>
      <c r="D1225" s="11">
        <v>711.3483025999999</v>
      </c>
      <c r="E1225" s="27">
        <f t="shared" si="90"/>
        <v>791.87293045431989</v>
      </c>
      <c r="F1225" s="6">
        <f t="shared" si="91"/>
        <v>1029.4348095906159</v>
      </c>
      <c r="G1225" s="7">
        <f t="shared" si="92"/>
        <v>1108.6221026360477</v>
      </c>
      <c r="H1225" s="8">
        <f t="shared" si="93"/>
        <v>1187.8093956814798</v>
      </c>
      <c r="I1225" s="9">
        <f t="shared" si="94"/>
        <v>1266.996688726912</v>
      </c>
    </row>
    <row r="1226" spans="1:9" x14ac:dyDescent="0.35">
      <c r="A1226" s="24" t="s">
        <v>5244</v>
      </c>
      <c r="B1226" s="24" t="s">
        <v>5253</v>
      </c>
      <c r="C1226" s="20">
        <v>45685</v>
      </c>
      <c r="D1226" s="11">
        <v>2140.0236097500001</v>
      </c>
      <c r="E1226" s="27">
        <f t="shared" si="90"/>
        <v>2382.2742823736999</v>
      </c>
      <c r="F1226" s="6">
        <f t="shared" si="91"/>
        <v>3096.9565670858101</v>
      </c>
      <c r="G1226" s="7">
        <f t="shared" si="92"/>
        <v>3335.1839953231797</v>
      </c>
      <c r="H1226" s="8">
        <f t="shared" si="93"/>
        <v>3573.4114235605498</v>
      </c>
      <c r="I1226" s="9">
        <f t="shared" si="94"/>
        <v>3811.6388517979199</v>
      </c>
    </row>
    <row r="1227" spans="1:9" x14ac:dyDescent="0.35">
      <c r="A1227" s="24" t="s">
        <v>5245</v>
      </c>
      <c r="B1227" s="24" t="s">
        <v>5254</v>
      </c>
      <c r="C1227" s="20">
        <v>45685</v>
      </c>
      <c r="D1227" s="11">
        <v>2201.3346121</v>
      </c>
      <c r="E1227" s="27">
        <f t="shared" si="90"/>
        <v>2450.5256901897196</v>
      </c>
      <c r="F1227" s="6">
        <f t="shared" si="91"/>
        <v>3185.6833972466356</v>
      </c>
      <c r="G1227" s="7">
        <f t="shared" si="92"/>
        <v>3430.7359662656072</v>
      </c>
      <c r="H1227" s="8">
        <f t="shared" si="93"/>
        <v>3675.7885352845797</v>
      </c>
      <c r="I1227" s="9">
        <f t="shared" si="94"/>
        <v>3920.8411043035517</v>
      </c>
    </row>
    <row r="1228" spans="1:9" x14ac:dyDescent="0.35">
      <c r="A1228" s="24" t="s">
        <v>5246</v>
      </c>
      <c r="B1228" s="24" t="s">
        <v>5255</v>
      </c>
      <c r="C1228" s="20">
        <v>45685</v>
      </c>
      <c r="D1228" s="11">
        <v>2531.8044316499995</v>
      </c>
      <c r="E1228" s="27">
        <f t="shared" ref="E1228:E1291" si="95">D1228*1.21*0.92</f>
        <v>2818.4046933127793</v>
      </c>
      <c r="F1228" s="6">
        <f t="shared" si="91"/>
        <v>3663.926101306613</v>
      </c>
      <c r="G1228" s="7">
        <f t="shared" si="92"/>
        <v>3945.7665706378907</v>
      </c>
      <c r="H1228" s="8">
        <f t="shared" si="93"/>
        <v>4227.6070399691689</v>
      </c>
      <c r="I1228" s="9">
        <f t="shared" si="94"/>
        <v>4509.4475093004467</v>
      </c>
    </row>
    <row r="1229" spans="1:9" x14ac:dyDescent="0.35">
      <c r="A1229" s="24"/>
      <c r="B1229" s="24"/>
      <c r="C1229" s="20">
        <v>45685</v>
      </c>
      <c r="D1229" s="11">
        <v>0</v>
      </c>
      <c r="E1229" s="27">
        <f t="shared" si="95"/>
        <v>0</v>
      </c>
      <c r="F1229" s="6">
        <f t="shared" si="91"/>
        <v>0</v>
      </c>
      <c r="G1229" s="7">
        <f t="shared" si="92"/>
        <v>0</v>
      </c>
      <c r="H1229" s="8">
        <f t="shared" si="93"/>
        <v>0</v>
      </c>
      <c r="I1229" s="9">
        <f t="shared" si="94"/>
        <v>0</v>
      </c>
    </row>
    <row r="1230" spans="1:9" x14ac:dyDescent="0.35">
      <c r="A1230" s="24" t="s">
        <v>5256</v>
      </c>
      <c r="B1230" s="24" t="s">
        <v>5257</v>
      </c>
      <c r="C1230" s="20">
        <v>45685</v>
      </c>
      <c r="D1230" s="11">
        <v>115.23654935</v>
      </c>
      <c r="E1230" s="27">
        <f t="shared" si="95"/>
        <v>128.28132673642</v>
      </c>
      <c r="F1230" s="6">
        <f t="shared" si="91"/>
        <v>166.76572475734599</v>
      </c>
      <c r="G1230" s="7">
        <f t="shared" si="92"/>
        <v>179.59385743098798</v>
      </c>
      <c r="H1230" s="8">
        <f t="shared" si="93"/>
        <v>192.42199010463</v>
      </c>
      <c r="I1230" s="9">
        <f t="shared" si="94"/>
        <v>205.25012277827202</v>
      </c>
    </row>
    <row r="1231" spans="1:9" x14ac:dyDescent="0.35">
      <c r="A1231" s="24" t="s">
        <v>5258</v>
      </c>
      <c r="B1231" s="24" t="s">
        <v>5264</v>
      </c>
      <c r="C1231" s="20">
        <v>45685</v>
      </c>
      <c r="D1231" s="11">
        <v>190.26339734999999</v>
      </c>
      <c r="E1231" s="27">
        <f t="shared" si="95"/>
        <v>211.80121393002</v>
      </c>
      <c r="F1231" s="6">
        <f t="shared" si="91"/>
        <v>275.34157810902599</v>
      </c>
      <c r="G1231" s="7">
        <f t="shared" si="92"/>
        <v>296.52169950202796</v>
      </c>
      <c r="H1231" s="8">
        <f t="shared" si="93"/>
        <v>317.70182089502998</v>
      </c>
      <c r="I1231" s="9">
        <f t="shared" si="94"/>
        <v>338.88194228803201</v>
      </c>
    </row>
    <row r="1232" spans="1:9" x14ac:dyDescent="0.35">
      <c r="A1232" s="24" t="s">
        <v>5259</v>
      </c>
      <c r="B1232" s="24" t="s">
        <v>5265</v>
      </c>
      <c r="C1232" s="20">
        <v>45685</v>
      </c>
      <c r="D1232" s="11">
        <v>276.07535475000003</v>
      </c>
      <c r="E1232" s="27">
        <f t="shared" si="95"/>
        <v>307.32708490770005</v>
      </c>
      <c r="F1232" s="6">
        <f t="shared" si="91"/>
        <v>399.52521038001009</v>
      </c>
      <c r="G1232" s="7">
        <f t="shared" si="92"/>
        <v>430.25791887078003</v>
      </c>
      <c r="H1232" s="8">
        <f t="shared" si="93"/>
        <v>460.99062736155008</v>
      </c>
      <c r="I1232" s="9">
        <f t="shared" si="94"/>
        <v>491.72333585232013</v>
      </c>
    </row>
    <row r="1233" spans="1:9" x14ac:dyDescent="0.35">
      <c r="A1233" s="24" t="s">
        <v>5260</v>
      </c>
      <c r="B1233" s="24" t="s">
        <v>5266</v>
      </c>
      <c r="C1233" s="20">
        <v>45685</v>
      </c>
      <c r="D1233" s="11">
        <v>514.40282660000003</v>
      </c>
      <c r="E1233" s="27">
        <f t="shared" si="95"/>
        <v>572.63322657112008</v>
      </c>
      <c r="F1233" s="6">
        <f t="shared" si="91"/>
        <v>744.42319454245614</v>
      </c>
      <c r="G1233" s="7">
        <f t="shared" si="92"/>
        <v>801.68651719956802</v>
      </c>
      <c r="H1233" s="8">
        <f t="shared" si="93"/>
        <v>858.94983985668011</v>
      </c>
      <c r="I1233" s="9">
        <f t="shared" si="94"/>
        <v>916.21316251379221</v>
      </c>
    </row>
    <row r="1234" spans="1:9" x14ac:dyDescent="0.35">
      <c r="A1234" s="24" t="s">
        <v>5261</v>
      </c>
      <c r="B1234" s="24" t="s">
        <v>5267</v>
      </c>
      <c r="C1234" s="20">
        <v>45685</v>
      </c>
      <c r="D1234" s="11">
        <v>669.73184784999989</v>
      </c>
      <c r="E1234" s="27">
        <f t="shared" si="95"/>
        <v>745.54549302661985</v>
      </c>
      <c r="F1234" s="6">
        <f t="shared" si="91"/>
        <v>969.20914093460578</v>
      </c>
      <c r="G1234" s="7">
        <f t="shared" si="92"/>
        <v>1043.7636902372678</v>
      </c>
      <c r="H1234" s="8">
        <f t="shared" si="93"/>
        <v>1118.3182395399299</v>
      </c>
      <c r="I1234" s="9">
        <f t="shared" si="94"/>
        <v>1192.8727888425917</v>
      </c>
    </row>
    <row r="1235" spans="1:9" x14ac:dyDescent="0.35">
      <c r="A1235" s="24" t="s">
        <v>5262</v>
      </c>
      <c r="B1235" s="24" t="s">
        <v>5268</v>
      </c>
      <c r="C1235" s="20">
        <v>45685</v>
      </c>
      <c r="D1235" s="11">
        <v>1453.4107211000003</v>
      </c>
      <c r="E1235" s="27">
        <f t="shared" si="95"/>
        <v>1617.9368147285204</v>
      </c>
      <c r="F1235" s="6">
        <f t="shared" si="91"/>
        <v>2103.3178591470764</v>
      </c>
      <c r="G1235" s="7">
        <f t="shared" si="92"/>
        <v>2265.1115406199283</v>
      </c>
      <c r="H1235" s="8">
        <f t="shared" si="93"/>
        <v>2426.9052220927806</v>
      </c>
      <c r="I1235" s="9">
        <f t="shared" si="94"/>
        <v>2588.6989035656329</v>
      </c>
    </row>
    <row r="1236" spans="1:9" x14ac:dyDescent="0.35">
      <c r="A1236" s="24" t="s">
        <v>5263</v>
      </c>
      <c r="B1236" s="24" t="s">
        <v>5269</v>
      </c>
      <c r="C1236" s="20">
        <v>45685</v>
      </c>
      <c r="D1236" s="11">
        <v>2357.3670100500003</v>
      </c>
      <c r="E1236" s="27">
        <f t="shared" si="95"/>
        <v>2624.2209555876602</v>
      </c>
      <c r="F1236" s="6">
        <f t="shared" si="91"/>
        <v>3411.4872422639583</v>
      </c>
      <c r="G1236" s="7">
        <f t="shared" si="92"/>
        <v>3673.909337822724</v>
      </c>
      <c r="H1236" s="8">
        <f t="shared" si="93"/>
        <v>3936.3314333814906</v>
      </c>
      <c r="I1236" s="9">
        <f t="shared" si="94"/>
        <v>4198.7535289402567</v>
      </c>
    </row>
    <row r="1237" spans="1:9" x14ac:dyDescent="0.35">
      <c r="A1237" s="24"/>
      <c r="B1237" s="24"/>
      <c r="C1237" s="20">
        <v>45685</v>
      </c>
      <c r="D1237" s="11">
        <v>0</v>
      </c>
      <c r="E1237" s="27">
        <f t="shared" si="95"/>
        <v>0</v>
      </c>
      <c r="F1237" s="6">
        <f t="shared" si="91"/>
        <v>0</v>
      </c>
      <c r="G1237" s="7">
        <f t="shared" si="92"/>
        <v>0</v>
      </c>
      <c r="H1237" s="8">
        <f t="shared" si="93"/>
        <v>0</v>
      </c>
      <c r="I1237" s="9">
        <f t="shared" si="94"/>
        <v>0</v>
      </c>
    </row>
    <row r="1238" spans="1:9" x14ac:dyDescent="0.35">
      <c r="A1238" s="24" t="s">
        <v>5270</v>
      </c>
      <c r="B1238" s="24" t="s">
        <v>5271</v>
      </c>
      <c r="C1238" s="20">
        <v>45685</v>
      </c>
      <c r="D1238" s="11">
        <v>694.23280290000014</v>
      </c>
      <c r="E1238" s="27">
        <f t="shared" si="95"/>
        <v>772.81995618828012</v>
      </c>
      <c r="F1238" s="6">
        <f t="shared" si="91"/>
        <v>1004.6659430447642</v>
      </c>
      <c r="G1238" s="7">
        <f t="shared" si="92"/>
        <v>1081.9479386635921</v>
      </c>
      <c r="H1238" s="8">
        <f t="shared" si="93"/>
        <v>1159.2299342824201</v>
      </c>
      <c r="I1238" s="9">
        <f t="shared" si="94"/>
        <v>1236.5119299012483</v>
      </c>
    </row>
    <row r="1239" spans="1:9" x14ac:dyDescent="0.35">
      <c r="A1239" s="24" t="s">
        <v>5274</v>
      </c>
      <c r="B1239" s="24" t="s">
        <v>5272</v>
      </c>
      <c r="C1239" s="20">
        <v>45685</v>
      </c>
      <c r="D1239" s="11">
        <v>955.42001749999997</v>
      </c>
      <c r="E1239" s="27">
        <f t="shared" si="95"/>
        <v>1063.5735634810001</v>
      </c>
      <c r="F1239" s="6">
        <f t="shared" si="91"/>
        <v>1382.6456325253002</v>
      </c>
      <c r="G1239" s="7">
        <f t="shared" si="92"/>
        <v>1489.0029888734</v>
      </c>
      <c r="H1239" s="8">
        <f t="shared" si="93"/>
        <v>1595.3603452215002</v>
      </c>
      <c r="I1239" s="9">
        <f t="shared" si="94"/>
        <v>1701.7177015696002</v>
      </c>
    </row>
    <row r="1240" spans="1:9" x14ac:dyDescent="0.35">
      <c r="A1240" s="24" t="s">
        <v>5275</v>
      </c>
      <c r="B1240" s="24" t="s">
        <v>5273</v>
      </c>
      <c r="C1240" s="20">
        <v>45685</v>
      </c>
      <c r="D1240" s="11">
        <v>1352.8278530000002</v>
      </c>
      <c r="E1240" s="27">
        <f t="shared" si="95"/>
        <v>1505.9679659596004</v>
      </c>
      <c r="F1240" s="6">
        <f t="shared" si="91"/>
        <v>1957.7583557474807</v>
      </c>
      <c r="G1240" s="7">
        <f t="shared" si="92"/>
        <v>2108.3551523434403</v>
      </c>
      <c r="H1240" s="8">
        <f t="shared" si="93"/>
        <v>2258.9519489394006</v>
      </c>
      <c r="I1240" s="9">
        <f t="shared" si="94"/>
        <v>2409.5487455353609</v>
      </c>
    </row>
    <row r="1241" spans="1:9" x14ac:dyDescent="0.35">
      <c r="A1241" s="24"/>
      <c r="B1241" s="24"/>
      <c r="C1241" s="20">
        <v>45685</v>
      </c>
      <c r="D1241" s="11">
        <v>0</v>
      </c>
      <c r="E1241" s="27">
        <f t="shared" si="95"/>
        <v>0</v>
      </c>
      <c r="F1241" s="6">
        <f t="shared" si="91"/>
        <v>0</v>
      </c>
      <c r="G1241" s="7">
        <f t="shared" si="92"/>
        <v>0</v>
      </c>
      <c r="H1241" s="8">
        <f t="shared" si="93"/>
        <v>0</v>
      </c>
      <c r="I1241" s="9">
        <f t="shared" si="94"/>
        <v>0</v>
      </c>
    </row>
    <row r="1242" spans="1:9" x14ac:dyDescent="0.35">
      <c r="A1242" s="24" t="s">
        <v>5276</v>
      </c>
      <c r="B1242" s="24" t="s">
        <v>5277</v>
      </c>
      <c r="C1242" s="20">
        <v>45685</v>
      </c>
      <c r="D1242" s="11">
        <v>509.18611607500009</v>
      </c>
      <c r="E1242" s="27">
        <f t="shared" si="95"/>
        <v>566.82598441469008</v>
      </c>
      <c r="F1242" s="6">
        <f t="shared" si="91"/>
        <v>736.87377973909713</v>
      </c>
      <c r="G1242" s="7">
        <f t="shared" si="92"/>
        <v>793.55637818056607</v>
      </c>
      <c r="H1242" s="8">
        <f t="shared" si="93"/>
        <v>850.23897662203512</v>
      </c>
      <c r="I1242" s="9">
        <f t="shared" si="94"/>
        <v>906.92157506350418</v>
      </c>
    </row>
    <row r="1243" spans="1:9" x14ac:dyDescent="0.35">
      <c r="A1243" s="24" t="s">
        <v>5279</v>
      </c>
      <c r="B1243" s="24" t="s">
        <v>5278</v>
      </c>
      <c r="C1243" s="20">
        <v>45685</v>
      </c>
      <c r="D1243" s="11">
        <v>735.20449567499986</v>
      </c>
      <c r="E1243" s="27">
        <f t="shared" si="95"/>
        <v>818.42964458540996</v>
      </c>
      <c r="F1243" s="6">
        <f t="shared" si="91"/>
        <v>1063.958537961033</v>
      </c>
      <c r="G1243" s="7">
        <f t="shared" si="92"/>
        <v>1145.8015024195738</v>
      </c>
      <c r="H1243" s="8">
        <f t="shared" si="93"/>
        <v>1227.6444668781151</v>
      </c>
      <c r="I1243" s="9">
        <f t="shared" si="94"/>
        <v>1309.4874313366561</v>
      </c>
    </row>
    <row r="1244" spans="1:9" x14ac:dyDescent="0.35">
      <c r="A1244" s="24"/>
      <c r="B1244" s="24"/>
      <c r="C1244" s="20">
        <v>45685</v>
      </c>
      <c r="D1244" s="11">
        <v>0</v>
      </c>
      <c r="E1244" s="27">
        <f t="shared" si="95"/>
        <v>0</v>
      </c>
      <c r="F1244" s="6">
        <f t="shared" si="91"/>
        <v>0</v>
      </c>
      <c r="G1244" s="7">
        <f t="shared" si="92"/>
        <v>0</v>
      </c>
      <c r="H1244" s="8">
        <f t="shared" si="93"/>
        <v>0</v>
      </c>
      <c r="I1244" s="9">
        <f t="shared" si="94"/>
        <v>0</v>
      </c>
    </row>
    <row r="1245" spans="1:9" x14ac:dyDescent="0.35">
      <c r="A1245" s="24" t="s">
        <v>5280</v>
      </c>
      <c r="B1245" s="24" t="s">
        <v>5281</v>
      </c>
      <c r="C1245" s="20">
        <v>45685</v>
      </c>
      <c r="D1245" s="11">
        <v>524.36732985000003</v>
      </c>
      <c r="E1245" s="27">
        <f t="shared" si="95"/>
        <v>583.72571158901997</v>
      </c>
      <c r="F1245" s="6">
        <f t="shared" si="91"/>
        <v>758.84342506572602</v>
      </c>
      <c r="G1245" s="7">
        <f t="shared" si="92"/>
        <v>817.21599622462793</v>
      </c>
      <c r="H1245" s="8">
        <f t="shared" si="93"/>
        <v>875.58856738352995</v>
      </c>
      <c r="I1245" s="9">
        <f t="shared" si="94"/>
        <v>933.96113854243197</v>
      </c>
    </row>
    <row r="1246" spans="1:9" x14ac:dyDescent="0.35">
      <c r="A1246" s="24" t="s">
        <v>5284</v>
      </c>
      <c r="B1246" s="24" t="s">
        <v>5282</v>
      </c>
      <c r="C1246" s="20">
        <v>45685</v>
      </c>
      <c r="D1246" s="11">
        <v>716.15471005000006</v>
      </c>
      <c r="E1246" s="27">
        <f t="shared" si="95"/>
        <v>797.22342322766008</v>
      </c>
      <c r="F1246" s="6">
        <f t="shared" si="91"/>
        <v>1036.3904501959582</v>
      </c>
      <c r="G1246" s="7">
        <f t="shared" si="92"/>
        <v>1116.1127925187241</v>
      </c>
      <c r="H1246" s="8">
        <f t="shared" si="93"/>
        <v>1195.8351348414901</v>
      </c>
      <c r="I1246" s="9">
        <f t="shared" si="94"/>
        <v>1275.5574771642562</v>
      </c>
    </row>
    <row r="1247" spans="1:9" x14ac:dyDescent="0.35">
      <c r="A1247" s="24" t="s">
        <v>5285</v>
      </c>
      <c r="B1247" s="24" t="s">
        <v>5283</v>
      </c>
      <c r="C1247" s="20">
        <v>45685</v>
      </c>
      <c r="D1247" s="11">
        <v>1014.0347425</v>
      </c>
      <c r="E1247" s="27">
        <f t="shared" si="95"/>
        <v>1128.8234753510001</v>
      </c>
      <c r="F1247" s="6">
        <f t="shared" si="91"/>
        <v>1467.4705179563002</v>
      </c>
      <c r="G1247" s="7">
        <f t="shared" si="92"/>
        <v>1580.3528654914001</v>
      </c>
      <c r="H1247" s="8">
        <f t="shared" si="93"/>
        <v>1693.2352130265001</v>
      </c>
      <c r="I1247" s="9">
        <f t="shared" si="94"/>
        <v>1806.1175605616002</v>
      </c>
    </row>
    <row r="1248" spans="1:9" x14ac:dyDescent="0.35">
      <c r="A1248" s="24"/>
      <c r="B1248" s="24"/>
      <c r="C1248" s="20">
        <v>45685</v>
      </c>
      <c r="D1248" s="11">
        <v>0</v>
      </c>
      <c r="E1248" s="27">
        <f t="shared" si="95"/>
        <v>0</v>
      </c>
      <c r="F1248" s="6">
        <f t="shared" si="91"/>
        <v>0</v>
      </c>
      <c r="G1248" s="7">
        <f t="shared" si="92"/>
        <v>0</v>
      </c>
      <c r="H1248" s="8">
        <f t="shared" si="93"/>
        <v>0</v>
      </c>
      <c r="I1248" s="9">
        <f t="shared" si="94"/>
        <v>0</v>
      </c>
    </row>
    <row r="1249" spans="1:9" x14ac:dyDescent="0.35">
      <c r="A1249" s="24" t="s">
        <v>5286</v>
      </c>
      <c r="B1249" s="24" t="s">
        <v>5289</v>
      </c>
      <c r="C1249" s="20">
        <v>45685</v>
      </c>
      <c r="D1249" s="11">
        <v>349.81267879999996</v>
      </c>
      <c r="E1249" s="27">
        <f t="shared" si="95"/>
        <v>389.41147404015993</v>
      </c>
      <c r="F1249" s="6">
        <f t="shared" si="91"/>
        <v>506.23491625220794</v>
      </c>
      <c r="G1249" s="7">
        <f t="shared" si="92"/>
        <v>545.17606365622385</v>
      </c>
      <c r="H1249" s="8">
        <f t="shared" si="93"/>
        <v>584.11721106023992</v>
      </c>
      <c r="I1249" s="9">
        <f t="shared" si="94"/>
        <v>623.05835846425589</v>
      </c>
    </row>
    <row r="1250" spans="1:9" x14ac:dyDescent="0.35">
      <c r="A1250" s="24" t="s">
        <v>5287</v>
      </c>
      <c r="B1250" s="24" t="s">
        <v>5290</v>
      </c>
      <c r="C1250" s="20">
        <v>45685</v>
      </c>
      <c r="D1250" s="11">
        <v>442.77563265000003</v>
      </c>
      <c r="E1250" s="27">
        <f t="shared" si="95"/>
        <v>492.89783426598001</v>
      </c>
      <c r="F1250" s="6">
        <f t="shared" si="91"/>
        <v>640.76718454577406</v>
      </c>
      <c r="G1250" s="7">
        <f t="shared" si="92"/>
        <v>690.05696797237192</v>
      </c>
      <c r="H1250" s="8">
        <f t="shared" si="93"/>
        <v>739.34675139897001</v>
      </c>
      <c r="I1250" s="9">
        <f t="shared" si="94"/>
        <v>788.63653482556811</v>
      </c>
    </row>
    <row r="1251" spans="1:9" x14ac:dyDescent="0.35">
      <c r="A1251" s="24" t="s">
        <v>5288</v>
      </c>
      <c r="B1251" s="24" t="s">
        <v>5291</v>
      </c>
      <c r="C1251" s="20">
        <v>45685</v>
      </c>
      <c r="D1251" s="11">
        <v>664.22206370000004</v>
      </c>
      <c r="E1251" s="27">
        <f t="shared" si="95"/>
        <v>739.41200131084008</v>
      </c>
      <c r="F1251" s="6">
        <f t="shared" si="91"/>
        <v>961.23560170409212</v>
      </c>
      <c r="G1251" s="7">
        <f t="shared" si="92"/>
        <v>1035.1768018351761</v>
      </c>
      <c r="H1251" s="8">
        <f t="shared" si="93"/>
        <v>1109.1180019662602</v>
      </c>
      <c r="I1251" s="9">
        <f t="shared" si="94"/>
        <v>1183.0592020973443</v>
      </c>
    </row>
    <row r="1252" spans="1:9" x14ac:dyDescent="0.35">
      <c r="A1252" s="24"/>
      <c r="B1252" s="24"/>
      <c r="C1252" s="20">
        <v>45685</v>
      </c>
      <c r="D1252" s="11">
        <v>0</v>
      </c>
      <c r="E1252" s="27">
        <f t="shared" si="95"/>
        <v>0</v>
      </c>
      <c r="F1252" s="6">
        <f t="shared" si="91"/>
        <v>0</v>
      </c>
      <c r="G1252" s="7">
        <f t="shared" si="92"/>
        <v>0</v>
      </c>
      <c r="H1252" s="8">
        <f t="shared" si="93"/>
        <v>0</v>
      </c>
      <c r="I1252" s="9">
        <f t="shared" si="94"/>
        <v>0</v>
      </c>
    </row>
    <row r="1253" spans="1:9" x14ac:dyDescent="0.35">
      <c r="A1253" s="24" t="s">
        <v>5292</v>
      </c>
      <c r="B1253" s="24" t="s">
        <v>5293</v>
      </c>
      <c r="C1253" s="20">
        <v>45685</v>
      </c>
      <c r="D1253" s="11">
        <v>825.17809855000007</v>
      </c>
      <c r="E1253" s="27">
        <f t="shared" si="95"/>
        <v>918.58825930586011</v>
      </c>
      <c r="F1253" s="6">
        <f t="shared" si="91"/>
        <v>1194.1647370976182</v>
      </c>
      <c r="G1253" s="7">
        <f t="shared" si="92"/>
        <v>1286.0235630282041</v>
      </c>
      <c r="H1253" s="8">
        <f t="shared" si="93"/>
        <v>1377.8823889587902</v>
      </c>
      <c r="I1253" s="9">
        <f t="shared" si="94"/>
        <v>1469.7412148893764</v>
      </c>
    </row>
    <row r="1254" spans="1:9" x14ac:dyDescent="0.35">
      <c r="A1254" s="24" t="s">
        <v>5296</v>
      </c>
      <c r="B1254" s="24" t="s">
        <v>5294</v>
      </c>
      <c r="C1254" s="20">
        <v>45685</v>
      </c>
      <c r="D1254" s="11">
        <v>1036.7186410750001</v>
      </c>
      <c r="E1254" s="27">
        <f t="shared" si="95"/>
        <v>1154.0751912446899</v>
      </c>
      <c r="F1254" s="6">
        <f t="shared" si="91"/>
        <v>1500.2977486180969</v>
      </c>
      <c r="G1254" s="7">
        <f t="shared" si="92"/>
        <v>1615.7052677425659</v>
      </c>
      <c r="H1254" s="8">
        <f t="shared" si="93"/>
        <v>1731.1127868670349</v>
      </c>
      <c r="I1254" s="9">
        <f t="shared" si="94"/>
        <v>1846.5203059915038</v>
      </c>
    </row>
    <row r="1255" spans="1:9" x14ac:dyDescent="0.35">
      <c r="A1255" s="24" t="s">
        <v>5297</v>
      </c>
      <c r="B1255" s="24" t="s">
        <v>5295</v>
      </c>
      <c r="C1255" s="20">
        <v>45685</v>
      </c>
      <c r="D1255" s="11">
        <v>1557.8621610500002</v>
      </c>
      <c r="E1255" s="27">
        <f t="shared" si="95"/>
        <v>1734.2121576808602</v>
      </c>
      <c r="F1255" s="6">
        <f t="shared" si="91"/>
        <v>2254.4758049851184</v>
      </c>
      <c r="G1255" s="7">
        <f t="shared" si="92"/>
        <v>2427.8970207532043</v>
      </c>
      <c r="H1255" s="8">
        <f t="shared" si="93"/>
        <v>2601.3182365212901</v>
      </c>
      <c r="I1255" s="9">
        <f t="shared" si="94"/>
        <v>2774.7394522893765</v>
      </c>
    </row>
    <row r="1256" spans="1:9" x14ac:dyDescent="0.35">
      <c r="A1256" s="24"/>
      <c r="B1256" s="24"/>
      <c r="C1256" s="20">
        <v>45685</v>
      </c>
      <c r="D1256" s="11">
        <v>0</v>
      </c>
      <c r="E1256" s="27">
        <f t="shared" si="95"/>
        <v>0</v>
      </c>
      <c r="F1256" s="6">
        <f t="shared" si="91"/>
        <v>0</v>
      </c>
      <c r="G1256" s="7">
        <f t="shared" si="92"/>
        <v>0</v>
      </c>
      <c r="H1256" s="8">
        <f t="shared" si="93"/>
        <v>0</v>
      </c>
      <c r="I1256" s="9">
        <f t="shared" si="94"/>
        <v>0</v>
      </c>
    </row>
    <row r="1257" spans="1:9" x14ac:dyDescent="0.35">
      <c r="A1257" s="24" t="s">
        <v>5298</v>
      </c>
      <c r="B1257" s="24" t="s">
        <v>5299</v>
      </c>
      <c r="C1257" s="20">
        <v>45685</v>
      </c>
      <c r="D1257" s="11">
        <v>6911.1449953000001</v>
      </c>
      <c r="E1257" s="27">
        <f t="shared" si="95"/>
        <v>7693.4866087679611</v>
      </c>
      <c r="F1257" s="6">
        <f t="shared" si="91"/>
        <v>10001.532591398351</v>
      </c>
      <c r="G1257" s="7">
        <f t="shared" si="92"/>
        <v>10770.881252275145</v>
      </c>
      <c r="H1257" s="8">
        <f t="shared" si="93"/>
        <v>11540.229913151941</v>
      </c>
      <c r="I1257" s="9">
        <f t="shared" si="94"/>
        <v>12309.578574028739</v>
      </c>
    </row>
    <row r="1258" spans="1:9" x14ac:dyDescent="0.35">
      <c r="A1258" s="24" t="s">
        <v>5303</v>
      </c>
      <c r="B1258" s="24" t="s">
        <v>5300</v>
      </c>
      <c r="C1258" s="20">
        <v>45685</v>
      </c>
      <c r="D1258" s="11">
        <v>7626.2446403000013</v>
      </c>
      <c r="E1258" s="27">
        <f t="shared" si="95"/>
        <v>8489.5355335819622</v>
      </c>
      <c r="F1258" s="6">
        <f t="shared" ref="F1258:F1321" si="96">E1258*1.3</f>
        <v>11036.396193656552</v>
      </c>
      <c r="G1258" s="7">
        <f t="shared" ref="G1258:G1321" si="97">E1258*1.4</f>
        <v>11885.349747014747</v>
      </c>
      <c r="H1258" s="8">
        <f t="shared" ref="H1258:H1321" si="98">E1258*1.5</f>
        <v>12734.303300372943</v>
      </c>
      <c r="I1258" s="9">
        <f t="shared" ref="I1258:I1321" si="99">E1258*1.6</f>
        <v>13583.25685373114</v>
      </c>
    </row>
    <row r="1259" spans="1:9" x14ac:dyDescent="0.35">
      <c r="A1259" s="24" t="s">
        <v>5304</v>
      </c>
      <c r="B1259" s="24" t="s">
        <v>5301</v>
      </c>
      <c r="C1259" s="20">
        <v>45685</v>
      </c>
      <c r="D1259" s="11">
        <v>9114.9414258500019</v>
      </c>
      <c r="E1259" s="27">
        <f t="shared" si="95"/>
        <v>10146.752795256223</v>
      </c>
      <c r="F1259" s="6">
        <f t="shared" si="96"/>
        <v>13190.77863383309</v>
      </c>
      <c r="G1259" s="7">
        <f t="shared" si="97"/>
        <v>14205.453913358711</v>
      </c>
      <c r="H1259" s="8">
        <f t="shared" si="98"/>
        <v>15220.129192884335</v>
      </c>
      <c r="I1259" s="9">
        <f t="shared" si="99"/>
        <v>16234.804472409958</v>
      </c>
    </row>
    <row r="1260" spans="1:9" x14ac:dyDescent="0.35">
      <c r="A1260" s="24" t="s">
        <v>5305</v>
      </c>
      <c r="B1260" s="24" t="s">
        <v>5302</v>
      </c>
      <c r="C1260" s="20">
        <v>45685</v>
      </c>
      <c r="D1260" s="11">
        <v>13261.464301800001</v>
      </c>
      <c r="E1260" s="27">
        <f t="shared" si="95"/>
        <v>14762.66206076376</v>
      </c>
      <c r="F1260" s="6">
        <f t="shared" si="96"/>
        <v>19191.460678992888</v>
      </c>
      <c r="G1260" s="7">
        <f t="shared" si="97"/>
        <v>20667.726885069264</v>
      </c>
      <c r="H1260" s="8">
        <f t="shared" si="98"/>
        <v>22143.993091145639</v>
      </c>
      <c r="I1260" s="9">
        <f t="shared" si="99"/>
        <v>23620.259297222015</v>
      </c>
    </row>
    <row r="1261" spans="1:9" ht="18" x14ac:dyDescent="0.4">
      <c r="B1261" s="19" t="s">
        <v>5306</v>
      </c>
      <c r="D1261" s="11">
        <v>0</v>
      </c>
      <c r="E1261" s="27">
        <f t="shared" si="95"/>
        <v>0</v>
      </c>
      <c r="F1261" s="6">
        <f t="shared" si="96"/>
        <v>0</v>
      </c>
      <c r="G1261" s="7">
        <f t="shared" si="97"/>
        <v>0</v>
      </c>
      <c r="H1261" s="8">
        <f t="shared" si="98"/>
        <v>0</v>
      </c>
      <c r="I1261" s="9">
        <f t="shared" si="99"/>
        <v>0</v>
      </c>
    </row>
    <row r="1262" spans="1:9" x14ac:dyDescent="0.35">
      <c r="A1262" s="24" t="s">
        <v>5307</v>
      </c>
      <c r="B1262" s="24" t="s">
        <v>5308</v>
      </c>
      <c r="C1262" s="20">
        <v>45685</v>
      </c>
      <c r="D1262" s="11">
        <v>1013.70650004</v>
      </c>
      <c r="E1262" s="27">
        <f t="shared" si="95"/>
        <v>1128.4580758445279</v>
      </c>
      <c r="F1262" s="6">
        <f t="shared" si="96"/>
        <v>1466.9954985978864</v>
      </c>
      <c r="G1262" s="7">
        <f t="shared" si="97"/>
        <v>1579.8413061823389</v>
      </c>
      <c r="H1262" s="8">
        <f t="shared" si="98"/>
        <v>1692.6871137667918</v>
      </c>
      <c r="I1262" s="9">
        <f t="shared" si="99"/>
        <v>1805.5329213512448</v>
      </c>
    </row>
    <row r="1263" spans="1:9" x14ac:dyDescent="0.35">
      <c r="A1263" s="24" t="s">
        <v>5313</v>
      </c>
      <c r="B1263" s="24" t="s">
        <v>5309</v>
      </c>
      <c r="C1263" s="20">
        <v>45685</v>
      </c>
      <c r="D1263" s="11">
        <v>1374.1167211200002</v>
      </c>
      <c r="E1263" s="27">
        <f t="shared" si="95"/>
        <v>1529.6667339507844</v>
      </c>
      <c r="F1263" s="6">
        <f t="shared" si="96"/>
        <v>1988.5667541360199</v>
      </c>
      <c r="G1263" s="7">
        <f t="shared" si="97"/>
        <v>2141.5334275310979</v>
      </c>
      <c r="H1263" s="8">
        <f t="shared" si="98"/>
        <v>2294.5001009261769</v>
      </c>
      <c r="I1263" s="9">
        <f t="shared" si="99"/>
        <v>2447.4667743212553</v>
      </c>
    </row>
    <row r="1264" spans="1:9" x14ac:dyDescent="0.35">
      <c r="A1264" s="24" t="s">
        <v>5314</v>
      </c>
      <c r="B1264" s="24" t="s">
        <v>5310</v>
      </c>
      <c r="C1264" s="20">
        <v>45685</v>
      </c>
      <c r="D1264" s="11">
        <v>1459.5769901699998</v>
      </c>
      <c r="E1264" s="27">
        <f t="shared" si="95"/>
        <v>1624.8011054572437</v>
      </c>
      <c r="F1264" s="6">
        <f t="shared" si="96"/>
        <v>2112.2414370944171</v>
      </c>
      <c r="G1264" s="7">
        <f t="shared" si="97"/>
        <v>2274.7215476401411</v>
      </c>
      <c r="H1264" s="8">
        <f t="shared" si="98"/>
        <v>2437.2016581858657</v>
      </c>
      <c r="I1264" s="9">
        <f t="shared" si="99"/>
        <v>2599.6817687315902</v>
      </c>
    </row>
    <row r="1265" spans="1:9" x14ac:dyDescent="0.35">
      <c r="A1265" s="24" t="s">
        <v>5315</v>
      </c>
      <c r="B1265" s="24" t="s">
        <v>5311</v>
      </c>
      <c r="C1265" s="20">
        <v>45685</v>
      </c>
      <c r="D1265" s="11">
        <v>2293.3421459325009</v>
      </c>
      <c r="E1265" s="27">
        <f t="shared" si="95"/>
        <v>2552.9484768520597</v>
      </c>
      <c r="F1265" s="6">
        <f t="shared" si="96"/>
        <v>3318.8330199076777</v>
      </c>
      <c r="G1265" s="7">
        <f t="shared" si="97"/>
        <v>3574.1278675928834</v>
      </c>
      <c r="H1265" s="8">
        <f t="shared" si="98"/>
        <v>3829.4227152780895</v>
      </c>
      <c r="I1265" s="9">
        <f t="shared" si="99"/>
        <v>4084.7175629632957</v>
      </c>
    </row>
    <row r="1266" spans="1:9" x14ac:dyDescent="0.35">
      <c r="A1266" s="24" t="s">
        <v>5316</v>
      </c>
      <c r="B1266" s="24" t="s">
        <v>5312</v>
      </c>
      <c r="C1266" s="20">
        <v>45685</v>
      </c>
      <c r="D1266" s="11">
        <v>2734.4120900850003</v>
      </c>
      <c r="E1266" s="27">
        <f t="shared" si="95"/>
        <v>3043.9475386826225</v>
      </c>
      <c r="F1266" s="6">
        <f t="shared" si="96"/>
        <v>3957.1318002874095</v>
      </c>
      <c r="G1266" s="7">
        <f t="shared" si="97"/>
        <v>4261.526554155671</v>
      </c>
      <c r="H1266" s="8">
        <f t="shared" si="98"/>
        <v>4565.9213080239333</v>
      </c>
      <c r="I1266" s="9">
        <f t="shared" si="99"/>
        <v>4870.3160618921966</v>
      </c>
    </row>
    <row r="1267" spans="1:9" x14ac:dyDescent="0.35">
      <c r="A1267" s="24"/>
      <c r="B1267" s="24"/>
      <c r="C1267" s="20">
        <v>45685</v>
      </c>
      <c r="D1267" s="11">
        <v>0</v>
      </c>
      <c r="E1267" s="27">
        <f t="shared" si="95"/>
        <v>0</v>
      </c>
      <c r="F1267" s="6">
        <f t="shared" si="96"/>
        <v>0</v>
      </c>
      <c r="G1267" s="7">
        <f t="shared" si="97"/>
        <v>0</v>
      </c>
      <c r="H1267" s="8">
        <f t="shared" si="98"/>
        <v>0</v>
      </c>
      <c r="I1267" s="9">
        <f t="shared" si="99"/>
        <v>0</v>
      </c>
    </row>
    <row r="1268" spans="1:9" x14ac:dyDescent="0.35">
      <c r="A1268" s="24" t="s">
        <v>5317</v>
      </c>
      <c r="B1268" s="24" t="s">
        <v>5318</v>
      </c>
      <c r="C1268" s="20">
        <v>45685</v>
      </c>
      <c r="D1268" s="11">
        <v>1165.4248542300002</v>
      </c>
      <c r="E1268" s="27">
        <f t="shared" si="95"/>
        <v>1297.3509477288362</v>
      </c>
      <c r="F1268" s="6">
        <f t="shared" si="96"/>
        <v>1686.5562320474871</v>
      </c>
      <c r="G1268" s="7">
        <f t="shared" si="97"/>
        <v>1816.2913268203706</v>
      </c>
      <c r="H1268" s="8">
        <f t="shared" si="98"/>
        <v>1946.0264215932543</v>
      </c>
      <c r="I1268" s="9">
        <f t="shared" si="99"/>
        <v>2075.761516366138</v>
      </c>
    </row>
    <row r="1269" spans="1:9" x14ac:dyDescent="0.35">
      <c r="A1269" s="24" t="s">
        <v>5319</v>
      </c>
      <c r="B1269" s="24" t="s">
        <v>5323</v>
      </c>
      <c r="C1269" s="20">
        <v>45685</v>
      </c>
      <c r="D1269" s="11">
        <v>1588.8224587950003</v>
      </c>
      <c r="E1269" s="27">
        <f t="shared" si="95"/>
        <v>1768.6771611305944</v>
      </c>
      <c r="F1269" s="6">
        <f t="shared" si="96"/>
        <v>2299.2803094697729</v>
      </c>
      <c r="G1269" s="7">
        <f t="shared" si="97"/>
        <v>2476.1480255828319</v>
      </c>
      <c r="H1269" s="8">
        <f t="shared" si="98"/>
        <v>2653.0157416958918</v>
      </c>
      <c r="I1269" s="9">
        <f t="shared" si="99"/>
        <v>2829.8834578089513</v>
      </c>
    </row>
    <row r="1270" spans="1:9" x14ac:dyDescent="0.35">
      <c r="A1270" s="24" t="s">
        <v>5320</v>
      </c>
      <c r="B1270" s="24" t="s">
        <v>5324</v>
      </c>
      <c r="C1270" s="20">
        <v>45685</v>
      </c>
      <c r="D1270" s="11">
        <v>1644.8464129500001</v>
      </c>
      <c r="E1270" s="27">
        <f t="shared" si="95"/>
        <v>1831.0430268959401</v>
      </c>
      <c r="F1270" s="6">
        <f t="shared" si="96"/>
        <v>2380.3559349647221</v>
      </c>
      <c r="G1270" s="7">
        <f t="shared" si="97"/>
        <v>2563.4602376543162</v>
      </c>
      <c r="H1270" s="8">
        <f t="shared" si="98"/>
        <v>2746.5645403439103</v>
      </c>
      <c r="I1270" s="9">
        <f t="shared" si="99"/>
        <v>2929.6688430335043</v>
      </c>
    </row>
    <row r="1271" spans="1:9" x14ac:dyDescent="0.35">
      <c r="A1271" s="24" t="s">
        <v>5321</v>
      </c>
      <c r="B1271" s="24" t="s">
        <v>5325</v>
      </c>
      <c r="C1271" s="20">
        <v>45685</v>
      </c>
      <c r="D1271" s="11">
        <v>2458.8290990250002</v>
      </c>
      <c r="E1271" s="27">
        <f t="shared" si="95"/>
        <v>2737.1685530346303</v>
      </c>
      <c r="F1271" s="6">
        <f t="shared" si="96"/>
        <v>3558.3191189450195</v>
      </c>
      <c r="G1271" s="7">
        <f t="shared" si="97"/>
        <v>3832.035974248482</v>
      </c>
      <c r="H1271" s="8">
        <f t="shared" si="98"/>
        <v>4105.752829551946</v>
      </c>
      <c r="I1271" s="9">
        <f t="shared" si="99"/>
        <v>4379.4696848554086</v>
      </c>
    </row>
    <row r="1272" spans="1:9" x14ac:dyDescent="0.35">
      <c r="A1272" s="24" t="s">
        <v>5322</v>
      </c>
      <c r="B1272" s="24" t="s">
        <v>5326</v>
      </c>
      <c r="C1272" s="20">
        <v>45685</v>
      </c>
      <c r="D1272" s="11">
        <v>3116.8731707100005</v>
      </c>
      <c r="E1272" s="27">
        <f t="shared" si="95"/>
        <v>3469.7032136343728</v>
      </c>
      <c r="F1272" s="6">
        <f t="shared" si="96"/>
        <v>4510.6141777246849</v>
      </c>
      <c r="G1272" s="7">
        <f t="shared" si="97"/>
        <v>4857.5844990881214</v>
      </c>
      <c r="H1272" s="8">
        <f t="shared" si="98"/>
        <v>5204.554820451559</v>
      </c>
      <c r="I1272" s="9">
        <f t="shared" si="99"/>
        <v>5551.5251418149965</v>
      </c>
    </row>
    <row r="1273" spans="1:9" x14ac:dyDescent="0.35">
      <c r="A1273" s="24"/>
      <c r="B1273" s="24"/>
      <c r="C1273" s="20">
        <v>45685</v>
      </c>
      <c r="D1273" s="11">
        <v>0</v>
      </c>
      <c r="E1273" s="27">
        <f t="shared" si="95"/>
        <v>0</v>
      </c>
      <c r="F1273" s="6">
        <f t="shared" si="96"/>
        <v>0</v>
      </c>
      <c r="G1273" s="7">
        <f t="shared" si="97"/>
        <v>0</v>
      </c>
      <c r="H1273" s="8">
        <f t="shared" si="98"/>
        <v>0</v>
      </c>
      <c r="I1273" s="9">
        <f t="shared" si="99"/>
        <v>0</v>
      </c>
    </row>
    <row r="1274" spans="1:9" x14ac:dyDescent="0.35">
      <c r="A1274" s="24" t="s">
        <v>5327</v>
      </c>
      <c r="B1274" s="24" t="s">
        <v>5328</v>
      </c>
      <c r="C1274" s="20">
        <v>45685</v>
      </c>
      <c r="D1274" s="11">
        <v>911.41794344250013</v>
      </c>
      <c r="E1274" s="27">
        <f t="shared" si="95"/>
        <v>1014.5904546401912</v>
      </c>
      <c r="F1274" s="6">
        <f t="shared" si="96"/>
        <v>1318.9675910322485</v>
      </c>
      <c r="G1274" s="7">
        <f t="shared" si="97"/>
        <v>1420.4266364962675</v>
      </c>
      <c r="H1274" s="8">
        <f t="shared" si="98"/>
        <v>1521.8856819602868</v>
      </c>
      <c r="I1274" s="9">
        <f t="shared" si="99"/>
        <v>1623.344727424306</v>
      </c>
    </row>
    <row r="1275" spans="1:9" x14ac:dyDescent="0.35">
      <c r="A1275" s="24" t="s">
        <v>5329</v>
      </c>
      <c r="B1275" s="24" t="s">
        <v>5339</v>
      </c>
      <c r="C1275" s="20">
        <v>45685</v>
      </c>
      <c r="D1275" s="11">
        <v>915.4271906324999</v>
      </c>
      <c r="E1275" s="27">
        <f t="shared" si="95"/>
        <v>1019.0535486120989</v>
      </c>
      <c r="F1275" s="6">
        <f t="shared" si="96"/>
        <v>1324.7696131957287</v>
      </c>
      <c r="G1275" s="7">
        <f t="shared" si="97"/>
        <v>1426.6749680569383</v>
      </c>
      <c r="H1275" s="8">
        <f t="shared" si="98"/>
        <v>1528.5803229181483</v>
      </c>
      <c r="I1275" s="9">
        <f t="shared" si="99"/>
        <v>1630.4856777793584</v>
      </c>
    </row>
    <row r="1276" spans="1:9" x14ac:dyDescent="0.35">
      <c r="A1276" s="24" t="s">
        <v>5330</v>
      </c>
      <c r="B1276" s="24" t="s">
        <v>5340</v>
      </c>
      <c r="C1276" s="20">
        <v>45685</v>
      </c>
      <c r="D1276" s="11">
        <v>1252.1512013399999</v>
      </c>
      <c r="E1276" s="27">
        <f t="shared" si="95"/>
        <v>1393.8947173316878</v>
      </c>
      <c r="F1276" s="6">
        <f t="shared" si="96"/>
        <v>1812.0631325311942</v>
      </c>
      <c r="G1276" s="7">
        <f t="shared" si="97"/>
        <v>1951.4526042643629</v>
      </c>
      <c r="H1276" s="8">
        <f t="shared" si="98"/>
        <v>2090.8420759975315</v>
      </c>
      <c r="I1276" s="9">
        <f t="shared" si="99"/>
        <v>2230.2315477307006</v>
      </c>
    </row>
    <row r="1277" spans="1:9" x14ac:dyDescent="0.35">
      <c r="A1277" s="24" t="s">
        <v>5331</v>
      </c>
      <c r="B1277" s="24" t="s">
        <v>5341</v>
      </c>
      <c r="C1277" s="20">
        <v>45685</v>
      </c>
      <c r="D1277" s="11">
        <v>1180.4067779400004</v>
      </c>
      <c r="E1277" s="27">
        <f t="shared" si="95"/>
        <v>1314.0288252028085</v>
      </c>
      <c r="F1277" s="6">
        <f t="shared" si="96"/>
        <v>1708.2374727636511</v>
      </c>
      <c r="G1277" s="7">
        <f t="shared" si="97"/>
        <v>1839.6403552839317</v>
      </c>
      <c r="H1277" s="8">
        <f t="shared" si="98"/>
        <v>1971.0432378042128</v>
      </c>
      <c r="I1277" s="9">
        <f t="shared" si="99"/>
        <v>2102.4461203244937</v>
      </c>
    </row>
    <row r="1278" spans="1:9" x14ac:dyDescent="0.35">
      <c r="A1278" s="24" t="s">
        <v>5332</v>
      </c>
      <c r="B1278" s="24" t="s">
        <v>5342</v>
      </c>
      <c r="C1278" s="20">
        <v>45685</v>
      </c>
      <c r="D1278" s="11">
        <v>1335.5013402899999</v>
      </c>
      <c r="E1278" s="27">
        <f t="shared" si="95"/>
        <v>1486.6800920108278</v>
      </c>
      <c r="F1278" s="6">
        <f t="shared" si="96"/>
        <v>1932.6841196140763</v>
      </c>
      <c r="G1278" s="7">
        <f t="shared" si="97"/>
        <v>2081.3521288151587</v>
      </c>
      <c r="H1278" s="8">
        <f t="shared" si="98"/>
        <v>2230.0201380162416</v>
      </c>
      <c r="I1278" s="9">
        <f t="shared" si="99"/>
        <v>2378.6881472173245</v>
      </c>
    </row>
    <row r="1279" spans="1:9" x14ac:dyDescent="0.35">
      <c r="A1279" s="24" t="s">
        <v>5333</v>
      </c>
      <c r="B1279" s="24" t="s">
        <v>5343</v>
      </c>
      <c r="C1279" s="20">
        <v>45685</v>
      </c>
      <c r="D1279" s="11">
        <v>2132.1809595450004</v>
      </c>
      <c r="E1279" s="27">
        <f t="shared" si="95"/>
        <v>2373.5438441654946</v>
      </c>
      <c r="F1279" s="6">
        <f t="shared" si="96"/>
        <v>3085.6069974151433</v>
      </c>
      <c r="G1279" s="7">
        <f t="shared" si="97"/>
        <v>3322.9613818316925</v>
      </c>
      <c r="H1279" s="8">
        <f t="shared" si="98"/>
        <v>3560.3157662482417</v>
      </c>
      <c r="I1279" s="9">
        <f t="shared" si="99"/>
        <v>3797.6701506647914</v>
      </c>
    </row>
    <row r="1280" spans="1:9" x14ac:dyDescent="0.35">
      <c r="A1280" s="24" t="s">
        <v>5334</v>
      </c>
      <c r="B1280" s="24" t="s">
        <v>5344</v>
      </c>
      <c r="C1280" s="20">
        <v>45685</v>
      </c>
      <c r="D1280" s="11">
        <v>2656.7593024050002</v>
      </c>
      <c r="E1280" s="27">
        <f t="shared" si="95"/>
        <v>2957.5044554372466</v>
      </c>
      <c r="F1280" s="6">
        <f t="shared" si="96"/>
        <v>3844.7557920684208</v>
      </c>
      <c r="G1280" s="7">
        <f t="shared" si="97"/>
        <v>4140.506237612145</v>
      </c>
      <c r="H1280" s="8">
        <f t="shared" si="98"/>
        <v>4436.2566831558697</v>
      </c>
      <c r="I1280" s="9">
        <f t="shared" si="99"/>
        <v>4732.0071286995944</v>
      </c>
    </row>
    <row r="1281" spans="1:9" x14ac:dyDescent="0.35">
      <c r="A1281" s="24" t="s">
        <v>5335</v>
      </c>
      <c r="B1281" s="24" t="s">
        <v>5345</v>
      </c>
      <c r="C1281" s="20">
        <v>45685</v>
      </c>
      <c r="D1281" s="11">
        <v>7512.2741690100002</v>
      </c>
      <c r="E1281" s="27">
        <f t="shared" si="95"/>
        <v>8362.6636049419321</v>
      </c>
      <c r="F1281" s="6">
        <f t="shared" si="96"/>
        <v>10871.462686424513</v>
      </c>
      <c r="G1281" s="7">
        <f t="shared" si="97"/>
        <v>11707.729046918705</v>
      </c>
      <c r="H1281" s="8">
        <f t="shared" si="98"/>
        <v>12543.995407412898</v>
      </c>
      <c r="I1281" s="9">
        <f t="shared" si="99"/>
        <v>13380.261767907092</v>
      </c>
    </row>
    <row r="1282" spans="1:9" x14ac:dyDescent="0.35">
      <c r="A1282" s="24" t="s">
        <v>5336</v>
      </c>
      <c r="B1282" s="24" t="s">
        <v>5433</v>
      </c>
      <c r="C1282" s="20">
        <v>45685</v>
      </c>
      <c r="D1282" s="11">
        <v>10441.293007567503</v>
      </c>
      <c r="E1282" s="27">
        <f t="shared" si="95"/>
        <v>11623.247376024145</v>
      </c>
      <c r="F1282" s="6">
        <f t="shared" si="96"/>
        <v>15110.221588831388</v>
      </c>
      <c r="G1282" s="7">
        <f t="shared" si="97"/>
        <v>16272.546326433801</v>
      </c>
      <c r="H1282" s="8">
        <f t="shared" si="98"/>
        <v>17434.871064036219</v>
      </c>
      <c r="I1282" s="9">
        <f t="shared" si="99"/>
        <v>18597.195801638631</v>
      </c>
    </row>
    <row r="1283" spans="1:9" x14ac:dyDescent="0.35">
      <c r="A1283" s="24" t="s">
        <v>5337</v>
      </c>
      <c r="B1283" s="24" t="s">
        <v>5346</v>
      </c>
      <c r="C1283" s="20">
        <v>45685</v>
      </c>
      <c r="D1283" s="11">
        <v>14118.880499100003</v>
      </c>
      <c r="E1283" s="27">
        <f t="shared" si="95"/>
        <v>15717.137771598123</v>
      </c>
      <c r="F1283" s="6">
        <f t="shared" si="96"/>
        <v>20432.279103077562</v>
      </c>
      <c r="G1283" s="7">
        <f t="shared" si="97"/>
        <v>22003.992880237372</v>
      </c>
      <c r="H1283" s="8">
        <f t="shared" si="98"/>
        <v>23575.706657397186</v>
      </c>
      <c r="I1283" s="9">
        <f t="shared" si="99"/>
        <v>25147.420434557</v>
      </c>
    </row>
    <row r="1284" spans="1:9" x14ac:dyDescent="0.35">
      <c r="A1284" s="24" t="s">
        <v>5338</v>
      </c>
      <c r="B1284" s="24" t="s">
        <v>5347</v>
      </c>
      <c r="C1284" s="20">
        <v>45685</v>
      </c>
      <c r="D1284" s="11">
        <v>29419.961386724997</v>
      </c>
      <c r="E1284" s="27">
        <f t="shared" si="95"/>
        <v>32750.301015702265</v>
      </c>
      <c r="F1284" s="6">
        <f t="shared" si="96"/>
        <v>42575.391320412949</v>
      </c>
      <c r="G1284" s="7">
        <f t="shared" si="97"/>
        <v>45850.42142198317</v>
      </c>
      <c r="H1284" s="8">
        <f t="shared" si="98"/>
        <v>49125.451523553398</v>
      </c>
      <c r="I1284" s="9">
        <f t="shared" si="99"/>
        <v>52400.481625123626</v>
      </c>
    </row>
    <row r="1285" spans="1:9" x14ac:dyDescent="0.35">
      <c r="A1285" s="24"/>
      <c r="B1285" s="24"/>
      <c r="C1285" s="20">
        <v>45685</v>
      </c>
      <c r="D1285" s="11">
        <v>0</v>
      </c>
      <c r="E1285" s="27">
        <f t="shared" si="95"/>
        <v>0</v>
      </c>
      <c r="F1285" s="6">
        <f t="shared" si="96"/>
        <v>0</v>
      </c>
      <c r="G1285" s="7">
        <f t="shared" si="97"/>
        <v>0</v>
      </c>
      <c r="H1285" s="8">
        <f t="shared" si="98"/>
        <v>0</v>
      </c>
      <c r="I1285" s="9">
        <f t="shared" si="99"/>
        <v>0</v>
      </c>
    </row>
    <row r="1286" spans="1:9" x14ac:dyDescent="0.35">
      <c r="A1286" s="24" t="s">
        <v>5348</v>
      </c>
      <c r="B1286" s="24" t="s">
        <v>5349</v>
      </c>
      <c r="C1286" s="20">
        <v>45685</v>
      </c>
      <c r="D1286" s="11">
        <v>1170.4891664700003</v>
      </c>
      <c r="E1286" s="27">
        <f t="shared" si="95"/>
        <v>1302.9885401144045</v>
      </c>
      <c r="F1286" s="6">
        <f t="shared" si="96"/>
        <v>1693.885102148726</v>
      </c>
      <c r="G1286" s="7">
        <f t="shared" si="97"/>
        <v>1824.1839561601662</v>
      </c>
      <c r="H1286" s="8">
        <f t="shared" si="98"/>
        <v>1954.4828101716066</v>
      </c>
      <c r="I1286" s="9">
        <f t="shared" si="99"/>
        <v>2084.7816641830473</v>
      </c>
    </row>
    <row r="1287" spans="1:9" x14ac:dyDescent="0.35">
      <c r="A1287" s="24" t="s">
        <v>5350</v>
      </c>
      <c r="B1287" s="24" t="s">
        <v>5359</v>
      </c>
      <c r="C1287" s="20">
        <v>45685</v>
      </c>
      <c r="D1287" s="11">
        <v>1367.9445905775001</v>
      </c>
      <c r="E1287" s="27">
        <f t="shared" si="95"/>
        <v>1522.795918230873</v>
      </c>
      <c r="F1287" s="6">
        <f t="shared" si="96"/>
        <v>1979.6346937001349</v>
      </c>
      <c r="G1287" s="7">
        <f t="shared" si="97"/>
        <v>2131.9142855232221</v>
      </c>
      <c r="H1287" s="8">
        <f t="shared" si="98"/>
        <v>2284.1938773463094</v>
      </c>
      <c r="I1287" s="9">
        <f t="shared" si="99"/>
        <v>2436.473469169397</v>
      </c>
    </row>
    <row r="1288" spans="1:9" x14ac:dyDescent="0.35">
      <c r="A1288" s="24" t="s">
        <v>5351</v>
      </c>
      <c r="B1288" s="24" t="s">
        <v>5360</v>
      </c>
      <c r="C1288" s="20">
        <v>45685</v>
      </c>
      <c r="D1288" s="11">
        <v>1276.4176974900001</v>
      </c>
      <c r="E1288" s="27">
        <f t="shared" si="95"/>
        <v>1420.9081808458682</v>
      </c>
      <c r="F1288" s="6">
        <f t="shared" si="96"/>
        <v>1847.1806350996287</v>
      </c>
      <c r="G1288" s="7">
        <f t="shared" si="97"/>
        <v>1989.2714531842153</v>
      </c>
      <c r="H1288" s="8">
        <f t="shared" si="98"/>
        <v>2131.362271268802</v>
      </c>
      <c r="I1288" s="9">
        <f t="shared" si="99"/>
        <v>2273.4530893533893</v>
      </c>
    </row>
    <row r="1289" spans="1:9" x14ac:dyDescent="0.35">
      <c r="A1289" s="24" t="s">
        <v>5352</v>
      </c>
      <c r="B1289" s="24" t="s">
        <v>5361</v>
      </c>
      <c r="C1289" s="20">
        <v>45685</v>
      </c>
      <c r="D1289" s="11">
        <v>1532.1654656100004</v>
      </c>
      <c r="E1289" s="27">
        <f t="shared" si="95"/>
        <v>1705.6065963170524</v>
      </c>
      <c r="F1289" s="6">
        <f t="shared" si="96"/>
        <v>2217.2885752121683</v>
      </c>
      <c r="G1289" s="7">
        <f t="shared" si="97"/>
        <v>2387.8492348438731</v>
      </c>
      <c r="H1289" s="8">
        <f t="shared" si="98"/>
        <v>2558.4098944755788</v>
      </c>
      <c r="I1289" s="9">
        <f t="shared" si="99"/>
        <v>2728.970554107284</v>
      </c>
    </row>
    <row r="1290" spans="1:9" x14ac:dyDescent="0.35">
      <c r="A1290" s="24" t="s">
        <v>5353</v>
      </c>
      <c r="B1290" s="24" t="s">
        <v>5362</v>
      </c>
      <c r="C1290" s="20">
        <v>45685</v>
      </c>
      <c r="D1290" s="11">
        <v>2350.6849314000001</v>
      </c>
      <c r="E1290" s="27">
        <f t="shared" si="95"/>
        <v>2616.7824656344801</v>
      </c>
      <c r="F1290" s="6">
        <f t="shared" si="96"/>
        <v>3401.817205324824</v>
      </c>
      <c r="G1290" s="7">
        <f t="shared" si="97"/>
        <v>3663.4954518882719</v>
      </c>
      <c r="H1290" s="8">
        <f t="shared" si="98"/>
        <v>3925.1736984517202</v>
      </c>
      <c r="I1290" s="9">
        <f t="shared" si="99"/>
        <v>4186.851945015168</v>
      </c>
    </row>
    <row r="1291" spans="1:9" x14ac:dyDescent="0.35">
      <c r="A1291" s="24" t="s">
        <v>5354</v>
      </c>
      <c r="B1291" s="24" t="s">
        <v>5363</v>
      </c>
      <c r="C1291" s="20">
        <v>45685</v>
      </c>
      <c r="D1291" s="11">
        <v>3482.8752365550004</v>
      </c>
      <c r="E1291" s="27">
        <f t="shared" si="95"/>
        <v>3877.1367133330264</v>
      </c>
      <c r="F1291" s="6">
        <f t="shared" si="96"/>
        <v>5040.2777273329348</v>
      </c>
      <c r="G1291" s="7">
        <f t="shared" si="97"/>
        <v>5427.9913986662368</v>
      </c>
      <c r="H1291" s="8">
        <f t="shared" si="98"/>
        <v>5815.7050699995398</v>
      </c>
      <c r="I1291" s="9">
        <f t="shared" si="99"/>
        <v>6203.4187413328427</v>
      </c>
    </row>
    <row r="1292" spans="1:9" x14ac:dyDescent="0.35">
      <c r="A1292" s="24" t="s">
        <v>5355</v>
      </c>
      <c r="B1292" s="24" t="s">
        <v>5364</v>
      </c>
      <c r="C1292" s="20">
        <v>45685</v>
      </c>
      <c r="D1292" s="11">
        <v>8754.2967458700004</v>
      </c>
      <c r="E1292" s="27">
        <f t="shared" ref="E1292:E1355" si="100">D1292*1.21*0.92</f>
        <v>9745.2831375024853</v>
      </c>
      <c r="F1292" s="6">
        <f t="shared" si="96"/>
        <v>12668.868078753232</v>
      </c>
      <c r="G1292" s="7">
        <f t="shared" si="97"/>
        <v>13643.396392503479</v>
      </c>
      <c r="H1292" s="8">
        <f t="shared" si="98"/>
        <v>14617.924706253729</v>
      </c>
      <c r="I1292" s="9">
        <f t="shared" si="99"/>
        <v>15592.453020003977</v>
      </c>
    </row>
    <row r="1293" spans="1:9" x14ac:dyDescent="0.35">
      <c r="A1293" s="24" t="s">
        <v>5356</v>
      </c>
      <c r="B1293" s="24" t="s">
        <v>5365</v>
      </c>
      <c r="C1293" s="20">
        <v>45685</v>
      </c>
      <c r="D1293" s="11">
        <v>12243.080346705001</v>
      </c>
      <c r="E1293" s="27">
        <f t="shared" si="100"/>
        <v>13628.997041952009</v>
      </c>
      <c r="F1293" s="6">
        <f t="shared" si="96"/>
        <v>17717.696154537611</v>
      </c>
      <c r="G1293" s="7">
        <f t="shared" si="97"/>
        <v>19080.59585873281</v>
      </c>
      <c r="H1293" s="8">
        <f t="shared" si="98"/>
        <v>20443.495562928012</v>
      </c>
      <c r="I1293" s="9">
        <f t="shared" si="99"/>
        <v>21806.395267123215</v>
      </c>
    </row>
    <row r="1294" spans="1:9" x14ac:dyDescent="0.35">
      <c r="A1294" s="24" t="s">
        <v>5357</v>
      </c>
      <c r="B1294" s="24" t="s">
        <v>5366</v>
      </c>
      <c r="C1294" s="20">
        <v>45685</v>
      </c>
      <c r="D1294" s="11">
        <v>18292.348564132506</v>
      </c>
      <c r="E1294" s="27">
        <f t="shared" si="100"/>
        <v>20363.042421592305</v>
      </c>
      <c r="F1294" s="6">
        <f t="shared" si="96"/>
        <v>26471.955148069996</v>
      </c>
      <c r="G1294" s="7">
        <f t="shared" si="97"/>
        <v>28508.259390229225</v>
      </c>
      <c r="H1294" s="8">
        <f t="shared" si="98"/>
        <v>30544.563632388457</v>
      </c>
      <c r="I1294" s="9">
        <f t="shared" si="99"/>
        <v>32580.86787454769</v>
      </c>
    </row>
    <row r="1295" spans="1:9" x14ac:dyDescent="0.35">
      <c r="A1295" s="24" t="s">
        <v>5358</v>
      </c>
      <c r="B1295" s="24" t="s">
        <v>5367</v>
      </c>
      <c r="C1295" s="20">
        <v>45685</v>
      </c>
      <c r="D1295" s="11">
        <v>35027.94864699</v>
      </c>
      <c r="E1295" s="27">
        <f t="shared" si="100"/>
        <v>38993.112433829265</v>
      </c>
      <c r="F1295" s="6">
        <f t="shared" si="96"/>
        <v>50691.046163978048</v>
      </c>
      <c r="G1295" s="7">
        <f t="shared" si="97"/>
        <v>54590.357407360971</v>
      </c>
      <c r="H1295" s="8">
        <f t="shared" si="98"/>
        <v>58489.668650743901</v>
      </c>
      <c r="I1295" s="9">
        <f t="shared" si="99"/>
        <v>62388.979894126824</v>
      </c>
    </row>
    <row r="1296" spans="1:9" x14ac:dyDescent="0.35">
      <c r="A1296" s="24"/>
      <c r="B1296" s="24"/>
      <c r="C1296" s="20">
        <v>45685</v>
      </c>
      <c r="D1296" s="11">
        <v>0</v>
      </c>
      <c r="E1296" s="27">
        <f t="shared" si="100"/>
        <v>0</v>
      </c>
      <c r="F1296" s="6">
        <f t="shared" si="96"/>
        <v>0</v>
      </c>
      <c r="G1296" s="7">
        <f t="shared" si="97"/>
        <v>0</v>
      </c>
      <c r="H1296" s="8">
        <f t="shared" si="98"/>
        <v>0</v>
      </c>
      <c r="I1296" s="9">
        <f t="shared" si="99"/>
        <v>0</v>
      </c>
    </row>
    <row r="1297" spans="1:9" x14ac:dyDescent="0.35">
      <c r="A1297" s="24" t="s">
        <v>5368</v>
      </c>
      <c r="B1297" s="24" t="s">
        <v>5369</v>
      </c>
      <c r="C1297" s="20">
        <v>45685</v>
      </c>
      <c r="D1297" s="11">
        <v>1283.8559060924999</v>
      </c>
      <c r="E1297" s="27">
        <f t="shared" si="100"/>
        <v>1429.1883946621708</v>
      </c>
      <c r="F1297" s="6">
        <f t="shared" si="96"/>
        <v>1857.944913060822</v>
      </c>
      <c r="G1297" s="7">
        <f t="shared" si="97"/>
        <v>2000.863752527039</v>
      </c>
      <c r="H1297" s="8">
        <f t="shared" si="98"/>
        <v>2143.7825919932561</v>
      </c>
      <c r="I1297" s="9">
        <f t="shared" si="99"/>
        <v>2286.7014314594735</v>
      </c>
    </row>
    <row r="1298" spans="1:9" x14ac:dyDescent="0.35">
      <c r="A1298" s="24" t="s">
        <v>5374</v>
      </c>
      <c r="B1298" s="24" t="s">
        <v>5370</v>
      </c>
      <c r="C1298" s="20">
        <v>45685</v>
      </c>
      <c r="D1298" s="11">
        <v>1420.8033495825002</v>
      </c>
      <c r="E1298" s="27">
        <f t="shared" si="100"/>
        <v>1581.6382887552393</v>
      </c>
      <c r="F1298" s="6">
        <f t="shared" si="96"/>
        <v>2056.1297753818112</v>
      </c>
      <c r="G1298" s="7">
        <f t="shared" si="97"/>
        <v>2214.2936042573347</v>
      </c>
      <c r="H1298" s="8">
        <f t="shared" si="98"/>
        <v>2372.457433132859</v>
      </c>
      <c r="I1298" s="9">
        <f t="shared" si="99"/>
        <v>2530.6212620083829</v>
      </c>
    </row>
    <row r="1299" spans="1:9" x14ac:dyDescent="0.35">
      <c r="A1299" s="24" t="s">
        <v>5375</v>
      </c>
      <c r="B1299" s="24" t="s">
        <v>5371</v>
      </c>
      <c r="C1299" s="20">
        <v>45685</v>
      </c>
      <c r="D1299" s="11">
        <v>1785.1700645999999</v>
      </c>
      <c r="E1299" s="27">
        <f t="shared" si="100"/>
        <v>1987.25131591272</v>
      </c>
      <c r="F1299" s="6">
        <f t="shared" si="96"/>
        <v>2583.4267106865359</v>
      </c>
      <c r="G1299" s="7">
        <f t="shared" si="97"/>
        <v>2782.1518422778076</v>
      </c>
      <c r="H1299" s="8">
        <f t="shared" si="98"/>
        <v>2980.8769738690798</v>
      </c>
      <c r="I1299" s="9">
        <f t="shared" si="99"/>
        <v>3179.602105460352</v>
      </c>
    </row>
    <row r="1300" spans="1:9" x14ac:dyDescent="0.35">
      <c r="A1300" s="24" t="s">
        <v>5376</v>
      </c>
      <c r="B1300" s="24" t="s">
        <v>5372</v>
      </c>
      <c r="C1300" s="20">
        <v>45685</v>
      </c>
      <c r="D1300" s="11">
        <v>2210.3085264975002</v>
      </c>
      <c r="E1300" s="27">
        <f t="shared" si="100"/>
        <v>2460.5154516970174</v>
      </c>
      <c r="F1300" s="6">
        <f t="shared" si="96"/>
        <v>3198.6700872061228</v>
      </c>
      <c r="G1300" s="7">
        <f t="shared" si="97"/>
        <v>3444.7216323758244</v>
      </c>
      <c r="H1300" s="8">
        <f t="shared" si="98"/>
        <v>3690.7731775455259</v>
      </c>
      <c r="I1300" s="9">
        <f t="shared" si="99"/>
        <v>3936.8247227152278</v>
      </c>
    </row>
    <row r="1301" spans="1:9" x14ac:dyDescent="0.35">
      <c r="A1301" s="24" t="s">
        <v>5377</v>
      </c>
      <c r="B1301" s="24" t="s">
        <v>5373</v>
      </c>
      <c r="C1301" s="20">
        <v>45685</v>
      </c>
      <c r="D1301" s="11">
        <v>2877.9009368850002</v>
      </c>
      <c r="E1301" s="27">
        <f t="shared" si="100"/>
        <v>3203.6793229403825</v>
      </c>
      <c r="F1301" s="6">
        <f t="shared" si="96"/>
        <v>4164.7831198224976</v>
      </c>
      <c r="G1301" s="7">
        <f t="shared" si="97"/>
        <v>4485.1510521165355</v>
      </c>
      <c r="H1301" s="8">
        <f t="shared" si="98"/>
        <v>4805.5189844105735</v>
      </c>
      <c r="I1301" s="9">
        <f t="shared" si="99"/>
        <v>5125.8869167046123</v>
      </c>
    </row>
    <row r="1302" spans="1:9" x14ac:dyDescent="0.35">
      <c r="A1302" s="24"/>
      <c r="B1302" s="24"/>
      <c r="C1302" s="20">
        <v>45685</v>
      </c>
      <c r="D1302" s="11">
        <v>0</v>
      </c>
      <c r="E1302" s="27">
        <f t="shared" si="100"/>
        <v>0</v>
      </c>
      <c r="F1302" s="6">
        <f t="shared" si="96"/>
        <v>0</v>
      </c>
      <c r="G1302" s="7">
        <f t="shared" si="97"/>
        <v>0</v>
      </c>
      <c r="H1302" s="8">
        <f t="shared" si="98"/>
        <v>0</v>
      </c>
      <c r="I1302" s="9">
        <f t="shared" si="99"/>
        <v>0</v>
      </c>
    </row>
    <row r="1303" spans="1:9" x14ac:dyDescent="0.35">
      <c r="A1303" s="24" t="s">
        <v>5386</v>
      </c>
      <c r="B1303" s="24" t="s">
        <v>5378</v>
      </c>
      <c r="C1303" s="20">
        <v>45685</v>
      </c>
      <c r="D1303" s="11">
        <v>1458.8384446350001</v>
      </c>
      <c r="E1303" s="27">
        <f t="shared" si="100"/>
        <v>1623.9789565676822</v>
      </c>
      <c r="F1303" s="6">
        <f t="shared" si="96"/>
        <v>2111.1726435379869</v>
      </c>
      <c r="G1303" s="7">
        <f t="shared" si="97"/>
        <v>2273.5705391947549</v>
      </c>
      <c r="H1303" s="8">
        <f t="shared" si="98"/>
        <v>2435.9684348515234</v>
      </c>
      <c r="I1303" s="9">
        <f t="shared" si="99"/>
        <v>2598.3663305082919</v>
      </c>
    </row>
    <row r="1304" spans="1:9" x14ac:dyDescent="0.35">
      <c r="A1304" s="24" t="s">
        <v>5387</v>
      </c>
      <c r="B1304" s="24" t="s">
        <v>5379</v>
      </c>
      <c r="C1304" s="20">
        <v>45685</v>
      </c>
      <c r="D1304" s="11">
        <v>1915.4705982750002</v>
      </c>
      <c r="E1304" s="27">
        <f t="shared" si="100"/>
        <v>2132.3018699997301</v>
      </c>
      <c r="F1304" s="6">
        <f t="shared" si="96"/>
        <v>2771.9924309996491</v>
      </c>
      <c r="G1304" s="7">
        <f t="shared" si="97"/>
        <v>2985.2226179996219</v>
      </c>
      <c r="H1304" s="8">
        <f t="shared" si="98"/>
        <v>3198.4528049995952</v>
      </c>
      <c r="I1304" s="9">
        <f t="shared" si="99"/>
        <v>3411.6829919995685</v>
      </c>
    </row>
    <row r="1305" spans="1:9" x14ac:dyDescent="0.35">
      <c r="A1305" s="24" t="s">
        <v>5388</v>
      </c>
      <c r="B1305" s="24" t="s">
        <v>5380</v>
      </c>
      <c r="C1305" s="20">
        <v>45685</v>
      </c>
      <c r="D1305" s="11">
        <v>2022.1904280824999</v>
      </c>
      <c r="E1305" s="27">
        <f t="shared" si="100"/>
        <v>2251.1023845414388</v>
      </c>
      <c r="F1305" s="6">
        <f t="shared" si="96"/>
        <v>2926.4330999038707</v>
      </c>
      <c r="G1305" s="7">
        <f t="shared" si="97"/>
        <v>3151.5433383580144</v>
      </c>
      <c r="H1305" s="8">
        <f t="shared" si="98"/>
        <v>3376.6535768121585</v>
      </c>
      <c r="I1305" s="9">
        <f t="shared" si="99"/>
        <v>3601.7638152663021</v>
      </c>
    </row>
    <row r="1306" spans="1:9" x14ac:dyDescent="0.35">
      <c r="A1306" s="24" t="s">
        <v>5389</v>
      </c>
      <c r="B1306" s="24" t="s">
        <v>5381</v>
      </c>
      <c r="C1306" s="20">
        <v>45685</v>
      </c>
      <c r="D1306" s="11">
        <v>2415.571431975</v>
      </c>
      <c r="E1306" s="27">
        <f t="shared" si="100"/>
        <v>2689.01411807457</v>
      </c>
      <c r="F1306" s="6">
        <f t="shared" si="96"/>
        <v>3495.7183534969413</v>
      </c>
      <c r="G1306" s="7">
        <f t="shared" si="97"/>
        <v>3764.6197653043978</v>
      </c>
      <c r="H1306" s="8">
        <f t="shared" si="98"/>
        <v>4033.5211771118547</v>
      </c>
      <c r="I1306" s="9">
        <f t="shared" si="99"/>
        <v>4302.4225889193121</v>
      </c>
    </row>
    <row r="1307" spans="1:9" x14ac:dyDescent="0.35">
      <c r="A1307" s="24" t="s">
        <v>5390</v>
      </c>
      <c r="B1307" s="24" t="s">
        <v>5382</v>
      </c>
      <c r="C1307" s="20">
        <v>45685</v>
      </c>
      <c r="D1307" s="11">
        <v>3777.8186712825004</v>
      </c>
      <c r="E1307" s="27">
        <f t="shared" si="100"/>
        <v>4205.4677448716793</v>
      </c>
      <c r="F1307" s="6">
        <f t="shared" si="96"/>
        <v>5467.1080683331829</v>
      </c>
      <c r="G1307" s="7">
        <f t="shared" si="97"/>
        <v>5887.6548428203505</v>
      </c>
      <c r="H1307" s="8">
        <f t="shared" si="98"/>
        <v>6308.201617307519</v>
      </c>
      <c r="I1307" s="9">
        <f t="shared" si="99"/>
        <v>6728.7483917946874</v>
      </c>
    </row>
    <row r="1308" spans="1:9" x14ac:dyDescent="0.35">
      <c r="A1308" s="24"/>
      <c r="B1308" s="24"/>
      <c r="C1308" s="20">
        <v>45685</v>
      </c>
      <c r="D1308" s="11">
        <v>0</v>
      </c>
      <c r="E1308" s="27">
        <f t="shared" si="100"/>
        <v>0</v>
      </c>
      <c r="F1308" s="6">
        <f t="shared" si="96"/>
        <v>0</v>
      </c>
      <c r="G1308" s="7">
        <f t="shared" si="97"/>
        <v>0</v>
      </c>
      <c r="H1308" s="8">
        <f t="shared" si="98"/>
        <v>0</v>
      </c>
      <c r="I1308" s="9">
        <f t="shared" si="99"/>
        <v>0</v>
      </c>
    </row>
    <row r="1309" spans="1:9" x14ac:dyDescent="0.35">
      <c r="A1309" s="24" t="s">
        <v>5391</v>
      </c>
      <c r="B1309" s="24" t="s">
        <v>5383</v>
      </c>
      <c r="C1309" s="20">
        <v>45685</v>
      </c>
      <c r="D1309" s="11">
        <v>1689.7921840799997</v>
      </c>
      <c r="E1309" s="27">
        <f t="shared" si="100"/>
        <v>1881.0766593178557</v>
      </c>
      <c r="F1309" s="6">
        <f t="shared" si="96"/>
        <v>2445.3996571132125</v>
      </c>
      <c r="G1309" s="7">
        <f t="shared" si="97"/>
        <v>2633.507323044998</v>
      </c>
      <c r="H1309" s="8">
        <f t="shared" si="98"/>
        <v>2821.6149889767835</v>
      </c>
      <c r="I1309" s="9">
        <f t="shared" si="99"/>
        <v>3009.7226549085694</v>
      </c>
    </row>
    <row r="1310" spans="1:9" x14ac:dyDescent="0.35">
      <c r="A1310" s="24" t="s">
        <v>5392</v>
      </c>
      <c r="B1310" s="24" t="s">
        <v>5384</v>
      </c>
      <c r="C1310" s="20">
        <v>45685</v>
      </c>
      <c r="D1310" s="11">
        <v>2144.5252206300001</v>
      </c>
      <c r="E1310" s="27">
        <f t="shared" si="100"/>
        <v>2387.2854756053162</v>
      </c>
      <c r="F1310" s="6">
        <f t="shared" si="96"/>
        <v>3103.471118286911</v>
      </c>
      <c r="G1310" s="7">
        <f t="shared" si="97"/>
        <v>3342.1996658474422</v>
      </c>
      <c r="H1310" s="8">
        <f t="shared" si="98"/>
        <v>3580.928213407974</v>
      </c>
      <c r="I1310" s="9">
        <f t="shared" si="99"/>
        <v>3819.6567609685062</v>
      </c>
    </row>
    <row r="1311" spans="1:9" x14ac:dyDescent="0.35">
      <c r="A1311" s="24" t="s">
        <v>5393</v>
      </c>
      <c r="B1311" s="24" t="s">
        <v>5385</v>
      </c>
      <c r="C1311" s="20">
        <v>45685</v>
      </c>
      <c r="D1311" s="11">
        <v>3616.7629914000008</v>
      </c>
      <c r="E1311" s="27">
        <f t="shared" si="100"/>
        <v>4026.1805620264809</v>
      </c>
      <c r="F1311" s="6">
        <f t="shared" si="96"/>
        <v>5234.0347306344256</v>
      </c>
      <c r="G1311" s="7">
        <f t="shared" si="97"/>
        <v>5636.6527868370731</v>
      </c>
      <c r="H1311" s="8">
        <f t="shared" si="98"/>
        <v>6039.2708430397215</v>
      </c>
      <c r="I1311" s="9">
        <f t="shared" si="99"/>
        <v>6441.8888992423699</v>
      </c>
    </row>
    <row r="1312" spans="1:9" x14ac:dyDescent="0.35">
      <c r="A1312" s="24"/>
      <c r="B1312" s="24"/>
      <c r="C1312" s="20">
        <v>45685</v>
      </c>
      <c r="D1312" s="11">
        <v>0</v>
      </c>
      <c r="E1312" s="27">
        <f t="shared" si="100"/>
        <v>0</v>
      </c>
      <c r="F1312" s="6">
        <f t="shared" si="96"/>
        <v>0</v>
      </c>
      <c r="G1312" s="7">
        <f t="shared" si="97"/>
        <v>0</v>
      </c>
      <c r="H1312" s="8">
        <f t="shared" si="98"/>
        <v>0</v>
      </c>
      <c r="I1312" s="9">
        <f t="shared" si="99"/>
        <v>0</v>
      </c>
    </row>
    <row r="1313" spans="1:9" x14ac:dyDescent="0.35">
      <c r="A1313" s="24" t="s">
        <v>5394</v>
      </c>
      <c r="B1313" s="24" t="s">
        <v>5397</v>
      </c>
      <c r="C1313" s="20">
        <v>45685</v>
      </c>
      <c r="D1313" s="11">
        <v>1849.5290326500001</v>
      </c>
      <c r="E1313" s="27">
        <f t="shared" si="100"/>
        <v>2058.8957191459804</v>
      </c>
      <c r="F1313" s="6">
        <f t="shared" si="96"/>
        <v>2676.5644348897745</v>
      </c>
      <c r="G1313" s="7">
        <f t="shared" si="97"/>
        <v>2882.4540068043725</v>
      </c>
      <c r="H1313" s="8">
        <f t="shared" si="98"/>
        <v>3088.3435787189705</v>
      </c>
      <c r="I1313" s="9">
        <f t="shared" si="99"/>
        <v>3294.2331506335686</v>
      </c>
    </row>
    <row r="1314" spans="1:9" x14ac:dyDescent="0.35">
      <c r="A1314" s="24" t="s">
        <v>5395</v>
      </c>
      <c r="B1314" s="24" t="s">
        <v>5398</v>
      </c>
      <c r="C1314" s="20">
        <v>45685</v>
      </c>
      <c r="D1314" s="11">
        <v>2436.0396939449997</v>
      </c>
      <c r="E1314" s="27">
        <f t="shared" si="100"/>
        <v>2711.7993872995735</v>
      </c>
      <c r="F1314" s="6">
        <f t="shared" si="96"/>
        <v>3525.3392034894455</v>
      </c>
      <c r="G1314" s="7">
        <f t="shared" si="97"/>
        <v>3796.5191422194025</v>
      </c>
      <c r="H1314" s="8">
        <f t="shared" si="98"/>
        <v>4067.69908094936</v>
      </c>
      <c r="I1314" s="9">
        <f t="shared" si="99"/>
        <v>4338.8790196793179</v>
      </c>
    </row>
    <row r="1315" spans="1:9" x14ac:dyDescent="0.35">
      <c r="A1315" s="24" t="s">
        <v>5396</v>
      </c>
      <c r="B1315" s="24" t="s">
        <v>5399</v>
      </c>
      <c r="C1315" s="20">
        <v>45685</v>
      </c>
      <c r="D1315" s="11">
        <v>4069.9134303749997</v>
      </c>
      <c r="E1315" s="27">
        <f t="shared" si="100"/>
        <v>4530.6276306934496</v>
      </c>
      <c r="F1315" s="6">
        <f t="shared" si="96"/>
        <v>5889.8159199014844</v>
      </c>
      <c r="G1315" s="7">
        <f t="shared" si="97"/>
        <v>6342.8786829708288</v>
      </c>
      <c r="H1315" s="8">
        <f t="shared" si="98"/>
        <v>6795.9414460401749</v>
      </c>
      <c r="I1315" s="9">
        <f t="shared" si="99"/>
        <v>7249.0042091095202</v>
      </c>
    </row>
    <row r="1316" spans="1:9" ht="18" x14ac:dyDescent="0.4">
      <c r="B1316" s="19" t="s">
        <v>5400</v>
      </c>
      <c r="D1316" s="11">
        <v>0</v>
      </c>
      <c r="E1316" s="27">
        <f t="shared" si="100"/>
        <v>0</v>
      </c>
      <c r="F1316" s="6">
        <f t="shared" si="96"/>
        <v>0</v>
      </c>
      <c r="G1316" s="7">
        <f t="shared" si="97"/>
        <v>0</v>
      </c>
      <c r="H1316" s="8">
        <f t="shared" si="98"/>
        <v>0</v>
      </c>
      <c r="I1316" s="9">
        <f t="shared" si="99"/>
        <v>0</v>
      </c>
    </row>
    <row r="1317" spans="1:9" x14ac:dyDescent="0.35">
      <c r="A1317" s="24" t="s">
        <v>5404</v>
      </c>
      <c r="B1317" s="24" t="s">
        <v>5401</v>
      </c>
      <c r="C1317" s="20">
        <v>45685</v>
      </c>
      <c r="D1317" s="11">
        <v>6041.65416465</v>
      </c>
      <c r="E1317" s="27">
        <f t="shared" si="100"/>
        <v>6725.5694160883804</v>
      </c>
      <c r="F1317" s="6">
        <f t="shared" si="96"/>
        <v>8743.2402409148945</v>
      </c>
      <c r="G1317" s="7">
        <f t="shared" si="97"/>
        <v>9415.7971825237328</v>
      </c>
      <c r="H1317" s="8">
        <f t="shared" si="98"/>
        <v>10088.354124132571</v>
      </c>
      <c r="I1317" s="9">
        <f t="shared" si="99"/>
        <v>10760.911065741409</v>
      </c>
    </row>
    <row r="1318" spans="1:9" x14ac:dyDescent="0.35">
      <c r="A1318" s="24" t="s">
        <v>5405</v>
      </c>
      <c r="B1318" s="24" t="s">
        <v>5402</v>
      </c>
      <c r="C1318" s="20">
        <v>45685</v>
      </c>
      <c r="D1318" s="11">
        <v>6324.8219011249994</v>
      </c>
      <c r="E1318" s="27">
        <f t="shared" si="100"/>
        <v>7040.7917403323499</v>
      </c>
      <c r="F1318" s="6">
        <f t="shared" si="96"/>
        <v>9153.0292624320555</v>
      </c>
      <c r="G1318" s="7">
        <f t="shared" si="97"/>
        <v>9857.1084364652888</v>
      </c>
      <c r="H1318" s="8">
        <f t="shared" si="98"/>
        <v>10561.187610498524</v>
      </c>
      <c r="I1318" s="9">
        <f t="shared" si="99"/>
        <v>11265.266784531761</v>
      </c>
    </row>
    <row r="1319" spans="1:9" x14ac:dyDescent="0.35">
      <c r="A1319" s="24" t="s">
        <v>5406</v>
      </c>
      <c r="B1319" s="24" t="s">
        <v>5403</v>
      </c>
      <c r="C1319" s="20">
        <v>45685</v>
      </c>
      <c r="D1319" s="11">
        <v>6606.4656547499999</v>
      </c>
      <c r="E1319" s="27">
        <f t="shared" si="100"/>
        <v>7354.3175668677004</v>
      </c>
      <c r="F1319" s="6">
        <f t="shared" si="96"/>
        <v>9560.6128369280104</v>
      </c>
      <c r="G1319" s="7">
        <f t="shared" si="97"/>
        <v>10296.044593614781</v>
      </c>
      <c r="H1319" s="8">
        <f t="shared" si="98"/>
        <v>11031.476350301551</v>
      </c>
      <c r="I1319" s="9">
        <f t="shared" si="99"/>
        <v>11766.908106988321</v>
      </c>
    </row>
    <row r="1320" spans="1:9" x14ac:dyDescent="0.35">
      <c r="A1320" s="24"/>
      <c r="B1320" s="24"/>
      <c r="C1320" s="20">
        <v>45685</v>
      </c>
      <c r="D1320" s="11">
        <v>0</v>
      </c>
      <c r="E1320" s="27">
        <f t="shared" si="100"/>
        <v>0</v>
      </c>
      <c r="F1320" s="6">
        <f t="shared" si="96"/>
        <v>0</v>
      </c>
      <c r="G1320" s="7">
        <f t="shared" si="97"/>
        <v>0</v>
      </c>
      <c r="H1320" s="8">
        <f t="shared" si="98"/>
        <v>0</v>
      </c>
      <c r="I1320" s="9">
        <f t="shared" si="99"/>
        <v>0</v>
      </c>
    </row>
    <row r="1321" spans="1:9" x14ac:dyDescent="0.35">
      <c r="A1321" s="24" t="s">
        <v>5407</v>
      </c>
      <c r="B1321" s="24" t="s">
        <v>5408</v>
      </c>
      <c r="C1321" s="20">
        <v>45685</v>
      </c>
      <c r="D1321" s="11">
        <v>8459.3943414500009</v>
      </c>
      <c r="E1321" s="27">
        <f t="shared" si="100"/>
        <v>9416.9977809021402</v>
      </c>
      <c r="F1321" s="6">
        <f t="shared" si="96"/>
        <v>12242.097115172783</v>
      </c>
      <c r="G1321" s="7">
        <f t="shared" si="97"/>
        <v>13183.796893262996</v>
      </c>
      <c r="H1321" s="8">
        <f t="shared" si="98"/>
        <v>14125.49667135321</v>
      </c>
      <c r="I1321" s="9">
        <f t="shared" si="99"/>
        <v>15067.196449443425</v>
      </c>
    </row>
    <row r="1322" spans="1:9" x14ac:dyDescent="0.35">
      <c r="A1322" s="24" t="s">
        <v>5411</v>
      </c>
      <c r="B1322" s="24" t="s">
        <v>5409</v>
      </c>
      <c r="C1322" s="20">
        <v>45685</v>
      </c>
      <c r="D1322" s="11">
        <v>8723.5122922999999</v>
      </c>
      <c r="E1322" s="27">
        <f t="shared" si="100"/>
        <v>9711.0138837883605</v>
      </c>
      <c r="F1322" s="6">
        <f t="shared" ref="F1322:F1386" si="101">E1322*1.3</f>
        <v>12624.31804892487</v>
      </c>
      <c r="G1322" s="7">
        <f t="shared" ref="G1322:G1386" si="102">E1322*1.4</f>
        <v>13595.419437303704</v>
      </c>
      <c r="H1322" s="8">
        <f t="shared" ref="H1322:H1386" si="103">E1322*1.5</f>
        <v>14566.520825682541</v>
      </c>
      <c r="I1322" s="9">
        <f t="shared" ref="I1322:I1386" si="104">E1322*1.6</f>
        <v>15537.622214061377</v>
      </c>
    </row>
    <row r="1323" spans="1:9" x14ac:dyDescent="0.35">
      <c r="A1323" s="24" t="s">
        <v>5412</v>
      </c>
      <c r="B1323" s="24" t="s">
        <v>5410</v>
      </c>
      <c r="C1323" s="20">
        <v>45685</v>
      </c>
      <c r="D1323" s="11">
        <v>8858.6778481500005</v>
      </c>
      <c r="E1323" s="27">
        <f t="shared" si="100"/>
        <v>9861.4801805605803</v>
      </c>
      <c r="F1323" s="6">
        <f t="shared" si="101"/>
        <v>12819.924234728755</v>
      </c>
      <c r="G1323" s="7">
        <f t="shared" si="102"/>
        <v>13806.072252784812</v>
      </c>
      <c r="H1323" s="8">
        <f t="shared" si="103"/>
        <v>14792.220270840869</v>
      </c>
      <c r="I1323" s="9">
        <f t="shared" si="104"/>
        <v>15778.368288896929</v>
      </c>
    </row>
    <row r="1324" spans="1:9" x14ac:dyDescent="0.35">
      <c r="A1324" s="24"/>
      <c r="B1324" s="24"/>
      <c r="C1324" s="20">
        <v>45685</v>
      </c>
      <c r="D1324" s="11">
        <v>0</v>
      </c>
      <c r="E1324" s="27">
        <f t="shared" si="100"/>
        <v>0</v>
      </c>
      <c r="F1324" s="6">
        <f t="shared" si="101"/>
        <v>0</v>
      </c>
      <c r="G1324" s="7">
        <f t="shared" si="102"/>
        <v>0</v>
      </c>
      <c r="H1324" s="8">
        <f t="shared" si="103"/>
        <v>0</v>
      </c>
      <c r="I1324" s="9">
        <f t="shared" si="104"/>
        <v>0</v>
      </c>
    </row>
    <row r="1325" spans="1:9" x14ac:dyDescent="0.35">
      <c r="A1325" s="24" t="s">
        <v>5413</v>
      </c>
      <c r="B1325" s="24" t="s">
        <v>5414</v>
      </c>
      <c r="C1325" s="20">
        <v>45685</v>
      </c>
      <c r="D1325" s="11">
        <v>5168.99813885</v>
      </c>
      <c r="E1325" s="27">
        <f t="shared" si="100"/>
        <v>5754.1287281678196</v>
      </c>
      <c r="F1325" s="6">
        <f t="shared" si="101"/>
        <v>7480.3673466181654</v>
      </c>
      <c r="G1325" s="7">
        <f t="shared" si="102"/>
        <v>8055.780219434947</v>
      </c>
      <c r="H1325" s="8">
        <f t="shared" si="103"/>
        <v>8631.1930922517295</v>
      </c>
      <c r="I1325" s="9">
        <f t="shared" si="104"/>
        <v>9206.6059650685111</v>
      </c>
    </row>
    <row r="1326" spans="1:9" x14ac:dyDescent="0.35">
      <c r="A1326" s="24" t="s">
        <v>5417</v>
      </c>
      <c r="B1326" s="24" t="s">
        <v>5415</v>
      </c>
      <c r="C1326" s="20">
        <v>45685</v>
      </c>
      <c r="D1326" s="11">
        <v>7157.3268403000002</v>
      </c>
      <c r="E1326" s="27">
        <f t="shared" si="100"/>
        <v>7967.5362386219604</v>
      </c>
      <c r="F1326" s="6">
        <f t="shared" si="101"/>
        <v>10357.797110208548</v>
      </c>
      <c r="G1326" s="7">
        <f t="shared" si="102"/>
        <v>11154.550734070745</v>
      </c>
      <c r="H1326" s="8">
        <f t="shared" si="103"/>
        <v>11951.304357932941</v>
      </c>
      <c r="I1326" s="9">
        <f t="shared" si="104"/>
        <v>12748.057981795137</v>
      </c>
    </row>
    <row r="1327" spans="1:9" x14ac:dyDescent="0.35">
      <c r="A1327" s="24" t="s">
        <v>5418</v>
      </c>
      <c r="B1327" s="24" t="s">
        <v>5416</v>
      </c>
      <c r="C1327" s="20">
        <v>45685</v>
      </c>
      <c r="D1327" s="11">
        <v>10848.061614650002</v>
      </c>
      <c r="E1327" s="27">
        <f t="shared" si="100"/>
        <v>12076.062189428381</v>
      </c>
      <c r="F1327" s="6">
        <f t="shared" si="101"/>
        <v>15698.880846256896</v>
      </c>
      <c r="G1327" s="7">
        <f t="shared" si="102"/>
        <v>16906.487065199733</v>
      </c>
      <c r="H1327" s="8">
        <f t="shared" si="103"/>
        <v>18114.093284142571</v>
      </c>
      <c r="I1327" s="9">
        <f t="shared" si="104"/>
        <v>19321.699503085412</v>
      </c>
    </row>
    <row r="1328" spans="1:9" x14ac:dyDescent="0.35">
      <c r="A1328" s="24"/>
      <c r="B1328" s="24"/>
      <c r="C1328" s="20">
        <v>45685</v>
      </c>
      <c r="D1328" s="11">
        <v>0</v>
      </c>
      <c r="E1328" s="27">
        <f t="shared" si="100"/>
        <v>0</v>
      </c>
      <c r="F1328" s="6">
        <f t="shared" si="101"/>
        <v>0</v>
      </c>
      <c r="G1328" s="7">
        <f t="shared" si="102"/>
        <v>0</v>
      </c>
      <c r="H1328" s="8">
        <f t="shared" si="103"/>
        <v>0</v>
      </c>
      <c r="I1328" s="9">
        <f t="shared" si="104"/>
        <v>0</v>
      </c>
    </row>
    <row r="1329" spans="1:9" x14ac:dyDescent="0.35">
      <c r="A1329" s="24" t="s">
        <v>5419</v>
      </c>
      <c r="B1329" s="24" t="s">
        <v>5420</v>
      </c>
      <c r="C1329" s="20">
        <v>45685</v>
      </c>
      <c r="D1329" s="11">
        <v>5902.2683486000005</v>
      </c>
      <c r="E1329" s="27">
        <f t="shared" si="100"/>
        <v>6570.4051256615203</v>
      </c>
      <c r="F1329" s="6">
        <f t="shared" si="101"/>
        <v>8541.5266633599767</v>
      </c>
      <c r="G1329" s="7">
        <f t="shared" si="102"/>
        <v>9198.5671759261277</v>
      </c>
      <c r="H1329" s="8">
        <f t="shared" si="103"/>
        <v>9855.6076884922804</v>
      </c>
      <c r="I1329" s="9">
        <f t="shared" si="104"/>
        <v>10512.648201058433</v>
      </c>
    </row>
    <row r="1330" spans="1:9" x14ac:dyDescent="0.35">
      <c r="A1330" s="24" t="s">
        <v>5424</v>
      </c>
      <c r="B1330" s="24" t="s">
        <v>5421</v>
      </c>
      <c r="C1330" s="20">
        <v>45685</v>
      </c>
      <c r="D1330" s="11">
        <v>7880.0463995499995</v>
      </c>
      <c r="E1330" s="27">
        <f t="shared" si="100"/>
        <v>8772.0676519790595</v>
      </c>
      <c r="F1330" s="6">
        <f t="shared" si="101"/>
        <v>11403.687947572778</v>
      </c>
      <c r="G1330" s="7">
        <f t="shared" si="102"/>
        <v>12280.894712770683</v>
      </c>
      <c r="H1330" s="8">
        <f t="shared" si="103"/>
        <v>13158.10147796859</v>
      </c>
      <c r="I1330" s="9">
        <f t="shared" si="104"/>
        <v>14035.308243166495</v>
      </c>
    </row>
    <row r="1331" spans="1:9" x14ac:dyDescent="0.35">
      <c r="A1331" s="24" t="s">
        <v>5425</v>
      </c>
      <c r="B1331" s="24" t="s">
        <v>5422</v>
      </c>
      <c r="C1331" s="20">
        <v>45685</v>
      </c>
      <c r="D1331" s="11">
        <v>11705.24335305</v>
      </c>
      <c r="E1331" s="27">
        <f t="shared" si="100"/>
        <v>13030.276900615261</v>
      </c>
      <c r="F1331" s="6">
        <f t="shared" si="101"/>
        <v>16939.35997079984</v>
      </c>
      <c r="G1331" s="7">
        <f t="shared" si="102"/>
        <v>18242.387660861365</v>
      </c>
      <c r="H1331" s="8">
        <f t="shared" si="103"/>
        <v>19545.415350922893</v>
      </c>
      <c r="I1331" s="9">
        <f t="shared" si="104"/>
        <v>20848.443040984421</v>
      </c>
    </row>
    <row r="1332" spans="1:9" x14ac:dyDescent="0.35">
      <c r="A1332" s="24" t="s">
        <v>5426</v>
      </c>
      <c r="B1332" s="24" t="s">
        <v>5423</v>
      </c>
      <c r="C1332" s="20">
        <v>45685</v>
      </c>
      <c r="D1332" s="11">
        <v>23321.275094649998</v>
      </c>
      <c r="E1332" s="27">
        <f t="shared" si="100"/>
        <v>25961.243435364377</v>
      </c>
      <c r="F1332" s="6">
        <f t="shared" si="101"/>
        <v>33749.61646597369</v>
      </c>
      <c r="G1332" s="7">
        <f t="shared" si="102"/>
        <v>36345.740809510127</v>
      </c>
      <c r="H1332" s="8">
        <f t="shared" si="103"/>
        <v>38941.865153046565</v>
      </c>
      <c r="I1332" s="9">
        <f t="shared" si="104"/>
        <v>41537.989496583003</v>
      </c>
    </row>
    <row r="1333" spans="1:9" x14ac:dyDescent="0.35">
      <c r="A1333" s="24" t="s">
        <v>6328</v>
      </c>
      <c r="B1333" s="24" t="s">
        <v>6329</v>
      </c>
      <c r="C1333" s="20">
        <v>45685</v>
      </c>
      <c r="D1333" s="11">
        <v>26861.775820000003</v>
      </c>
      <c r="E1333" s="27">
        <f t="shared" si="100"/>
        <v>29902.528842824002</v>
      </c>
      <c r="F1333" s="6">
        <f t="shared" si="101"/>
        <v>38873.287495671204</v>
      </c>
      <c r="G1333" s="7">
        <f t="shared" si="102"/>
        <v>41863.5403799536</v>
      </c>
      <c r="H1333" s="8">
        <f t="shared" si="103"/>
        <v>44853.793264236003</v>
      </c>
      <c r="I1333" s="9">
        <f t="shared" si="104"/>
        <v>47844.046148518406</v>
      </c>
    </row>
    <row r="1334" spans="1:9" ht="18" x14ac:dyDescent="0.4">
      <c r="A1334" s="28"/>
      <c r="B1334" s="34" t="s">
        <v>4091</v>
      </c>
      <c r="C1334" s="29"/>
      <c r="D1334" s="11">
        <v>0</v>
      </c>
      <c r="E1334" s="27">
        <f t="shared" si="100"/>
        <v>0</v>
      </c>
      <c r="F1334" s="6">
        <f t="shared" si="101"/>
        <v>0</v>
      </c>
      <c r="G1334" s="7">
        <f t="shared" si="102"/>
        <v>0</v>
      </c>
      <c r="H1334" s="8">
        <f t="shared" si="103"/>
        <v>0</v>
      </c>
      <c r="I1334" s="9">
        <f t="shared" si="104"/>
        <v>0</v>
      </c>
    </row>
    <row r="1335" spans="1:9" x14ac:dyDescent="0.35">
      <c r="A1335" s="28" t="s">
        <v>4092</v>
      </c>
      <c r="B1335" s="28" t="s">
        <v>4155</v>
      </c>
      <c r="C1335" s="29">
        <v>45731</v>
      </c>
      <c r="D1335" s="11">
        <v>11568.691085952001</v>
      </c>
      <c r="E1335" s="27">
        <f t="shared" si="100"/>
        <v>12878.266916881768</v>
      </c>
      <c r="F1335" s="6">
        <f t="shared" si="101"/>
        <v>16741.7469919463</v>
      </c>
      <c r="G1335" s="7">
        <f t="shared" si="102"/>
        <v>18029.573683634473</v>
      </c>
      <c r="H1335" s="8">
        <f t="shared" si="103"/>
        <v>19317.400375322653</v>
      </c>
      <c r="I1335" s="9">
        <f t="shared" si="104"/>
        <v>20605.22706701083</v>
      </c>
    </row>
    <row r="1336" spans="1:9" x14ac:dyDescent="0.35">
      <c r="A1336" s="28" t="s">
        <v>4093</v>
      </c>
      <c r="B1336" s="28" t="s">
        <v>4156</v>
      </c>
      <c r="C1336" s="29">
        <v>45731</v>
      </c>
      <c r="D1336" s="11">
        <v>14554.938927809282</v>
      </c>
      <c r="E1336" s="27">
        <f t="shared" si="100"/>
        <v>16202.558014437293</v>
      </c>
      <c r="F1336" s="6">
        <f t="shared" si="101"/>
        <v>21063.32541876848</v>
      </c>
      <c r="G1336" s="7">
        <f t="shared" si="102"/>
        <v>22683.581220212207</v>
      </c>
      <c r="H1336" s="8">
        <f t="shared" si="103"/>
        <v>24303.837021655938</v>
      </c>
      <c r="I1336" s="9">
        <f t="shared" si="104"/>
        <v>25924.092823099669</v>
      </c>
    </row>
    <row r="1337" spans="1:9" x14ac:dyDescent="0.35">
      <c r="A1337" s="28" t="s">
        <v>4094</v>
      </c>
      <c r="B1337" s="28" t="s">
        <v>4157</v>
      </c>
      <c r="C1337" s="29">
        <v>45731</v>
      </c>
      <c r="D1337" s="11">
        <v>22188.209206843683</v>
      </c>
      <c r="E1337" s="27">
        <f t="shared" si="100"/>
        <v>24699.914489058388</v>
      </c>
      <c r="F1337" s="6">
        <f t="shared" si="101"/>
        <v>32109.888835775906</v>
      </c>
      <c r="G1337" s="7">
        <f t="shared" si="102"/>
        <v>34579.880284681742</v>
      </c>
      <c r="H1337" s="8">
        <f t="shared" si="103"/>
        <v>37049.871733587584</v>
      </c>
      <c r="I1337" s="9">
        <f t="shared" si="104"/>
        <v>39519.863182493427</v>
      </c>
    </row>
    <row r="1338" spans="1:9" x14ac:dyDescent="0.35">
      <c r="A1338" s="28" t="s">
        <v>4095</v>
      </c>
      <c r="B1338" s="28" t="s">
        <v>4158</v>
      </c>
      <c r="C1338" s="29">
        <v>45731</v>
      </c>
      <c r="D1338" s="11">
        <v>24774.161267856001</v>
      </c>
      <c r="E1338" s="27">
        <f t="shared" si="100"/>
        <v>27578.596323377304</v>
      </c>
      <c r="F1338" s="6">
        <f t="shared" si="101"/>
        <v>35852.175220390498</v>
      </c>
      <c r="G1338" s="7">
        <f t="shared" si="102"/>
        <v>38610.034852728226</v>
      </c>
      <c r="H1338" s="8">
        <f t="shared" si="103"/>
        <v>41367.894485065954</v>
      </c>
      <c r="I1338" s="9">
        <f t="shared" si="104"/>
        <v>44125.754117403689</v>
      </c>
    </row>
    <row r="1339" spans="1:9" x14ac:dyDescent="0.35">
      <c r="A1339" s="28" t="s">
        <v>4096</v>
      </c>
      <c r="B1339" s="28" t="s">
        <v>4159</v>
      </c>
      <c r="C1339" s="29">
        <v>45731</v>
      </c>
      <c r="D1339" s="11">
        <v>32076.659149975443</v>
      </c>
      <c r="E1339" s="27">
        <f t="shared" si="100"/>
        <v>35707.736965752665</v>
      </c>
      <c r="F1339" s="6">
        <f t="shared" si="101"/>
        <v>46420.058055478468</v>
      </c>
      <c r="G1339" s="7">
        <f t="shared" si="102"/>
        <v>49990.831752053731</v>
      </c>
      <c r="H1339" s="8">
        <f t="shared" si="103"/>
        <v>53561.605448628994</v>
      </c>
      <c r="I1339" s="9">
        <f t="shared" si="104"/>
        <v>57132.379145204264</v>
      </c>
    </row>
    <row r="1340" spans="1:9" x14ac:dyDescent="0.35">
      <c r="A1340" s="28"/>
      <c r="B1340" s="28"/>
      <c r="C1340" s="29">
        <v>45731</v>
      </c>
      <c r="D1340" s="11">
        <v>0</v>
      </c>
      <c r="E1340" s="27">
        <f t="shared" si="100"/>
        <v>0</v>
      </c>
      <c r="F1340" s="6">
        <f t="shared" si="101"/>
        <v>0</v>
      </c>
      <c r="G1340" s="7">
        <f t="shared" si="102"/>
        <v>0</v>
      </c>
      <c r="H1340" s="8">
        <f t="shared" si="103"/>
        <v>0</v>
      </c>
      <c r="I1340" s="9">
        <f t="shared" si="104"/>
        <v>0</v>
      </c>
    </row>
    <row r="1341" spans="1:9" x14ac:dyDescent="0.35">
      <c r="A1341" s="28" t="s">
        <v>4097</v>
      </c>
      <c r="B1341" s="28" t="s">
        <v>4160</v>
      </c>
      <c r="C1341" s="29">
        <v>45731</v>
      </c>
      <c r="D1341" s="11">
        <v>1418.5948533556805</v>
      </c>
      <c r="E1341" s="27">
        <f t="shared" si="100"/>
        <v>1579.1797907555435</v>
      </c>
      <c r="F1341" s="6">
        <f t="shared" si="101"/>
        <v>2052.9337279822066</v>
      </c>
      <c r="G1341" s="7">
        <f t="shared" si="102"/>
        <v>2210.8517070577609</v>
      </c>
      <c r="H1341" s="8">
        <f t="shared" si="103"/>
        <v>2368.7696861333152</v>
      </c>
      <c r="I1341" s="9">
        <f t="shared" si="104"/>
        <v>2526.6876652088699</v>
      </c>
    </row>
    <row r="1342" spans="1:9" x14ac:dyDescent="0.35">
      <c r="A1342" s="28" t="s">
        <v>4098</v>
      </c>
      <c r="B1342" s="28" t="s">
        <v>4161</v>
      </c>
      <c r="C1342" s="29">
        <v>45731</v>
      </c>
      <c r="D1342" s="11">
        <v>1546.8357009705601</v>
      </c>
      <c r="E1342" s="27">
        <f t="shared" si="100"/>
        <v>1721.9375023204275</v>
      </c>
      <c r="F1342" s="6">
        <f t="shared" si="101"/>
        <v>2238.5187530165558</v>
      </c>
      <c r="G1342" s="7">
        <f t="shared" si="102"/>
        <v>2410.7125032485983</v>
      </c>
      <c r="H1342" s="8">
        <f t="shared" si="103"/>
        <v>2582.9062534806412</v>
      </c>
      <c r="I1342" s="9">
        <f t="shared" si="104"/>
        <v>2755.1000037126842</v>
      </c>
    </row>
    <row r="1343" spans="1:9" x14ac:dyDescent="0.35">
      <c r="A1343" s="28" t="s">
        <v>4099</v>
      </c>
      <c r="B1343" s="28" t="s">
        <v>4162</v>
      </c>
      <c r="C1343" s="29">
        <v>45731</v>
      </c>
      <c r="D1343" s="11">
        <v>2310.1627288740001</v>
      </c>
      <c r="E1343" s="27">
        <f t="shared" si="100"/>
        <v>2571.6731497825372</v>
      </c>
      <c r="F1343" s="6">
        <f t="shared" si="101"/>
        <v>3343.1750947172986</v>
      </c>
      <c r="G1343" s="7">
        <f t="shared" si="102"/>
        <v>3600.3424096955519</v>
      </c>
      <c r="H1343" s="8">
        <f t="shared" si="103"/>
        <v>3857.509724673806</v>
      </c>
      <c r="I1343" s="9">
        <f t="shared" si="104"/>
        <v>4114.6770396520596</v>
      </c>
    </row>
    <row r="1344" spans="1:9" x14ac:dyDescent="0.35">
      <c r="A1344" s="28" t="s">
        <v>4100</v>
      </c>
      <c r="B1344" s="28" t="s">
        <v>4163</v>
      </c>
      <c r="C1344" s="29">
        <v>45731</v>
      </c>
      <c r="D1344" s="11">
        <v>3875.5115137939206</v>
      </c>
      <c r="E1344" s="27">
        <f t="shared" si="100"/>
        <v>4314.2194171553929</v>
      </c>
      <c r="F1344" s="6">
        <f t="shared" si="101"/>
        <v>5608.4852423020111</v>
      </c>
      <c r="G1344" s="7">
        <f t="shared" si="102"/>
        <v>6039.9071840175493</v>
      </c>
      <c r="H1344" s="8">
        <f t="shared" si="103"/>
        <v>6471.3291257330893</v>
      </c>
      <c r="I1344" s="9">
        <f t="shared" si="104"/>
        <v>6902.7510674486293</v>
      </c>
    </row>
    <row r="1345" spans="1:9" x14ac:dyDescent="0.35">
      <c r="A1345" s="28" t="s">
        <v>4101</v>
      </c>
      <c r="B1345" s="28" t="s">
        <v>4164</v>
      </c>
      <c r="C1345" s="29">
        <v>45731</v>
      </c>
      <c r="D1345" s="11">
        <v>9770.4588286905582</v>
      </c>
      <c r="E1345" s="27">
        <f t="shared" si="100"/>
        <v>10876.474768098329</v>
      </c>
      <c r="F1345" s="6">
        <f t="shared" si="101"/>
        <v>14139.417198527828</v>
      </c>
      <c r="G1345" s="7">
        <f t="shared" si="102"/>
        <v>15227.06467533766</v>
      </c>
      <c r="H1345" s="8">
        <f t="shared" si="103"/>
        <v>16314.712152147495</v>
      </c>
      <c r="I1345" s="9">
        <f t="shared" si="104"/>
        <v>17402.359628957329</v>
      </c>
    </row>
    <row r="1346" spans="1:9" x14ac:dyDescent="0.35">
      <c r="A1346" s="28"/>
      <c r="B1346" s="28"/>
      <c r="C1346" s="29">
        <v>45731</v>
      </c>
      <c r="D1346" s="11">
        <v>0</v>
      </c>
      <c r="E1346" s="27">
        <f t="shared" si="100"/>
        <v>0</v>
      </c>
      <c r="F1346" s="6">
        <f t="shared" si="101"/>
        <v>0</v>
      </c>
      <c r="G1346" s="7">
        <f t="shared" si="102"/>
        <v>0</v>
      </c>
      <c r="H1346" s="8">
        <f t="shared" si="103"/>
        <v>0</v>
      </c>
      <c r="I1346" s="9">
        <f t="shared" si="104"/>
        <v>0</v>
      </c>
    </row>
    <row r="1347" spans="1:9" x14ac:dyDescent="0.35">
      <c r="A1347" s="28" t="s">
        <v>4102</v>
      </c>
      <c r="B1347" s="28" t="s">
        <v>4165</v>
      </c>
      <c r="C1347" s="29">
        <v>45731</v>
      </c>
      <c r="D1347" s="11">
        <v>964.4283818769602</v>
      </c>
      <c r="E1347" s="27">
        <f t="shared" si="100"/>
        <v>1073.6016747054321</v>
      </c>
      <c r="F1347" s="6">
        <f t="shared" si="101"/>
        <v>1395.6821771170617</v>
      </c>
      <c r="G1347" s="7">
        <f t="shared" si="102"/>
        <v>1503.0423445876047</v>
      </c>
      <c r="H1347" s="8">
        <f t="shared" si="103"/>
        <v>1610.4025120581482</v>
      </c>
      <c r="I1347" s="9">
        <f t="shared" si="104"/>
        <v>1717.7626795286915</v>
      </c>
    </row>
    <row r="1348" spans="1:9" x14ac:dyDescent="0.35">
      <c r="A1348" s="28" t="s">
        <v>4103</v>
      </c>
      <c r="B1348" s="28" t="s">
        <v>4166</v>
      </c>
      <c r="C1348" s="29">
        <v>45731</v>
      </c>
      <c r="D1348" s="11">
        <v>1090.76230238976</v>
      </c>
      <c r="E1348" s="27">
        <f t="shared" si="100"/>
        <v>1214.2365950202807</v>
      </c>
      <c r="F1348" s="6">
        <f t="shared" si="101"/>
        <v>1578.5075735263649</v>
      </c>
      <c r="G1348" s="7">
        <f t="shared" si="102"/>
        <v>1699.9312330283929</v>
      </c>
      <c r="H1348" s="8">
        <f t="shared" si="103"/>
        <v>1821.354892530421</v>
      </c>
      <c r="I1348" s="9">
        <f t="shared" si="104"/>
        <v>1942.7785520324492</v>
      </c>
    </row>
    <row r="1349" spans="1:9" x14ac:dyDescent="0.35">
      <c r="A1349" s="28" t="s">
        <v>4104</v>
      </c>
      <c r="B1349" s="28" t="s">
        <v>4167</v>
      </c>
      <c r="C1349" s="29">
        <v>45731</v>
      </c>
      <c r="D1349" s="11">
        <v>1129.2186656150402</v>
      </c>
      <c r="E1349" s="27">
        <f t="shared" si="100"/>
        <v>1257.0462185626629</v>
      </c>
      <c r="F1349" s="6">
        <f t="shared" si="101"/>
        <v>1634.1600841314619</v>
      </c>
      <c r="G1349" s="7">
        <f t="shared" si="102"/>
        <v>1759.864705987728</v>
      </c>
      <c r="H1349" s="8">
        <f t="shared" si="103"/>
        <v>1885.5693278439944</v>
      </c>
      <c r="I1349" s="9">
        <f t="shared" si="104"/>
        <v>2011.2739497002608</v>
      </c>
    </row>
    <row r="1350" spans="1:9" x14ac:dyDescent="0.35">
      <c r="A1350" s="28" t="s">
        <v>4105</v>
      </c>
      <c r="B1350" s="28" t="s">
        <v>4168</v>
      </c>
      <c r="C1350" s="29">
        <v>45731</v>
      </c>
      <c r="D1350" s="11">
        <v>1293.9294940572004</v>
      </c>
      <c r="E1350" s="27">
        <f t="shared" si="100"/>
        <v>1440.4023127844755</v>
      </c>
      <c r="F1350" s="6">
        <f t="shared" si="101"/>
        <v>1872.5230066198183</v>
      </c>
      <c r="G1350" s="7">
        <f t="shared" si="102"/>
        <v>2016.5632378982655</v>
      </c>
      <c r="H1350" s="8">
        <f t="shared" si="103"/>
        <v>2160.6034691767131</v>
      </c>
      <c r="I1350" s="9">
        <f t="shared" si="104"/>
        <v>2304.6437004551608</v>
      </c>
    </row>
    <row r="1351" spans="1:9" x14ac:dyDescent="0.35">
      <c r="A1351" s="28" t="s">
        <v>4106</v>
      </c>
      <c r="B1351" s="28" t="s">
        <v>4169</v>
      </c>
      <c r="C1351" s="29">
        <v>45731</v>
      </c>
      <c r="D1351" s="11">
        <v>4017.5775828988808</v>
      </c>
      <c r="E1351" s="27">
        <f t="shared" si="100"/>
        <v>4472.3673652830339</v>
      </c>
      <c r="F1351" s="6">
        <f t="shared" si="101"/>
        <v>5814.0775748679443</v>
      </c>
      <c r="G1351" s="7">
        <f t="shared" si="102"/>
        <v>6261.3143113962469</v>
      </c>
      <c r="H1351" s="8">
        <f t="shared" si="103"/>
        <v>6708.5510479245513</v>
      </c>
      <c r="I1351" s="9">
        <f t="shared" si="104"/>
        <v>7155.7877844528548</v>
      </c>
    </row>
    <row r="1352" spans="1:9" x14ac:dyDescent="0.35">
      <c r="A1352" s="28"/>
      <c r="B1352" s="28"/>
      <c r="C1352" s="29">
        <v>45731</v>
      </c>
      <c r="D1352" s="11">
        <v>0</v>
      </c>
      <c r="E1352" s="27">
        <f t="shared" si="100"/>
        <v>0</v>
      </c>
      <c r="F1352" s="6">
        <f t="shared" si="101"/>
        <v>0</v>
      </c>
      <c r="G1352" s="7">
        <f t="shared" si="102"/>
        <v>0</v>
      </c>
      <c r="H1352" s="8">
        <f t="shared" si="103"/>
        <v>0</v>
      </c>
      <c r="I1352" s="9">
        <f t="shared" si="104"/>
        <v>0</v>
      </c>
    </row>
    <row r="1353" spans="1:9" x14ac:dyDescent="0.35">
      <c r="A1353" s="28" t="s">
        <v>4107</v>
      </c>
      <c r="B1353" s="28" t="s">
        <v>4170</v>
      </c>
      <c r="C1353" s="29">
        <v>45731</v>
      </c>
      <c r="D1353" s="11">
        <v>1885.7919933652802</v>
      </c>
      <c r="E1353" s="27">
        <f t="shared" si="100"/>
        <v>2099.2636470142302</v>
      </c>
      <c r="F1353" s="6">
        <f t="shared" si="101"/>
        <v>2729.0427411184992</v>
      </c>
      <c r="G1353" s="7">
        <f t="shared" si="102"/>
        <v>2938.9691058199219</v>
      </c>
      <c r="H1353" s="8">
        <f t="shared" si="103"/>
        <v>3148.8954705213455</v>
      </c>
      <c r="I1353" s="9">
        <f t="shared" si="104"/>
        <v>3358.8218352227686</v>
      </c>
    </row>
    <row r="1354" spans="1:9" x14ac:dyDescent="0.35">
      <c r="A1354" s="28" t="s">
        <v>4108</v>
      </c>
      <c r="B1354" s="28" t="s">
        <v>4171</v>
      </c>
      <c r="C1354" s="29">
        <v>45731</v>
      </c>
      <c r="D1354" s="11">
        <v>2126.8593611865604</v>
      </c>
      <c r="E1354" s="27">
        <f t="shared" si="100"/>
        <v>2367.6198408728787</v>
      </c>
      <c r="F1354" s="6">
        <f t="shared" si="101"/>
        <v>3077.9057931347425</v>
      </c>
      <c r="G1354" s="7">
        <f t="shared" si="102"/>
        <v>3314.6677772220301</v>
      </c>
      <c r="H1354" s="8">
        <f t="shared" si="103"/>
        <v>3551.4297613093181</v>
      </c>
      <c r="I1354" s="9">
        <f t="shared" si="104"/>
        <v>3788.1917453966062</v>
      </c>
    </row>
    <row r="1355" spans="1:9" x14ac:dyDescent="0.35">
      <c r="A1355" s="28" t="s">
        <v>4109</v>
      </c>
      <c r="B1355" s="28" t="s">
        <v>4172</v>
      </c>
      <c r="C1355" s="29">
        <v>45731</v>
      </c>
      <c r="D1355" s="11">
        <v>2525.4071255212807</v>
      </c>
      <c r="E1355" s="27">
        <f t="shared" si="100"/>
        <v>2811.2832121302895</v>
      </c>
      <c r="F1355" s="6">
        <f t="shared" si="101"/>
        <v>3654.6681757693764</v>
      </c>
      <c r="G1355" s="7">
        <f t="shared" si="102"/>
        <v>3935.7964969824052</v>
      </c>
      <c r="H1355" s="8">
        <f t="shared" si="103"/>
        <v>4216.9248181954345</v>
      </c>
      <c r="I1355" s="9">
        <f t="shared" si="104"/>
        <v>4498.0531394084637</v>
      </c>
    </row>
    <row r="1356" spans="1:9" x14ac:dyDescent="0.35">
      <c r="A1356" s="28" t="s">
        <v>4110</v>
      </c>
      <c r="B1356" s="28" t="s">
        <v>4173</v>
      </c>
      <c r="C1356" s="29">
        <v>45731</v>
      </c>
      <c r="D1356" s="11">
        <v>3961.4821439793609</v>
      </c>
      <c r="E1356" s="27">
        <f t="shared" ref="E1356:E1419" si="105">D1356*1.21*0.92</f>
        <v>4409.921922677825</v>
      </c>
      <c r="F1356" s="6">
        <f t="shared" si="101"/>
        <v>5732.8984994811726</v>
      </c>
      <c r="G1356" s="7">
        <f t="shared" si="102"/>
        <v>6173.8906917489549</v>
      </c>
      <c r="H1356" s="8">
        <f t="shared" si="103"/>
        <v>6614.8828840167371</v>
      </c>
      <c r="I1356" s="9">
        <f t="shared" si="104"/>
        <v>7055.8750762845202</v>
      </c>
    </row>
    <row r="1357" spans="1:9" x14ac:dyDescent="0.35">
      <c r="A1357" s="28" t="s">
        <v>4111</v>
      </c>
      <c r="B1357" s="28" t="s">
        <v>4174</v>
      </c>
      <c r="C1357" s="29">
        <v>45731</v>
      </c>
      <c r="D1357" s="11">
        <v>14176.016621566801</v>
      </c>
      <c r="E1357" s="27">
        <f t="shared" si="105"/>
        <v>15780.741703128164</v>
      </c>
      <c r="F1357" s="6">
        <f t="shared" si="101"/>
        <v>20514.964214066615</v>
      </c>
      <c r="G1357" s="7">
        <f t="shared" si="102"/>
        <v>22093.03838437943</v>
      </c>
      <c r="H1357" s="8">
        <f t="shared" si="103"/>
        <v>23671.112554692245</v>
      </c>
      <c r="I1357" s="9">
        <f t="shared" si="104"/>
        <v>25249.186725005064</v>
      </c>
    </row>
    <row r="1358" spans="1:9" x14ac:dyDescent="0.35">
      <c r="A1358" s="28"/>
      <c r="B1358" s="28"/>
      <c r="C1358" s="29">
        <v>45731</v>
      </c>
      <c r="D1358" s="11">
        <v>0</v>
      </c>
      <c r="E1358" s="27">
        <f t="shared" si="105"/>
        <v>0</v>
      </c>
      <c r="F1358" s="6">
        <f t="shared" si="101"/>
        <v>0</v>
      </c>
      <c r="G1358" s="7">
        <f t="shared" si="102"/>
        <v>0</v>
      </c>
      <c r="H1358" s="8">
        <f t="shared" si="103"/>
        <v>0</v>
      </c>
      <c r="I1358" s="9">
        <f t="shared" si="104"/>
        <v>0</v>
      </c>
    </row>
    <row r="1359" spans="1:9" x14ac:dyDescent="0.35">
      <c r="A1359" s="28" t="s">
        <v>4112</v>
      </c>
      <c r="B1359" s="28" t="s">
        <v>4175</v>
      </c>
      <c r="C1359" s="29">
        <v>45731</v>
      </c>
      <c r="D1359" s="11">
        <v>966.17639838720015</v>
      </c>
      <c r="E1359" s="27">
        <f t="shared" si="105"/>
        <v>1075.5475666846312</v>
      </c>
      <c r="F1359" s="6">
        <f t="shared" si="101"/>
        <v>1398.2118366900206</v>
      </c>
      <c r="G1359" s="7">
        <f t="shared" si="102"/>
        <v>1505.7665933584835</v>
      </c>
      <c r="H1359" s="8">
        <f t="shared" si="103"/>
        <v>1613.3213500269467</v>
      </c>
      <c r="I1359" s="9">
        <f t="shared" si="104"/>
        <v>1720.87610669541</v>
      </c>
    </row>
    <row r="1360" spans="1:9" x14ac:dyDescent="0.35">
      <c r="A1360" s="28" t="s">
        <v>4113</v>
      </c>
      <c r="B1360" s="28" t="s">
        <v>4176</v>
      </c>
      <c r="C1360" s="29">
        <v>45731</v>
      </c>
      <c r="D1360" s="11">
        <v>1121.7498677985604</v>
      </c>
      <c r="E1360" s="27">
        <f t="shared" si="105"/>
        <v>1248.7319528333576</v>
      </c>
      <c r="F1360" s="6">
        <f t="shared" si="101"/>
        <v>1623.3515386833649</v>
      </c>
      <c r="G1360" s="7">
        <f t="shared" si="102"/>
        <v>1748.2247339667006</v>
      </c>
      <c r="H1360" s="8">
        <f t="shared" si="103"/>
        <v>1873.0979292500365</v>
      </c>
      <c r="I1360" s="9">
        <f t="shared" si="104"/>
        <v>1997.9711245333722</v>
      </c>
    </row>
    <row r="1361" spans="1:9" x14ac:dyDescent="0.35">
      <c r="A1361" s="28" t="s">
        <v>4114</v>
      </c>
      <c r="B1361" s="28" t="s">
        <v>4177</v>
      </c>
      <c r="C1361" s="29">
        <v>45731</v>
      </c>
      <c r="D1361" s="11">
        <v>1107.1300933492798</v>
      </c>
      <c r="E1361" s="27">
        <f t="shared" si="105"/>
        <v>1232.4572199164181</v>
      </c>
      <c r="F1361" s="6">
        <f t="shared" si="101"/>
        <v>1602.1943858913437</v>
      </c>
      <c r="G1361" s="7">
        <f t="shared" si="102"/>
        <v>1725.4401078829853</v>
      </c>
      <c r="H1361" s="8">
        <f t="shared" si="103"/>
        <v>1848.6858298746272</v>
      </c>
      <c r="I1361" s="9">
        <f t="shared" si="104"/>
        <v>1971.931551866269</v>
      </c>
    </row>
    <row r="1362" spans="1:9" x14ac:dyDescent="0.35">
      <c r="A1362" s="28"/>
      <c r="B1362" s="28"/>
      <c r="C1362" s="29">
        <v>45731</v>
      </c>
      <c r="D1362" s="11">
        <v>0</v>
      </c>
      <c r="E1362" s="27">
        <f t="shared" si="105"/>
        <v>0</v>
      </c>
      <c r="F1362" s="6">
        <f t="shared" si="101"/>
        <v>0</v>
      </c>
      <c r="G1362" s="7">
        <f t="shared" si="102"/>
        <v>0</v>
      </c>
      <c r="H1362" s="8">
        <f t="shared" si="103"/>
        <v>0</v>
      </c>
      <c r="I1362" s="9">
        <f t="shared" si="104"/>
        <v>0</v>
      </c>
    </row>
    <row r="1363" spans="1:9" x14ac:dyDescent="0.35">
      <c r="A1363" s="28" t="s">
        <v>4115</v>
      </c>
      <c r="B1363" s="28" t="s">
        <v>4178</v>
      </c>
      <c r="C1363" s="29">
        <v>45731</v>
      </c>
      <c r="D1363" s="11">
        <v>2840.1295526604003</v>
      </c>
      <c r="E1363" s="27">
        <f t="shared" si="105"/>
        <v>3161.6322180215579</v>
      </c>
      <c r="F1363" s="6">
        <f t="shared" si="101"/>
        <v>4110.1218834280253</v>
      </c>
      <c r="G1363" s="7">
        <f t="shared" si="102"/>
        <v>4426.2851052301812</v>
      </c>
      <c r="H1363" s="8">
        <f t="shared" si="103"/>
        <v>4742.4483270323371</v>
      </c>
      <c r="I1363" s="9">
        <f t="shared" si="104"/>
        <v>5058.6115488344931</v>
      </c>
    </row>
    <row r="1364" spans="1:9" x14ac:dyDescent="0.35">
      <c r="A1364" s="28" t="s">
        <v>4116</v>
      </c>
      <c r="B1364" s="28" t="s">
        <v>4179</v>
      </c>
      <c r="C1364" s="29">
        <v>45731</v>
      </c>
      <c r="D1364" s="11">
        <v>3004.8403811025605</v>
      </c>
      <c r="E1364" s="27">
        <f t="shared" si="105"/>
        <v>3344.9883122433703</v>
      </c>
      <c r="F1364" s="6">
        <f t="shared" si="101"/>
        <v>4348.4848059163814</v>
      </c>
      <c r="G1364" s="7">
        <f t="shared" si="102"/>
        <v>4682.9836371407182</v>
      </c>
      <c r="H1364" s="8">
        <f t="shared" si="103"/>
        <v>5017.482468365055</v>
      </c>
      <c r="I1364" s="9">
        <f t="shared" si="104"/>
        <v>5351.9812995893926</v>
      </c>
    </row>
    <row r="1365" spans="1:9" x14ac:dyDescent="0.35">
      <c r="A1365" s="28" t="s">
        <v>4117</v>
      </c>
      <c r="B1365" s="28" t="s">
        <v>4180</v>
      </c>
      <c r="C1365" s="29">
        <v>45731</v>
      </c>
      <c r="D1365" s="11">
        <v>3765.7042948324802</v>
      </c>
      <c r="E1365" s="27">
        <f t="shared" si="105"/>
        <v>4191.9820210075177</v>
      </c>
      <c r="F1365" s="6">
        <f t="shared" si="101"/>
        <v>5449.5766273097734</v>
      </c>
      <c r="G1365" s="7">
        <f t="shared" si="102"/>
        <v>5868.774829410524</v>
      </c>
      <c r="H1365" s="8">
        <f t="shared" si="103"/>
        <v>6287.9730315112765</v>
      </c>
      <c r="I1365" s="9">
        <f t="shared" si="104"/>
        <v>6707.171233612029</v>
      </c>
    </row>
    <row r="1366" spans="1:9" x14ac:dyDescent="0.35">
      <c r="A1366" s="28" t="s">
        <v>4118</v>
      </c>
      <c r="B1366" s="28" t="s">
        <v>4181</v>
      </c>
      <c r="C1366" s="29">
        <v>45731</v>
      </c>
      <c r="D1366" s="11">
        <v>5905.5943245499202</v>
      </c>
      <c r="E1366" s="27">
        <f t="shared" si="105"/>
        <v>6574.1076020889714</v>
      </c>
      <c r="F1366" s="6">
        <f t="shared" si="101"/>
        <v>8546.3398827156634</v>
      </c>
      <c r="G1366" s="7">
        <f t="shared" si="102"/>
        <v>9203.7506429245586</v>
      </c>
      <c r="H1366" s="8">
        <f t="shared" si="103"/>
        <v>9861.1614031334575</v>
      </c>
      <c r="I1366" s="9">
        <f t="shared" si="104"/>
        <v>10518.572163342355</v>
      </c>
    </row>
    <row r="1367" spans="1:9" ht="18.75" customHeight="1" x14ac:dyDescent="0.35">
      <c r="A1367" s="28" t="s">
        <v>4119</v>
      </c>
      <c r="B1367" s="28" t="s">
        <v>4182</v>
      </c>
      <c r="C1367" s="29">
        <v>45731</v>
      </c>
      <c r="D1367" s="11">
        <v>12578.091165319685</v>
      </c>
      <c r="E1367" s="27">
        <f t="shared" si="105"/>
        <v>14001.931085233875</v>
      </c>
      <c r="F1367" s="6">
        <f t="shared" si="101"/>
        <v>18202.51041080404</v>
      </c>
      <c r="G1367" s="7">
        <f t="shared" si="102"/>
        <v>19602.703519327424</v>
      </c>
      <c r="H1367" s="8">
        <f t="shared" si="103"/>
        <v>21002.896627850812</v>
      </c>
      <c r="I1367" s="9">
        <f t="shared" si="104"/>
        <v>22403.089736374201</v>
      </c>
    </row>
    <row r="1368" spans="1:9" ht="18.75" customHeight="1" x14ac:dyDescent="0.35">
      <c r="A1368" s="28"/>
      <c r="B1368" s="28"/>
      <c r="C1368" s="29">
        <v>45731</v>
      </c>
      <c r="D1368" s="11">
        <v>0</v>
      </c>
      <c r="E1368" s="27">
        <f t="shared" si="105"/>
        <v>0</v>
      </c>
      <c r="F1368" s="6">
        <f t="shared" si="101"/>
        <v>0</v>
      </c>
      <c r="G1368" s="7">
        <f t="shared" si="102"/>
        <v>0</v>
      </c>
      <c r="H1368" s="8">
        <f t="shared" si="103"/>
        <v>0</v>
      </c>
      <c r="I1368" s="9">
        <f t="shared" si="104"/>
        <v>0</v>
      </c>
    </row>
    <row r="1369" spans="1:9" ht="18.75" customHeight="1" x14ac:dyDescent="0.35">
      <c r="A1369" s="28" t="s">
        <v>4446</v>
      </c>
      <c r="B1369" s="28" t="s">
        <v>4183</v>
      </c>
      <c r="C1369" s="29">
        <v>45731</v>
      </c>
      <c r="D1369" s="11">
        <v>1145.7453671664</v>
      </c>
      <c r="E1369" s="27">
        <f t="shared" si="105"/>
        <v>1275.4437427296366</v>
      </c>
      <c r="F1369" s="6">
        <f t="shared" si="101"/>
        <v>1658.0768655485276</v>
      </c>
      <c r="G1369" s="7">
        <f t="shared" si="102"/>
        <v>1785.6212398214911</v>
      </c>
      <c r="H1369" s="8">
        <f t="shared" si="103"/>
        <v>1913.1656140944549</v>
      </c>
      <c r="I1369" s="9">
        <f t="shared" si="104"/>
        <v>2040.7099883674186</v>
      </c>
    </row>
    <row r="1370" spans="1:9" ht="18.75" customHeight="1" x14ac:dyDescent="0.35">
      <c r="A1370" s="28" t="s">
        <v>4447</v>
      </c>
      <c r="B1370" s="28" t="s">
        <v>4184</v>
      </c>
      <c r="C1370" s="29">
        <v>45731</v>
      </c>
      <c r="D1370" s="11">
        <v>1289.0827210060804</v>
      </c>
      <c r="E1370" s="27">
        <f t="shared" si="105"/>
        <v>1435.0068850239688</v>
      </c>
      <c r="F1370" s="6">
        <f t="shared" si="101"/>
        <v>1865.5089505311596</v>
      </c>
      <c r="G1370" s="7">
        <f t="shared" si="102"/>
        <v>2009.0096390335561</v>
      </c>
      <c r="H1370" s="8">
        <f t="shared" si="103"/>
        <v>2152.5103275359534</v>
      </c>
      <c r="I1370" s="9">
        <f t="shared" si="104"/>
        <v>2296.0110160383501</v>
      </c>
    </row>
    <row r="1371" spans="1:9" ht="18.75" customHeight="1" x14ac:dyDescent="0.35">
      <c r="A1371" s="28" t="s">
        <v>4448</v>
      </c>
      <c r="B1371" s="28" t="s">
        <v>4185</v>
      </c>
      <c r="C1371" s="29">
        <v>45731</v>
      </c>
      <c r="D1371" s="11">
        <v>1449.6618740604004</v>
      </c>
      <c r="E1371" s="27">
        <f t="shared" si="105"/>
        <v>1613.7635982040376</v>
      </c>
      <c r="F1371" s="6">
        <f t="shared" si="101"/>
        <v>2097.8926776652488</v>
      </c>
      <c r="G1371" s="7">
        <f t="shared" si="102"/>
        <v>2259.2690374856525</v>
      </c>
      <c r="H1371" s="8">
        <f t="shared" si="103"/>
        <v>2420.6453973060566</v>
      </c>
      <c r="I1371" s="9">
        <f t="shared" si="104"/>
        <v>2582.0217571264602</v>
      </c>
    </row>
    <row r="1372" spans="1:9" ht="18.75" customHeight="1" x14ac:dyDescent="0.35">
      <c r="A1372" s="28" t="s">
        <v>4449</v>
      </c>
      <c r="B1372" s="28" t="s">
        <v>4186</v>
      </c>
      <c r="C1372" s="29">
        <v>45731</v>
      </c>
      <c r="D1372" s="11">
        <v>2389.8563906817603</v>
      </c>
      <c r="E1372" s="27">
        <f t="shared" si="105"/>
        <v>2660.3881341069359</v>
      </c>
      <c r="F1372" s="6">
        <f t="shared" si="101"/>
        <v>3458.5045743390169</v>
      </c>
      <c r="G1372" s="7">
        <f t="shared" si="102"/>
        <v>3724.5433877497098</v>
      </c>
      <c r="H1372" s="8">
        <f t="shared" si="103"/>
        <v>3990.5822011604041</v>
      </c>
      <c r="I1372" s="9">
        <f t="shared" si="104"/>
        <v>4256.6210145710975</v>
      </c>
    </row>
    <row r="1373" spans="1:9" ht="18.75" customHeight="1" x14ac:dyDescent="0.35">
      <c r="A1373" s="28" t="s">
        <v>4450</v>
      </c>
      <c r="B1373" s="28" t="s">
        <v>4187</v>
      </c>
      <c r="C1373" s="29">
        <v>45731</v>
      </c>
      <c r="D1373" s="11">
        <v>7024.4838016953599</v>
      </c>
      <c r="E1373" s="27">
        <f t="shared" si="105"/>
        <v>7819.6553680472753</v>
      </c>
      <c r="F1373" s="6">
        <f t="shared" si="101"/>
        <v>10165.551978461459</v>
      </c>
      <c r="G1373" s="7">
        <f t="shared" si="102"/>
        <v>10947.517515266185</v>
      </c>
      <c r="H1373" s="8">
        <f t="shared" si="103"/>
        <v>11729.483052070913</v>
      </c>
      <c r="I1373" s="9">
        <f t="shared" si="104"/>
        <v>12511.448588875641</v>
      </c>
    </row>
    <row r="1374" spans="1:9" x14ac:dyDescent="0.35">
      <c r="A1374" s="28"/>
      <c r="B1374" s="28"/>
      <c r="C1374" s="29">
        <v>45731</v>
      </c>
      <c r="D1374" s="11">
        <v>0</v>
      </c>
      <c r="E1374" s="27">
        <f t="shared" si="105"/>
        <v>0</v>
      </c>
      <c r="F1374" s="6">
        <f t="shared" si="101"/>
        <v>0</v>
      </c>
      <c r="G1374" s="7">
        <f t="shared" si="102"/>
        <v>0</v>
      </c>
      <c r="H1374" s="8">
        <f t="shared" si="103"/>
        <v>0</v>
      </c>
      <c r="I1374" s="9">
        <f t="shared" si="104"/>
        <v>0</v>
      </c>
    </row>
    <row r="1375" spans="1:9" x14ac:dyDescent="0.35">
      <c r="A1375" s="28" t="s">
        <v>4120</v>
      </c>
      <c r="B1375" s="28" t="s">
        <v>4188</v>
      </c>
      <c r="C1375" s="29">
        <v>45731</v>
      </c>
      <c r="D1375" s="11">
        <v>2864.0455967323196</v>
      </c>
      <c r="E1375" s="27">
        <f t="shared" si="105"/>
        <v>3188.2555582824184</v>
      </c>
      <c r="F1375" s="6">
        <f t="shared" si="101"/>
        <v>4144.732225767144</v>
      </c>
      <c r="G1375" s="7">
        <f t="shared" si="102"/>
        <v>4463.5577815953857</v>
      </c>
      <c r="H1375" s="8">
        <f t="shared" si="103"/>
        <v>4782.3833374236274</v>
      </c>
      <c r="I1375" s="9">
        <f t="shared" si="104"/>
        <v>5101.20889325187</v>
      </c>
    </row>
    <row r="1376" spans="1:9" x14ac:dyDescent="0.35">
      <c r="A1376" s="28" t="s">
        <v>4121</v>
      </c>
      <c r="B1376" s="28" t="s">
        <v>4189</v>
      </c>
      <c r="C1376" s="29">
        <v>45731</v>
      </c>
      <c r="D1376" s="11">
        <v>3203.4786209025606</v>
      </c>
      <c r="E1376" s="27">
        <f t="shared" si="105"/>
        <v>3566.1124007887306</v>
      </c>
      <c r="F1376" s="6">
        <f t="shared" si="101"/>
        <v>4635.9461210253503</v>
      </c>
      <c r="G1376" s="7">
        <f t="shared" si="102"/>
        <v>4992.5573611042228</v>
      </c>
      <c r="H1376" s="8">
        <f t="shared" si="103"/>
        <v>5349.1686011830961</v>
      </c>
      <c r="I1376" s="9">
        <f t="shared" si="104"/>
        <v>5705.7798412619695</v>
      </c>
    </row>
    <row r="1377" spans="1:9" x14ac:dyDescent="0.35">
      <c r="A1377" s="28" t="s">
        <v>4122</v>
      </c>
      <c r="B1377" s="28" t="s">
        <v>4190</v>
      </c>
      <c r="C1377" s="29">
        <v>45731</v>
      </c>
      <c r="D1377" s="11">
        <v>4176.647085330721</v>
      </c>
      <c r="E1377" s="27">
        <f t="shared" si="105"/>
        <v>4649.443535390159</v>
      </c>
      <c r="F1377" s="6">
        <f t="shared" si="101"/>
        <v>6044.2765960072065</v>
      </c>
      <c r="G1377" s="7">
        <f t="shared" si="102"/>
        <v>6509.2209495462221</v>
      </c>
      <c r="H1377" s="8">
        <f t="shared" si="103"/>
        <v>6974.1653030852385</v>
      </c>
      <c r="I1377" s="9">
        <f t="shared" si="104"/>
        <v>7439.109656624255</v>
      </c>
    </row>
    <row r="1378" spans="1:9" x14ac:dyDescent="0.35">
      <c r="A1378" s="28" t="s">
        <v>4123</v>
      </c>
      <c r="B1378" s="28" t="s">
        <v>4191</v>
      </c>
      <c r="C1378" s="29">
        <v>45731</v>
      </c>
      <c r="D1378" s="11">
        <v>3830.0630845276801</v>
      </c>
      <c r="E1378" s="27">
        <f t="shared" si="105"/>
        <v>4263.6262256962136</v>
      </c>
      <c r="F1378" s="6">
        <f t="shared" si="101"/>
        <v>5542.7140934050776</v>
      </c>
      <c r="G1378" s="7">
        <f t="shared" si="102"/>
        <v>5969.0767159746983</v>
      </c>
      <c r="H1378" s="8">
        <f t="shared" si="103"/>
        <v>6395.43933854432</v>
      </c>
      <c r="I1378" s="9">
        <f t="shared" si="104"/>
        <v>6821.8019611139425</v>
      </c>
    </row>
    <row r="1379" spans="1:9" x14ac:dyDescent="0.35">
      <c r="A1379" s="28" t="s">
        <v>4124</v>
      </c>
      <c r="B1379" s="28" t="s">
        <v>4192</v>
      </c>
      <c r="C1379" s="29">
        <v>45731</v>
      </c>
      <c r="D1379" s="11">
        <v>4678.5661896573611</v>
      </c>
      <c r="E1379" s="27">
        <f t="shared" si="105"/>
        <v>5208.1798823265744</v>
      </c>
      <c r="F1379" s="6">
        <f t="shared" si="101"/>
        <v>6770.6338470245473</v>
      </c>
      <c r="G1379" s="7">
        <f t="shared" si="102"/>
        <v>7291.451835257204</v>
      </c>
      <c r="H1379" s="8">
        <f t="shared" si="103"/>
        <v>7812.2698234898617</v>
      </c>
      <c r="I1379" s="9">
        <f t="shared" si="104"/>
        <v>8333.0878117225202</v>
      </c>
    </row>
    <row r="1380" spans="1:9" x14ac:dyDescent="0.35">
      <c r="A1380" s="28" t="s">
        <v>4125</v>
      </c>
      <c r="B1380" s="28" t="s">
        <v>4193</v>
      </c>
      <c r="C1380" s="29">
        <v>45731</v>
      </c>
      <c r="D1380" s="11">
        <v>9227.6202469651198</v>
      </c>
      <c r="E1380" s="27">
        <f t="shared" si="105"/>
        <v>10272.186858921572</v>
      </c>
      <c r="F1380" s="6">
        <f t="shared" si="101"/>
        <v>13353.842916598043</v>
      </c>
      <c r="G1380" s="7">
        <f t="shared" si="102"/>
        <v>14381.061602490199</v>
      </c>
      <c r="H1380" s="8">
        <f t="shared" si="103"/>
        <v>15408.280288382357</v>
      </c>
      <c r="I1380" s="9">
        <f t="shared" si="104"/>
        <v>16435.498974274517</v>
      </c>
    </row>
    <row r="1381" spans="1:9" x14ac:dyDescent="0.35">
      <c r="A1381" s="28" t="s">
        <v>4126</v>
      </c>
      <c r="B1381" s="28" t="s">
        <v>4194</v>
      </c>
      <c r="C1381" s="29">
        <v>45731</v>
      </c>
      <c r="D1381" s="11">
        <v>21939.593585910003</v>
      </c>
      <c r="E1381" s="27">
        <f t="shared" si="105"/>
        <v>24423.155579835016</v>
      </c>
      <c r="F1381" s="6">
        <f t="shared" si="101"/>
        <v>31750.102253785521</v>
      </c>
      <c r="G1381" s="7">
        <f t="shared" si="102"/>
        <v>34192.417811769024</v>
      </c>
      <c r="H1381" s="8">
        <f t="shared" si="103"/>
        <v>36634.733369752525</v>
      </c>
      <c r="I1381" s="9">
        <f t="shared" si="104"/>
        <v>39077.048927736025</v>
      </c>
    </row>
    <row r="1382" spans="1:9" x14ac:dyDescent="0.35">
      <c r="A1382" s="28"/>
      <c r="B1382" s="28"/>
      <c r="C1382" s="29">
        <v>45731</v>
      </c>
      <c r="D1382" s="11">
        <v>0</v>
      </c>
      <c r="E1382" s="27">
        <f t="shared" si="105"/>
        <v>0</v>
      </c>
      <c r="F1382" s="6">
        <f t="shared" si="101"/>
        <v>0</v>
      </c>
      <c r="G1382" s="7">
        <f t="shared" si="102"/>
        <v>0</v>
      </c>
      <c r="H1382" s="8">
        <f t="shared" si="103"/>
        <v>0</v>
      </c>
      <c r="I1382" s="9">
        <f t="shared" si="104"/>
        <v>0</v>
      </c>
    </row>
    <row r="1383" spans="1:9" x14ac:dyDescent="0.35">
      <c r="A1383" s="28" t="s">
        <v>4127</v>
      </c>
      <c r="B1383" s="28" t="s">
        <v>4195</v>
      </c>
      <c r="C1383" s="29">
        <v>45731</v>
      </c>
      <c r="D1383" s="11">
        <v>2319.4589984966406</v>
      </c>
      <c r="E1383" s="27">
        <f t="shared" si="105"/>
        <v>2582.0217571264602</v>
      </c>
      <c r="F1383" s="6">
        <f t="shared" si="101"/>
        <v>3356.6282842643982</v>
      </c>
      <c r="G1383" s="7">
        <f t="shared" si="102"/>
        <v>3614.830459977044</v>
      </c>
      <c r="H1383" s="8">
        <f t="shared" si="103"/>
        <v>3873.0326356896903</v>
      </c>
      <c r="I1383" s="9">
        <f t="shared" si="104"/>
        <v>4131.2348114023362</v>
      </c>
    </row>
    <row r="1384" spans="1:9" x14ac:dyDescent="0.35">
      <c r="A1384" s="28" t="s">
        <v>4128</v>
      </c>
      <c r="B1384" s="28" t="s">
        <v>4196</v>
      </c>
      <c r="C1384" s="29">
        <v>45731</v>
      </c>
      <c r="D1384" s="11">
        <v>2703.2280777902406</v>
      </c>
      <c r="E1384" s="27">
        <f t="shared" si="105"/>
        <v>3009.2334961960955</v>
      </c>
      <c r="F1384" s="6">
        <f t="shared" si="101"/>
        <v>3912.0035450549244</v>
      </c>
      <c r="G1384" s="7">
        <f t="shared" si="102"/>
        <v>4212.9268946745333</v>
      </c>
      <c r="H1384" s="8">
        <f t="shared" si="103"/>
        <v>4513.8502442941435</v>
      </c>
      <c r="I1384" s="9">
        <f t="shared" si="104"/>
        <v>4814.7735939137528</v>
      </c>
    </row>
    <row r="1385" spans="1:9" x14ac:dyDescent="0.35">
      <c r="A1385" s="28" t="s">
        <v>4129</v>
      </c>
      <c r="B1385" s="28" t="s">
        <v>4197</v>
      </c>
      <c r="C1385" s="29">
        <v>45731</v>
      </c>
      <c r="D1385" s="11">
        <v>2747.8819540972804</v>
      </c>
      <c r="E1385" s="27">
        <f t="shared" si="105"/>
        <v>3058.9421913010924</v>
      </c>
      <c r="F1385" s="6">
        <f t="shared" si="101"/>
        <v>3976.6248486914201</v>
      </c>
      <c r="G1385" s="7">
        <f t="shared" si="102"/>
        <v>4282.5190678215295</v>
      </c>
      <c r="H1385" s="8">
        <f t="shared" si="103"/>
        <v>4588.4132869516388</v>
      </c>
      <c r="I1385" s="9">
        <f t="shared" si="104"/>
        <v>4894.3075060817482</v>
      </c>
    </row>
    <row r="1386" spans="1:9" x14ac:dyDescent="0.35">
      <c r="A1386" s="28" t="s">
        <v>4130</v>
      </c>
      <c r="B1386" s="28" t="s">
        <v>4198</v>
      </c>
      <c r="C1386" s="29">
        <v>45731</v>
      </c>
      <c r="D1386" s="11">
        <v>3107.3377128393604</v>
      </c>
      <c r="E1386" s="27">
        <f t="shared" si="105"/>
        <v>3459.0883419327761</v>
      </c>
      <c r="F1386" s="6">
        <f t="shared" si="101"/>
        <v>4496.8148445126089</v>
      </c>
      <c r="G1386" s="7">
        <f t="shared" si="102"/>
        <v>4842.7236787058864</v>
      </c>
      <c r="H1386" s="8">
        <f t="shared" si="103"/>
        <v>5188.6325128991639</v>
      </c>
      <c r="I1386" s="9">
        <f t="shared" si="104"/>
        <v>5534.5413470924423</v>
      </c>
    </row>
    <row r="1387" spans="1:9" x14ac:dyDescent="0.35">
      <c r="A1387" s="28" t="s">
        <v>4131</v>
      </c>
      <c r="B1387" s="28" t="s">
        <v>4199</v>
      </c>
      <c r="C1387" s="29">
        <v>45731</v>
      </c>
      <c r="D1387" s="11">
        <v>9227.6202469651198</v>
      </c>
      <c r="E1387" s="27">
        <f t="shared" si="105"/>
        <v>10272.186858921572</v>
      </c>
      <c r="F1387" s="6">
        <f t="shared" ref="F1387:F1450" si="106">E1387*1.3</f>
        <v>13353.842916598043</v>
      </c>
      <c r="G1387" s="7">
        <f t="shared" ref="G1387:G1450" si="107">E1387*1.4</f>
        <v>14381.061602490199</v>
      </c>
      <c r="H1387" s="8">
        <f t="shared" ref="H1387:H1450" si="108">E1387*1.5</f>
        <v>15408.280288382357</v>
      </c>
      <c r="I1387" s="9">
        <f t="shared" ref="I1387:I1450" si="109">E1387*1.6</f>
        <v>16435.498974274517</v>
      </c>
    </row>
    <row r="1388" spans="1:9" x14ac:dyDescent="0.35">
      <c r="A1388" s="28" t="s">
        <v>4132</v>
      </c>
      <c r="B1388" s="28" t="s">
        <v>4200</v>
      </c>
      <c r="C1388" s="29">
        <v>45731</v>
      </c>
      <c r="D1388" s="11">
        <v>14425.824071939283</v>
      </c>
      <c r="E1388" s="27">
        <f t="shared" si="105"/>
        <v>16058.82735688281</v>
      </c>
      <c r="F1388" s="6">
        <f t="shared" si="106"/>
        <v>20876.475563947653</v>
      </c>
      <c r="G1388" s="7">
        <f t="shared" si="107"/>
        <v>22482.358299635933</v>
      </c>
      <c r="H1388" s="8">
        <f t="shared" si="108"/>
        <v>24088.241035324216</v>
      </c>
      <c r="I1388" s="9">
        <f t="shared" si="109"/>
        <v>25694.123771012499</v>
      </c>
    </row>
    <row r="1389" spans="1:9" x14ac:dyDescent="0.35">
      <c r="A1389" s="28"/>
      <c r="B1389" s="28"/>
      <c r="C1389" s="29">
        <v>45731</v>
      </c>
      <c r="D1389" s="11">
        <v>0</v>
      </c>
      <c r="E1389" s="27">
        <f t="shared" si="105"/>
        <v>0</v>
      </c>
      <c r="F1389" s="6">
        <f t="shared" si="106"/>
        <v>0</v>
      </c>
      <c r="G1389" s="7">
        <f t="shared" si="107"/>
        <v>0</v>
      </c>
      <c r="H1389" s="8">
        <f t="shared" si="108"/>
        <v>0</v>
      </c>
      <c r="I1389" s="9">
        <f t="shared" si="109"/>
        <v>0</v>
      </c>
    </row>
    <row r="1390" spans="1:9" x14ac:dyDescent="0.35">
      <c r="A1390" s="28" t="s">
        <v>4133</v>
      </c>
      <c r="B1390" s="28" t="s">
        <v>4201</v>
      </c>
      <c r="C1390" s="29">
        <v>45731</v>
      </c>
      <c r="D1390" s="11">
        <v>3125.3740650132008</v>
      </c>
      <c r="E1390" s="27">
        <f t="shared" si="105"/>
        <v>3479.1664091726952</v>
      </c>
      <c r="F1390" s="6">
        <f t="shared" si="106"/>
        <v>4522.9163319245035</v>
      </c>
      <c r="G1390" s="7">
        <f t="shared" si="107"/>
        <v>4870.832972841773</v>
      </c>
      <c r="H1390" s="8">
        <f t="shared" si="108"/>
        <v>5218.7496137590424</v>
      </c>
      <c r="I1390" s="9">
        <f t="shared" si="109"/>
        <v>5566.6662546763127</v>
      </c>
    </row>
    <row r="1391" spans="1:9" x14ac:dyDescent="0.35">
      <c r="A1391" s="28" t="s">
        <v>4134</v>
      </c>
      <c r="B1391" s="28" t="s">
        <v>4202</v>
      </c>
      <c r="C1391" s="29">
        <v>45731</v>
      </c>
      <c r="D1391" s="11">
        <v>3666.7029961161606</v>
      </c>
      <c r="E1391" s="27">
        <f t="shared" si="105"/>
        <v>4081.7737752765097</v>
      </c>
      <c r="F1391" s="6">
        <f t="shared" si="106"/>
        <v>5306.3059078594624</v>
      </c>
      <c r="G1391" s="7">
        <f t="shared" si="107"/>
        <v>5714.483285387113</v>
      </c>
      <c r="H1391" s="8">
        <f t="shared" si="108"/>
        <v>6122.6606629147645</v>
      </c>
      <c r="I1391" s="9">
        <f t="shared" si="109"/>
        <v>6530.8380404424161</v>
      </c>
    </row>
    <row r="1392" spans="1:9" x14ac:dyDescent="0.35">
      <c r="A1392" s="28" t="s">
        <v>4135</v>
      </c>
      <c r="B1392" s="28" t="s">
        <v>4203</v>
      </c>
      <c r="C1392" s="29">
        <v>45731</v>
      </c>
      <c r="D1392" s="11">
        <v>3533.8537413379208</v>
      </c>
      <c r="E1392" s="27">
        <f t="shared" si="105"/>
        <v>3933.8859848573738</v>
      </c>
      <c r="F1392" s="6">
        <f t="shared" si="106"/>
        <v>5114.0517803145858</v>
      </c>
      <c r="G1392" s="7">
        <f t="shared" si="107"/>
        <v>5507.4403788003228</v>
      </c>
      <c r="H1392" s="8">
        <f t="shared" si="108"/>
        <v>5900.8289772860608</v>
      </c>
      <c r="I1392" s="9">
        <f t="shared" si="109"/>
        <v>6294.2175757717987</v>
      </c>
    </row>
    <row r="1393" spans="1:9" x14ac:dyDescent="0.35">
      <c r="A1393" s="28"/>
      <c r="B1393" s="28"/>
      <c r="C1393" s="29">
        <v>45731</v>
      </c>
      <c r="D1393" s="11">
        <v>0</v>
      </c>
      <c r="E1393" s="27">
        <f t="shared" si="105"/>
        <v>0</v>
      </c>
      <c r="F1393" s="6">
        <f t="shared" si="106"/>
        <v>0</v>
      </c>
      <c r="G1393" s="7">
        <f t="shared" si="107"/>
        <v>0</v>
      </c>
      <c r="H1393" s="8">
        <f t="shared" si="108"/>
        <v>0</v>
      </c>
      <c r="I1393" s="9">
        <f t="shared" si="109"/>
        <v>0</v>
      </c>
    </row>
    <row r="1394" spans="1:9" x14ac:dyDescent="0.35">
      <c r="A1394" s="28" t="s">
        <v>4136</v>
      </c>
      <c r="B1394" s="28" t="s">
        <v>4204</v>
      </c>
      <c r="C1394" s="29">
        <v>45731</v>
      </c>
      <c r="D1394" s="11">
        <v>2210.4463324943999</v>
      </c>
      <c r="E1394" s="27">
        <f t="shared" si="105"/>
        <v>2460.668857332766</v>
      </c>
      <c r="F1394" s="6">
        <f t="shared" si="106"/>
        <v>3198.869514532596</v>
      </c>
      <c r="G1394" s="7">
        <f t="shared" si="107"/>
        <v>3444.9364002658722</v>
      </c>
      <c r="H1394" s="8">
        <f t="shared" si="108"/>
        <v>3691.0032859991488</v>
      </c>
      <c r="I1394" s="9">
        <f t="shared" si="109"/>
        <v>3937.0701717324259</v>
      </c>
    </row>
    <row r="1395" spans="1:9" x14ac:dyDescent="0.35">
      <c r="A1395" s="28" t="s">
        <v>4137</v>
      </c>
      <c r="B1395" s="28" t="s">
        <v>4205</v>
      </c>
      <c r="C1395" s="29">
        <v>45731</v>
      </c>
      <c r="D1395" s="11">
        <v>2445.5545531216803</v>
      </c>
      <c r="E1395" s="27">
        <f t="shared" si="105"/>
        <v>2722.3913285350545</v>
      </c>
      <c r="F1395" s="6">
        <f t="shared" si="106"/>
        <v>3539.1087270955709</v>
      </c>
      <c r="G1395" s="7">
        <f t="shared" si="107"/>
        <v>3811.3478599490759</v>
      </c>
      <c r="H1395" s="8">
        <f t="shared" si="108"/>
        <v>4083.5869928025818</v>
      </c>
      <c r="I1395" s="9">
        <f t="shared" si="109"/>
        <v>4355.8261256560872</v>
      </c>
    </row>
    <row r="1396" spans="1:9" x14ac:dyDescent="0.35">
      <c r="A1396" s="28" t="s">
        <v>4138</v>
      </c>
      <c r="B1396" s="28" t="s">
        <v>4206</v>
      </c>
      <c r="C1396" s="29">
        <v>45731</v>
      </c>
      <c r="D1396" s="11">
        <v>2517.3821406333605</v>
      </c>
      <c r="E1396" s="27">
        <f t="shared" si="105"/>
        <v>2802.349798953057</v>
      </c>
      <c r="F1396" s="6">
        <f t="shared" si="106"/>
        <v>3643.054738638974</v>
      </c>
      <c r="G1396" s="7">
        <f t="shared" si="107"/>
        <v>3923.2897185342795</v>
      </c>
      <c r="H1396" s="8">
        <f t="shared" si="108"/>
        <v>4203.5246984295854</v>
      </c>
      <c r="I1396" s="9">
        <f t="shared" si="109"/>
        <v>4483.759678324891</v>
      </c>
    </row>
    <row r="1397" spans="1:9" x14ac:dyDescent="0.35">
      <c r="A1397" s="28" t="s">
        <v>4139</v>
      </c>
      <c r="B1397" s="28" t="s">
        <v>4207</v>
      </c>
      <c r="C1397" s="29">
        <v>45731</v>
      </c>
      <c r="D1397" s="11">
        <v>3142.0596771564005</v>
      </c>
      <c r="E1397" s="27">
        <f t="shared" si="105"/>
        <v>3497.7408326105051</v>
      </c>
      <c r="F1397" s="6">
        <f t="shared" si="106"/>
        <v>4547.0630823936572</v>
      </c>
      <c r="G1397" s="7">
        <f t="shared" si="107"/>
        <v>4896.837165654707</v>
      </c>
      <c r="H1397" s="8">
        <f t="shared" si="108"/>
        <v>5246.6112489157576</v>
      </c>
      <c r="I1397" s="9">
        <f t="shared" si="109"/>
        <v>5596.3853321768083</v>
      </c>
    </row>
    <row r="1398" spans="1:9" x14ac:dyDescent="0.35">
      <c r="A1398" s="28" t="s">
        <v>4140</v>
      </c>
      <c r="B1398" s="28" t="s">
        <v>4208</v>
      </c>
      <c r="C1398" s="29">
        <v>45731</v>
      </c>
      <c r="D1398" s="11">
        <v>6782.3040597312011</v>
      </c>
      <c r="E1398" s="27">
        <f t="shared" si="105"/>
        <v>7550.0608792927742</v>
      </c>
      <c r="F1398" s="6">
        <f t="shared" si="106"/>
        <v>9815.0791430806075</v>
      </c>
      <c r="G1398" s="7">
        <f t="shared" si="107"/>
        <v>10570.085231009884</v>
      </c>
      <c r="H1398" s="8">
        <f t="shared" si="108"/>
        <v>11325.091318939161</v>
      </c>
      <c r="I1398" s="9">
        <f t="shared" si="109"/>
        <v>12080.097406868439</v>
      </c>
    </row>
    <row r="1399" spans="1:9" x14ac:dyDescent="0.35">
      <c r="A1399" s="28" t="s">
        <v>4141</v>
      </c>
      <c r="B1399" s="28" t="s">
        <v>4209</v>
      </c>
      <c r="C1399" s="29">
        <v>45731</v>
      </c>
      <c r="D1399" s="11">
        <v>12879.862379223843</v>
      </c>
      <c r="E1399" s="27">
        <f t="shared" si="105"/>
        <v>14337.862800551982</v>
      </c>
      <c r="F1399" s="6">
        <f t="shared" si="106"/>
        <v>18639.221640717577</v>
      </c>
      <c r="G1399" s="7">
        <f t="shared" si="107"/>
        <v>20073.007920772772</v>
      </c>
      <c r="H1399" s="8">
        <f t="shared" si="108"/>
        <v>21506.794200827972</v>
      </c>
      <c r="I1399" s="9">
        <f t="shared" si="109"/>
        <v>22940.580480883174</v>
      </c>
    </row>
    <row r="1400" spans="1:9" x14ac:dyDescent="0.35">
      <c r="A1400" s="28"/>
      <c r="B1400" s="28"/>
      <c r="C1400" s="29">
        <v>45731</v>
      </c>
      <c r="D1400" s="11">
        <v>0</v>
      </c>
      <c r="E1400" s="27">
        <f t="shared" si="105"/>
        <v>0</v>
      </c>
      <c r="F1400" s="6">
        <f t="shared" si="106"/>
        <v>0</v>
      </c>
      <c r="G1400" s="7">
        <f t="shared" si="107"/>
        <v>0</v>
      </c>
      <c r="H1400" s="8">
        <f t="shared" si="108"/>
        <v>0</v>
      </c>
      <c r="I1400" s="9">
        <f t="shared" si="109"/>
        <v>0</v>
      </c>
    </row>
    <row r="1401" spans="1:9" x14ac:dyDescent="0.35">
      <c r="A1401" s="28" t="s">
        <v>4142</v>
      </c>
      <c r="B1401" s="28" t="s">
        <v>4210</v>
      </c>
      <c r="C1401" s="29">
        <v>45731</v>
      </c>
      <c r="D1401" s="11">
        <v>461.47635870336001</v>
      </c>
      <c r="E1401" s="27">
        <f t="shared" si="105"/>
        <v>513.71548250858041</v>
      </c>
      <c r="F1401" s="6">
        <f t="shared" si="106"/>
        <v>667.83012726115453</v>
      </c>
      <c r="G1401" s="7">
        <f t="shared" si="107"/>
        <v>719.20167551201257</v>
      </c>
      <c r="H1401" s="8">
        <f t="shared" si="108"/>
        <v>770.57322376287061</v>
      </c>
      <c r="I1401" s="9">
        <f t="shared" si="109"/>
        <v>821.94477201372865</v>
      </c>
    </row>
    <row r="1402" spans="1:9" x14ac:dyDescent="0.35">
      <c r="A1402" s="28" t="s">
        <v>4143</v>
      </c>
      <c r="B1402" s="28" t="s">
        <v>4211</v>
      </c>
      <c r="C1402" s="29">
        <v>45731</v>
      </c>
      <c r="D1402" s="11">
        <v>461.47635870336001</v>
      </c>
      <c r="E1402" s="27">
        <f t="shared" si="105"/>
        <v>513.71548250858041</v>
      </c>
      <c r="F1402" s="6">
        <f t="shared" si="106"/>
        <v>667.83012726115453</v>
      </c>
      <c r="G1402" s="7">
        <f t="shared" si="107"/>
        <v>719.20167551201257</v>
      </c>
      <c r="H1402" s="8">
        <f t="shared" si="108"/>
        <v>770.57322376287061</v>
      </c>
      <c r="I1402" s="9">
        <f t="shared" si="109"/>
        <v>821.94477201372865</v>
      </c>
    </row>
    <row r="1403" spans="1:9" x14ac:dyDescent="0.35">
      <c r="A1403" s="28" t="s">
        <v>4144</v>
      </c>
      <c r="B1403" s="28" t="s">
        <v>4212</v>
      </c>
      <c r="C1403" s="29">
        <v>45731</v>
      </c>
      <c r="D1403" s="11">
        <v>2064.8842303689603</v>
      </c>
      <c r="E1403" s="27">
        <f t="shared" si="105"/>
        <v>2298.6291252467267</v>
      </c>
      <c r="F1403" s="6">
        <f t="shared" si="106"/>
        <v>2988.2178628207448</v>
      </c>
      <c r="G1403" s="7">
        <f t="shared" si="107"/>
        <v>3218.0807753454174</v>
      </c>
      <c r="H1403" s="8">
        <f t="shared" si="108"/>
        <v>3447.9436878700899</v>
      </c>
      <c r="I1403" s="9">
        <f t="shared" si="109"/>
        <v>3677.8066003947629</v>
      </c>
    </row>
    <row r="1404" spans="1:9" x14ac:dyDescent="0.35">
      <c r="A1404" s="28" t="s">
        <v>4145</v>
      </c>
      <c r="B1404" s="28" t="s">
        <v>4213</v>
      </c>
      <c r="C1404" s="29">
        <v>45731</v>
      </c>
      <c r="D1404" s="11">
        <v>2064.8842303689603</v>
      </c>
      <c r="E1404" s="27">
        <f t="shared" si="105"/>
        <v>2298.6291252467267</v>
      </c>
      <c r="F1404" s="6">
        <f t="shared" si="106"/>
        <v>2988.2178628207448</v>
      </c>
      <c r="G1404" s="7">
        <f t="shared" si="107"/>
        <v>3218.0807753454174</v>
      </c>
      <c r="H1404" s="8">
        <f t="shared" si="108"/>
        <v>3447.9436878700899</v>
      </c>
      <c r="I1404" s="9">
        <f t="shared" si="109"/>
        <v>3677.8066003947629</v>
      </c>
    </row>
    <row r="1405" spans="1:9" x14ac:dyDescent="0.35">
      <c r="A1405" s="28"/>
      <c r="B1405" s="28"/>
      <c r="C1405" s="29">
        <v>45731</v>
      </c>
      <c r="D1405" s="11">
        <v>0</v>
      </c>
      <c r="E1405" s="27">
        <f t="shared" si="105"/>
        <v>0</v>
      </c>
      <c r="F1405" s="6">
        <f t="shared" si="106"/>
        <v>0</v>
      </c>
      <c r="G1405" s="7">
        <f t="shared" si="107"/>
        <v>0</v>
      </c>
      <c r="H1405" s="8">
        <f t="shared" si="108"/>
        <v>0</v>
      </c>
      <c r="I1405" s="9">
        <f t="shared" si="109"/>
        <v>0</v>
      </c>
    </row>
    <row r="1406" spans="1:9" x14ac:dyDescent="0.35">
      <c r="A1406" s="28" t="s">
        <v>4146</v>
      </c>
      <c r="B1406" s="28" t="s">
        <v>4214</v>
      </c>
      <c r="C1406" s="29">
        <v>45731</v>
      </c>
      <c r="D1406" s="11">
        <v>2738.8240503624002</v>
      </c>
      <c r="E1406" s="27">
        <f t="shared" si="105"/>
        <v>3048.8589328634239</v>
      </c>
      <c r="F1406" s="6">
        <f t="shared" si="106"/>
        <v>3963.5166127224511</v>
      </c>
      <c r="G1406" s="7">
        <f t="shared" si="107"/>
        <v>4268.4025060087934</v>
      </c>
      <c r="H1406" s="8">
        <f t="shared" si="108"/>
        <v>4573.2883992951356</v>
      </c>
      <c r="I1406" s="9">
        <f t="shared" si="109"/>
        <v>4878.1742925814788</v>
      </c>
    </row>
    <row r="1407" spans="1:9" x14ac:dyDescent="0.35">
      <c r="A1407" s="28" t="s">
        <v>4147</v>
      </c>
      <c r="B1407" s="28" t="s">
        <v>4215</v>
      </c>
      <c r="C1407" s="29">
        <v>45731</v>
      </c>
      <c r="D1407" s="11">
        <v>2928.9605734989605</v>
      </c>
      <c r="E1407" s="27">
        <f t="shared" si="105"/>
        <v>3260.5189104190431</v>
      </c>
      <c r="F1407" s="6">
        <f t="shared" si="106"/>
        <v>4238.6745835447564</v>
      </c>
      <c r="G1407" s="7">
        <f t="shared" si="107"/>
        <v>4564.7264745866596</v>
      </c>
      <c r="H1407" s="8">
        <f t="shared" si="108"/>
        <v>4890.7783656285646</v>
      </c>
      <c r="I1407" s="9">
        <f t="shared" si="109"/>
        <v>5216.8302566704697</v>
      </c>
    </row>
    <row r="1408" spans="1:9" x14ac:dyDescent="0.35">
      <c r="A1408" s="28" t="s">
        <v>4148</v>
      </c>
      <c r="B1408" s="28" t="s">
        <v>4216</v>
      </c>
      <c r="C1408" s="29">
        <v>45731</v>
      </c>
      <c r="D1408" s="11">
        <v>3244.7953747809606</v>
      </c>
      <c r="E1408" s="27">
        <f t="shared" si="105"/>
        <v>3612.1062112061654</v>
      </c>
      <c r="F1408" s="6">
        <f t="shared" si="106"/>
        <v>4695.7380745680148</v>
      </c>
      <c r="G1408" s="7">
        <f t="shared" si="107"/>
        <v>5056.9486956886312</v>
      </c>
      <c r="H1408" s="8">
        <f t="shared" si="108"/>
        <v>5418.1593168092477</v>
      </c>
      <c r="I1408" s="9">
        <f t="shared" si="109"/>
        <v>5779.369937929865</v>
      </c>
    </row>
    <row r="1409" spans="1:9" x14ac:dyDescent="0.35">
      <c r="A1409" s="28"/>
      <c r="B1409" s="28"/>
      <c r="C1409" s="29">
        <v>45731</v>
      </c>
      <c r="D1409" s="11">
        <v>0</v>
      </c>
      <c r="E1409" s="27">
        <f t="shared" si="105"/>
        <v>0</v>
      </c>
      <c r="F1409" s="6">
        <f t="shared" si="106"/>
        <v>0</v>
      </c>
      <c r="G1409" s="7">
        <f t="shared" si="107"/>
        <v>0</v>
      </c>
      <c r="H1409" s="8">
        <f t="shared" si="108"/>
        <v>0</v>
      </c>
      <c r="I1409" s="9">
        <f t="shared" si="109"/>
        <v>0</v>
      </c>
    </row>
    <row r="1410" spans="1:9" x14ac:dyDescent="0.35">
      <c r="A1410" s="28" t="s">
        <v>4149</v>
      </c>
      <c r="B1410" s="28" t="s">
        <v>4220</v>
      </c>
      <c r="C1410" s="29">
        <v>45731</v>
      </c>
      <c r="D1410" s="11">
        <v>19293.652776478084</v>
      </c>
      <c r="E1410" s="27">
        <f t="shared" si="105"/>
        <v>21477.694270775406</v>
      </c>
      <c r="F1410" s="6">
        <f t="shared" si="106"/>
        <v>27921.002552008027</v>
      </c>
      <c r="G1410" s="7">
        <f t="shared" si="107"/>
        <v>30068.771979085566</v>
      </c>
      <c r="H1410" s="8">
        <f t="shared" si="108"/>
        <v>32216.541406163109</v>
      </c>
      <c r="I1410" s="9">
        <f t="shared" si="109"/>
        <v>34364.310833240648</v>
      </c>
    </row>
    <row r="1411" spans="1:9" x14ac:dyDescent="0.35">
      <c r="A1411" s="28" t="s">
        <v>4150</v>
      </c>
      <c r="B1411" s="28" t="s">
        <v>4221</v>
      </c>
      <c r="C1411" s="29">
        <v>45731</v>
      </c>
      <c r="D1411" s="11">
        <v>19313.437145162163</v>
      </c>
      <c r="E1411" s="27">
        <f t="shared" si="105"/>
        <v>21499.71822999452</v>
      </c>
      <c r="F1411" s="6">
        <f t="shared" si="106"/>
        <v>27949.633698992875</v>
      </c>
      <c r="G1411" s="7">
        <f t="shared" si="107"/>
        <v>30099.605521992326</v>
      </c>
      <c r="H1411" s="8">
        <f t="shared" si="108"/>
        <v>32249.57734499178</v>
      </c>
      <c r="I1411" s="9">
        <f t="shared" si="109"/>
        <v>34399.54916799123</v>
      </c>
    </row>
    <row r="1412" spans="1:9" x14ac:dyDescent="0.35">
      <c r="A1412" s="28" t="s">
        <v>4151</v>
      </c>
      <c r="B1412" s="28" t="s">
        <v>4222</v>
      </c>
      <c r="C1412" s="29">
        <v>45731</v>
      </c>
      <c r="D1412" s="11">
        <v>42813.691653532806</v>
      </c>
      <c r="E1412" s="27">
        <f t="shared" si="105"/>
        <v>47660.201548712721</v>
      </c>
      <c r="F1412" s="6">
        <f t="shared" si="106"/>
        <v>61958.262013326537</v>
      </c>
      <c r="G1412" s="7">
        <f t="shared" si="107"/>
        <v>66724.282168197809</v>
      </c>
      <c r="H1412" s="8">
        <f t="shared" si="108"/>
        <v>71490.302323069074</v>
      </c>
      <c r="I1412" s="9">
        <f t="shared" si="109"/>
        <v>76256.322477940354</v>
      </c>
    </row>
    <row r="1413" spans="1:9" x14ac:dyDescent="0.35">
      <c r="A1413" s="28"/>
      <c r="B1413" s="28"/>
      <c r="C1413" s="29">
        <v>45731</v>
      </c>
      <c r="D1413" s="11">
        <v>0</v>
      </c>
      <c r="E1413" s="27">
        <f t="shared" si="105"/>
        <v>0</v>
      </c>
      <c r="F1413" s="6">
        <f t="shared" si="106"/>
        <v>0</v>
      </c>
      <c r="G1413" s="7">
        <f t="shared" si="107"/>
        <v>0</v>
      </c>
      <c r="H1413" s="8">
        <f t="shared" si="108"/>
        <v>0</v>
      </c>
      <c r="I1413" s="9">
        <f t="shared" si="109"/>
        <v>0</v>
      </c>
    </row>
    <row r="1414" spans="1:9" x14ac:dyDescent="0.35">
      <c r="A1414" s="28" t="s">
        <v>4152</v>
      </c>
      <c r="B1414" s="28" t="s">
        <v>4217</v>
      </c>
      <c r="C1414" s="29">
        <v>45731</v>
      </c>
      <c r="D1414" s="11">
        <v>641.60151455400012</v>
      </c>
      <c r="E1414" s="27">
        <f t="shared" si="105"/>
        <v>714.23080600151297</v>
      </c>
      <c r="F1414" s="6">
        <f t="shared" si="106"/>
        <v>928.50004780196684</v>
      </c>
      <c r="G1414" s="7">
        <f t="shared" si="107"/>
        <v>999.9231284021181</v>
      </c>
      <c r="H1414" s="8">
        <f t="shared" si="108"/>
        <v>1071.3462090022695</v>
      </c>
      <c r="I1414" s="9">
        <f t="shared" si="109"/>
        <v>1142.7692896024207</v>
      </c>
    </row>
    <row r="1415" spans="1:9" x14ac:dyDescent="0.35">
      <c r="A1415" s="28" t="s">
        <v>4153</v>
      </c>
      <c r="B1415" s="28" t="s">
        <v>4218</v>
      </c>
      <c r="C1415" s="29">
        <v>45731</v>
      </c>
      <c r="D1415" s="11">
        <v>641.60151455400012</v>
      </c>
      <c r="E1415" s="27">
        <f t="shared" si="105"/>
        <v>714.23080600151297</v>
      </c>
      <c r="F1415" s="6">
        <f t="shared" si="106"/>
        <v>928.50004780196684</v>
      </c>
      <c r="G1415" s="7">
        <f t="shared" si="107"/>
        <v>999.9231284021181</v>
      </c>
      <c r="H1415" s="8">
        <f t="shared" si="108"/>
        <v>1071.3462090022695</v>
      </c>
      <c r="I1415" s="9">
        <f t="shared" si="109"/>
        <v>1142.7692896024207</v>
      </c>
    </row>
    <row r="1416" spans="1:9" x14ac:dyDescent="0.35">
      <c r="A1416" s="28" t="s">
        <v>4154</v>
      </c>
      <c r="B1416" s="28" t="s">
        <v>4219</v>
      </c>
      <c r="C1416" s="29">
        <v>45731</v>
      </c>
      <c r="D1416" s="11">
        <v>641.60151455400012</v>
      </c>
      <c r="E1416" s="27">
        <f t="shared" si="105"/>
        <v>714.23080600151297</v>
      </c>
      <c r="F1416" s="6">
        <f t="shared" si="106"/>
        <v>928.50004780196684</v>
      </c>
      <c r="G1416" s="7">
        <f t="shared" si="107"/>
        <v>999.9231284021181</v>
      </c>
      <c r="H1416" s="8">
        <f t="shared" si="108"/>
        <v>1071.3462090022695</v>
      </c>
      <c r="I1416" s="9">
        <f t="shared" si="109"/>
        <v>1142.7692896024207</v>
      </c>
    </row>
    <row r="1417" spans="1:9" ht="18" x14ac:dyDescent="0.4">
      <c r="B1417" s="19" t="s">
        <v>407</v>
      </c>
      <c r="D1417" s="11">
        <v>0</v>
      </c>
      <c r="E1417" s="27">
        <f t="shared" si="105"/>
        <v>0</v>
      </c>
      <c r="F1417" s="6">
        <f t="shared" si="106"/>
        <v>0</v>
      </c>
      <c r="G1417" s="7">
        <f t="shared" si="107"/>
        <v>0</v>
      </c>
      <c r="H1417" s="8">
        <f t="shared" si="108"/>
        <v>0</v>
      </c>
      <c r="I1417" s="9">
        <f t="shared" si="109"/>
        <v>0</v>
      </c>
    </row>
    <row r="1418" spans="1:9" x14ac:dyDescent="0.35">
      <c r="A1418" s="18" t="s">
        <v>425</v>
      </c>
      <c r="B1418" s="18" t="s">
        <v>6783</v>
      </c>
      <c r="C1418" s="20">
        <v>45673</v>
      </c>
      <c r="D1418" s="11">
        <v>4231.9600863100586</v>
      </c>
      <c r="E1418" s="27">
        <f t="shared" si="105"/>
        <v>4711.0179680803576</v>
      </c>
      <c r="F1418" s="6">
        <f t="shared" si="106"/>
        <v>6124.3233585044654</v>
      </c>
      <c r="G1418" s="7">
        <f t="shared" si="107"/>
        <v>6595.4251553125005</v>
      </c>
      <c r="H1418" s="8">
        <f t="shared" si="108"/>
        <v>7066.5269521205364</v>
      </c>
      <c r="I1418" s="9">
        <f t="shared" si="109"/>
        <v>7537.6287489285723</v>
      </c>
    </row>
    <row r="1419" spans="1:9" x14ac:dyDescent="0.35">
      <c r="C1419" s="20">
        <v>45673</v>
      </c>
      <c r="D1419" s="11">
        <v>0</v>
      </c>
      <c r="E1419" s="27">
        <f t="shared" si="105"/>
        <v>0</v>
      </c>
      <c r="F1419" s="6">
        <f t="shared" si="106"/>
        <v>0</v>
      </c>
      <c r="G1419" s="7">
        <f t="shared" si="107"/>
        <v>0</v>
      </c>
      <c r="H1419" s="8">
        <f t="shared" si="108"/>
        <v>0</v>
      </c>
      <c r="I1419" s="9">
        <f t="shared" si="109"/>
        <v>0</v>
      </c>
    </row>
    <row r="1420" spans="1:9" x14ac:dyDescent="0.35">
      <c r="A1420" s="18" t="s">
        <v>1403</v>
      </c>
      <c r="B1420" s="18" t="s">
        <v>6784</v>
      </c>
      <c r="C1420" s="20">
        <v>45673</v>
      </c>
      <c r="D1420" s="11">
        <v>238.15417500000001</v>
      </c>
      <c r="E1420" s="27">
        <f t="shared" ref="E1420:E1483" si="110">D1420*1.21*0.92</f>
        <v>265.11322761000002</v>
      </c>
      <c r="F1420" s="6">
        <f t="shared" si="106"/>
        <v>344.64719589300006</v>
      </c>
      <c r="G1420" s="7">
        <f t="shared" si="107"/>
        <v>371.15851865400003</v>
      </c>
      <c r="H1420" s="8">
        <f t="shared" si="108"/>
        <v>397.66984141500006</v>
      </c>
      <c r="I1420" s="9">
        <f t="shared" si="109"/>
        <v>424.18116417600004</v>
      </c>
    </row>
    <row r="1421" spans="1:9" x14ac:dyDescent="0.35">
      <c r="A1421" s="18" t="s">
        <v>1404</v>
      </c>
      <c r="B1421" s="18" t="s">
        <v>6785</v>
      </c>
      <c r="C1421" s="20">
        <v>45673</v>
      </c>
      <c r="D1421" s="11">
        <v>323.48767500000002</v>
      </c>
      <c r="E1421" s="27">
        <f t="shared" si="110"/>
        <v>360.10647981</v>
      </c>
      <c r="F1421" s="6">
        <f t="shared" si="106"/>
        <v>468.13842375299998</v>
      </c>
      <c r="G1421" s="7">
        <f t="shared" si="107"/>
        <v>504.14907173399996</v>
      </c>
      <c r="H1421" s="8">
        <f t="shared" si="108"/>
        <v>540.15971971499994</v>
      </c>
      <c r="I1421" s="9">
        <f t="shared" si="109"/>
        <v>576.17036769599997</v>
      </c>
    </row>
    <row r="1422" spans="1:9" x14ac:dyDescent="0.35">
      <c r="A1422" s="18" t="s">
        <v>1405</v>
      </c>
      <c r="B1422" s="18" t="s">
        <v>6786</v>
      </c>
      <c r="C1422" s="20">
        <v>45673</v>
      </c>
      <c r="D1422" s="11">
        <v>397.24020000000002</v>
      </c>
      <c r="E1422" s="27">
        <f t="shared" si="110"/>
        <v>442.20779064000004</v>
      </c>
      <c r="F1422" s="6">
        <f t="shared" si="106"/>
        <v>574.87012783200009</v>
      </c>
      <c r="G1422" s="7">
        <f t="shared" si="107"/>
        <v>619.09090689599998</v>
      </c>
      <c r="H1422" s="8">
        <f t="shared" si="108"/>
        <v>663.31168596000009</v>
      </c>
      <c r="I1422" s="9">
        <f t="shared" si="109"/>
        <v>707.53246502400009</v>
      </c>
    </row>
    <row r="1423" spans="1:9" x14ac:dyDescent="0.35">
      <c r="A1423" s="18" t="s">
        <v>1406</v>
      </c>
      <c r="B1423" s="18" t="s">
        <v>6787</v>
      </c>
      <c r="C1423" s="20">
        <v>45673</v>
      </c>
      <c r="D1423" s="11">
        <v>922.56570000000022</v>
      </c>
      <c r="E1423" s="27">
        <f t="shared" si="110"/>
        <v>1027.0001372400004</v>
      </c>
      <c r="F1423" s="6">
        <f t="shared" si="106"/>
        <v>1335.1001784120006</v>
      </c>
      <c r="G1423" s="7">
        <f t="shared" si="107"/>
        <v>1437.8001921360005</v>
      </c>
      <c r="H1423" s="8">
        <f t="shared" si="108"/>
        <v>1540.5002058600007</v>
      </c>
      <c r="I1423" s="9">
        <f t="shared" si="109"/>
        <v>1643.2002195840007</v>
      </c>
    </row>
    <row r="1424" spans="1:9" x14ac:dyDescent="0.35">
      <c r="A1424" s="18" t="s">
        <v>1407</v>
      </c>
      <c r="B1424" s="18" t="s">
        <v>6788</v>
      </c>
      <c r="C1424" s="20">
        <v>45673</v>
      </c>
      <c r="D1424" s="11">
        <v>1294.2767250000002</v>
      </c>
      <c r="E1424" s="27">
        <f t="shared" si="110"/>
        <v>1440.7888502700002</v>
      </c>
      <c r="F1424" s="6">
        <f t="shared" si="106"/>
        <v>1873.0255053510004</v>
      </c>
      <c r="G1424" s="7">
        <f t="shared" si="107"/>
        <v>2017.1043903780003</v>
      </c>
      <c r="H1424" s="8">
        <f t="shared" si="108"/>
        <v>2161.1832754050001</v>
      </c>
      <c r="I1424" s="9">
        <f t="shared" si="109"/>
        <v>2305.2621604320007</v>
      </c>
    </row>
    <row r="1425" spans="1:9" x14ac:dyDescent="0.35">
      <c r="A1425" s="18" t="s">
        <v>1408</v>
      </c>
      <c r="B1425" s="18" t="s">
        <v>6789</v>
      </c>
      <c r="C1425" s="20">
        <v>45673</v>
      </c>
      <c r="D1425" s="11">
        <v>4255.7430024975865</v>
      </c>
      <c r="E1425" s="27">
        <f t="shared" si="110"/>
        <v>4737.4931103803137</v>
      </c>
      <c r="F1425" s="6">
        <f t="shared" si="106"/>
        <v>6158.7410434944077</v>
      </c>
      <c r="G1425" s="7">
        <f t="shared" si="107"/>
        <v>6632.4903545324387</v>
      </c>
      <c r="H1425" s="8">
        <f t="shared" si="108"/>
        <v>7106.2396655704706</v>
      </c>
      <c r="I1425" s="9">
        <f t="shared" si="109"/>
        <v>7579.9889766085025</v>
      </c>
    </row>
    <row r="1426" spans="1:9" x14ac:dyDescent="0.35">
      <c r="C1426" s="20">
        <v>45673</v>
      </c>
      <c r="D1426" s="11">
        <v>0</v>
      </c>
      <c r="E1426" s="27">
        <f t="shared" si="110"/>
        <v>0</v>
      </c>
      <c r="F1426" s="6">
        <f t="shared" si="106"/>
        <v>0</v>
      </c>
      <c r="G1426" s="7">
        <f t="shared" si="107"/>
        <v>0</v>
      </c>
      <c r="H1426" s="8">
        <f t="shared" si="108"/>
        <v>0</v>
      </c>
      <c r="I1426" s="9">
        <f t="shared" si="109"/>
        <v>0</v>
      </c>
    </row>
    <row r="1427" spans="1:9" x14ac:dyDescent="0.35">
      <c r="A1427" s="18" t="s">
        <v>5445</v>
      </c>
      <c r="B1427" s="18" t="s">
        <v>6790</v>
      </c>
      <c r="C1427" s="20">
        <v>45673</v>
      </c>
      <c r="D1427" s="11">
        <v>274.44217500000008</v>
      </c>
      <c r="E1427" s="27">
        <f t="shared" si="110"/>
        <v>305.50902921000011</v>
      </c>
      <c r="F1427" s="6">
        <f t="shared" si="106"/>
        <v>397.16173797300013</v>
      </c>
      <c r="G1427" s="7">
        <f t="shared" si="107"/>
        <v>427.71264089400012</v>
      </c>
      <c r="H1427" s="8">
        <f t="shared" si="108"/>
        <v>458.26354381500016</v>
      </c>
      <c r="I1427" s="9">
        <f t="shared" si="109"/>
        <v>488.81444673600021</v>
      </c>
    </row>
    <row r="1428" spans="1:9" x14ac:dyDescent="0.35">
      <c r="C1428" s="20">
        <v>45673</v>
      </c>
      <c r="D1428" s="11">
        <v>0</v>
      </c>
      <c r="E1428" s="27">
        <f t="shared" si="110"/>
        <v>0</v>
      </c>
      <c r="F1428" s="6">
        <f t="shared" si="106"/>
        <v>0</v>
      </c>
      <c r="G1428" s="7">
        <f t="shared" si="107"/>
        <v>0</v>
      </c>
      <c r="H1428" s="8">
        <f t="shared" si="108"/>
        <v>0</v>
      </c>
      <c r="I1428" s="9">
        <f t="shared" si="109"/>
        <v>0</v>
      </c>
    </row>
    <row r="1429" spans="1:9" x14ac:dyDescent="0.35">
      <c r="A1429" s="18" t="s">
        <v>1409</v>
      </c>
      <c r="B1429" s="18" t="s">
        <v>6791</v>
      </c>
      <c r="C1429" s="20">
        <v>45673</v>
      </c>
      <c r="D1429" s="11">
        <v>239.07555000000002</v>
      </c>
      <c r="E1429" s="27">
        <f t="shared" si="110"/>
        <v>266.13890226000007</v>
      </c>
      <c r="F1429" s="6">
        <f t="shared" si="106"/>
        <v>345.98057293800008</v>
      </c>
      <c r="G1429" s="7">
        <f t="shared" si="107"/>
        <v>372.59446316400005</v>
      </c>
      <c r="H1429" s="8">
        <f t="shared" si="108"/>
        <v>399.20835339000007</v>
      </c>
      <c r="I1429" s="9">
        <f t="shared" si="109"/>
        <v>425.82224361600015</v>
      </c>
    </row>
    <row r="1430" spans="1:9" x14ac:dyDescent="0.35">
      <c r="A1430" s="18" t="s">
        <v>1410</v>
      </c>
      <c r="B1430" s="18" t="s">
        <v>6792</v>
      </c>
      <c r="C1430" s="20">
        <v>45673</v>
      </c>
      <c r="D1430" s="11">
        <v>301.72905000000009</v>
      </c>
      <c r="E1430" s="27">
        <f t="shared" si="110"/>
        <v>335.88477846000012</v>
      </c>
      <c r="F1430" s="6">
        <f t="shared" si="106"/>
        <v>436.65021199800015</v>
      </c>
      <c r="G1430" s="7">
        <f t="shared" si="107"/>
        <v>470.23868984400013</v>
      </c>
      <c r="H1430" s="8">
        <f t="shared" si="108"/>
        <v>503.82716769000018</v>
      </c>
      <c r="I1430" s="9">
        <f t="shared" si="109"/>
        <v>537.41564553600017</v>
      </c>
    </row>
    <row r="1431" spans="1:9" x14ac:dyDescent="0.35">
      <c r="A1431" s="18" t="s">
        <v>1411</v>
      </c>
      <c r="B1431" s="18" t="s">
        <v>6793</v>
      </c>
      <c r="C1431" s="20">
        <v>45673</v>
      </c>
      <c r="D1431" s="11">
        <v>331.28392500000007</v>
      </c>
      <c r="E1431" s="27">
        <f t="shared" si="110"/>
        <v>368.78526531000006</v>
      </c>
      <c r="F1431" s="6">
        <f t="shared" si="106"/>
        <v>479.4208449030001</v>
      </c>
      <c r="G1431" s="7">
        <f t="shared" si="107"/>
        <v>516.29937143400002</v>
      </c>
      <c r="H1431" s="8">
        <f t="shared" si="108"/>
        <v>553.17789796500006</v>
      </c>
      <c r="I1431" s="9">
        <f t="shared" si="109"/>
        <v>590.05642449600009</v>
      </c>
    </row>
    <row r="1432" spans="1:9" x14ac:dyDescent="0.35">
      <c r="A1432" s="18" t="s">
        <v>1412</v>
      </c>
      <c r="B1432" s="18" t="s">
        <v>6794</v>
      </c>
      <c r="C1432" s="20">
        <v>45673</v>
      </c>
      <c r="D1432" s="11">
        <v>770.90737500000012</v>
      </c>
      <c r="E1432" s="27">
        <f t="shared" si="110"/>
        <v>858.17408985000009</v>
      </c>
      <c r="F1432" s="6">
        <f t="shared" si="106"/>
        <v>1115.6263168050002</v>
      </c>
      <c r="G1432" s="7">
        <f t="shared" si="107"/>
        <v>1201.4437257900001</v>
      </c>
      <c r="H1432" s="8">
        <f t="shared" si="108"/>
        <v>1287.2611347750001</v>
      </c>
      <c r="I1432" s="9">
        <f t="shared" si="109"/>
        <v>1373.0785437600002</v>
      </c>
    </row>
    <row r="1433" spans="1:9" x14ac:dyDescent="0.35">
      <c r="C1433" s="20">
        <v>45673</v>
      </c>
      <c r="D1433" s="11">
        <v>0</v>
      </c>
      <c r="E1433" s="27">
        <f t="shared" si="110"/>
        <v>0</v>
      </c>
      <c r="F1433" s="6">
        <f t="shared" si="106"/>
        <v>0</v>
      </c>
      <c r="G1433" s="7">
        <f t="shared" si="107"/>
        <v>0</v>
      </c>
      <c r="H1433" s="8">
        <f t="shared" si="108"/>
        <v>0</v>
      </c>
      <c r="I1433" s="9">
        <f t="shared" si="109"/>
        <v>0</v>
      </c>
    </row>
    <row r="1434" spans="1:9" x14ac:dyDescent="0.35">
      <c r="A1434" s="18" t="s">
        <v>1413</v>
      </c>
      <c r="B1434" s="18" t="s">
        <v>6795</v>
      </c>
      <c r="C1434" s="20">
        <v>45673</v>
      </c>
      <c r="D1434" s="11">
        <v>360.28597500000001</v>
      </c>
      <c r="E1434" s="27">
        <f t="shared" si="110"/>
        <v>401.07034736999998</v>
      </c>
      <c r="F1434" s="6">
        <f t="shared" si="106"/>
        <v>521.39145158099996</v>
      </c>
      <c r="G1434" s="7">
        <f t="shared" si="107"/>
        <v>561.49848631799989</v>
      </c>
      <c r="H1434" s="8">
        <f t="shared" si="108"/>
        <v>601.60552105499994</v>
      </c>
      <c r="I1434" s="9">
        <f t="shared" si="109"/>
        <v>641.71255579199999</v>
      </c>
    </row>
    <row r="1435" spans="1:9" x14ac:dyDescent="0.35">
      <c r="A1435" s="18" t="s">
        <v>1414</v>
      </c>
      <c r="B1435" s="18" t="s">
        <v>6796</v>
      </c>
      <c r="C1435" s="20">
        <v>45673</v>
      </c>
      <c r="D1435" s="11">
        <v>589.68000000000006</v>
      </c>
      <c r="E1435" s="27">
        <f t="shared" si="110"/>
        <v>656.43177600000013</v>
      </c>
      <c r="F1435" s="6">
        <f t="shared" si="106"/>
        <v>853.36130880000019</v>
      </c>
      <c r="G1435" s="7">
        <f t="shared" si="107"/>
        <v>919.00448640000013</v>
      </c>
      <c r="H1435" s="8">
        <f t="shared" si="108"/>
        <v>984.64766400000019</v>
      </c>
      <c r="I1435" s="9">
        <f t="shared" si="109"/>
        <v>1050.2908416000002</v>
      </c>
    </row>
    <row r="1436" spans="1:9" x14ac:dyDescent="0.35">
      <c r="A1436" s="18" t="s">
        <v>1415</v>
      </c>
      <c r="B1436" s="18" t="s">
        <v>6797</v>
      </c>
      <c r="C1436" s="20">
        <v>45673</v>
      </c>
      <c r="D1436" s="11">
        <v>712.09530000000007</v>
      </c>
      <c r="E1436" s="27">
        <f t="shared" si="110"/>
        <v>792.70448796000017</v>
      </c>
      <c r="F1436" s="6">
        <f t="shared" si="106"/>
        <v>1030.5158343480002</v>
      </c>
      <c r="G1436" s="7">
        <f t="shared" si="107"/>
        <v>1109.7862831440002</v>
      </c>
      <c r="H1436" s="8">
        <f t="shared" si="108"/>
        <v>1189.0567319400002</v>
      </c>
      <c r="I1436" s="9">
        <f t="shared" si="109"/>
        <v>1268.3271807360004</v>
      </c>
    </row>
    <row r="1437" spans="1:9" x14ac:dyDescent="0.35">
      <c r="A1437" s="18" t="s">
        <v>1416</v>
      </c>
      <c r="B1437" s="18" t="s">
        <v>6798</v>
      </c>
      <c r="C1437" s="20">
        <v>45673</v>
      </c>
      <c r="D1437" s="11">
        <v>1873.0986750000002</v>
      </c>
      <c r="E1437" s="27">
        <f t="shared" si="110"/>
        <v>2085.1334450100003</v>
      </c>
      <c r="F1437" s="6">
        <f t="shared" si="106"/>
        <v>2710.6734785130006</v>
      </c>
      <c r="G1437" s="7">
        <f t="shared" si="107"/>
        <v>2919.1868230140003</v>
      </c>
      <c r="H1437" s="8">
        <f t="shared" si="108"/>
        <v>3127.7001675150004</v>
      </c>
      <c r="I1437" s="9">
        <f t="shared" si="109"/>
        <v>3336.2135120160005</v>
      </c>
    </row>
    <row r="1438" spans="1:9" x14ac:dyDescent="0.35">
      <c r="C1438" s="20">
        <v>45673</v>
      </c>
      <c r="D1438" s="11">
        <v>0</v>
      </c>
      <c r="E1438" s="27">
        <f t="shared" si="110"/>
        <v>0</v>
      </c>
      <c r="F1438" s="6">
        <f t="shared" si="106"/>
        <v>0</v>
      </c>
      <c r="G1438" s="7">
        <f t="shared" si="107"/>
        <v>0</v>
      </c>
      <c r="H1438" s="8">
        <f t="shared" si="108"/>
        <v>0</v>
      </c>
      <c r="I1438" s="9">
        <f t="shared" si="109"/>
        <v>0</v>
      </c>
    </row>
    <row r="1439" spans="1:9" x14ac:dyDescent="0.35">
      <c r="A1439" s="18" t="s">
        <v>1417</v>
      </c>
      <c r="B1439" s="18" t="s">
        <v>6799</v>
      </c>
      <c r="C1439" s="20">
        <v>45673</v>
      </c>
      <c r="D1439" s="11">
        <v>360.20092500000004</v>
      </c>
      <c r="E1439" s="27">
        <f t="shared" si="110"/>
        <v>400.97566971000003</v>
      </c>
      <c r="F1439" s="6">
        <f t="shared" si="106"/>
        <v>521.26837062300001</v>
      </c>
      <c r="G1439" s="7">
        <f t="shared" si="107"/>
        <v>561.365937594</v>
      </c>
      <c r="H1439" s="8">
        <f t="shared" si="108"/>
        <v>601.46350456499999</v>
      </c>
      <c r="I1439" s="9">
        <f t="shared" si="109"/>
        <v>641.5610715360001</v>
      </c>
    </row>
    <row r="1440" spans="1:9" x14ac:dyDescent="0.35">
      <c r="A1440" s="18" t="s">
        <v>1418</v>
      </c>
      <c r="B1440" s="18" t="s">
        <v>6800</v>
      </c>
      <c r="C1440" s="20">
        <v>45673</v>
      </c>
      <c r="D1440" s="11">
        <v>513.00742500000013</v>
      </c>
      <c r="E1440" s="27">
        <f t="shared" si="110"/>
        <v>571.07986551000022</v>
      </c>
      <c r="F1440" s="6">
        <f t="shared" si="106"/>
        <v>742.40382516300031</v>
      </c>
      <c r="G1440" s="7">
        <f t="shared" si="107"/>
        <v>799.51181171400026</v>
      </c>
      <c r="H1440" s="8">
        <f t="shared" si="108"/>
        <v>856.61979826500033</v>
      </c>
      <c r="I1440" s="9">
        <f t="shared" si="109"/>
        <v>913.72778481600039</v>
      </c>
    </row>
    <row r="1441" spans="1:9" x14ac:dyDescent="0.35">
      <c r="A1441" s="18" t="s">
        <v>1419</v>
      </c>
      <c r="B1441" s="18" t="s">
        <v>6801</v>
      </c>
      <c r="C1441" s="20">
        <v>45673</v>
      </c>
      <c r="D1441" s="11">
        <v>965.30659819964956</v>
      </c>
      <c r="E1441" s="27">
        <f t="shared" si="110"/>
        <v>1074.57930511585</v>
      </c>
      <c r="F1441" s="6">
        <f t="shared" si="106"/>
        <v>1396.9530966506052</v>
      </c>
      <c r="G1441" s="7">
        <f t="shared" si="107"/>
        <v>1504.4110271621901</v>
      </c>
      <c r="H1441" s="8">
        <f t="shared" si="108"/>
        <v>1611.8689576737752</v>
      </c>
      <c r="I1441" s="9">
        <f t="shared" si="109"/>
        <v>1719.3268881853601</v>
      </c>
    </row>
    <row r="1442" spans="1:9" x14ac:dyDescent="0.35">
      <c r="A1442" s="18" t="s">
        <v>1420</v>
      </c>
      <c r="B1442" s="18" t="s">
        <v>6802</v>
      </c>
      <c r="C1442" s="20">
        <v>45673</v>
      </c>
      <c r="D1442" s="11">
        <v>1283.9714999999999</v>
      </c>
      <c r="E1442" s="27">
        <f t="shared" si="110"/>
        <v>1429.3170737999999</v>
      </c>
      <c r="F1442" s="6">
        <f t="shared" si="106"/>
        <v>1858.11219594</v>
      </c>
      <c r="G1442" s="7">
        <f t="shared" si="107"/>
        <v>2001.0439033199998</v>
      </c>
      <c r="H1442" s="8">
        <f t="shared" si="108"/>
        <v>2143.9756106999998</v>
      </c>
      <c r="I1442" s="9">
        <f t="shared" si="109"/>
        <v>2286.9073180800001</v>
      </c>
    </row>
    <row r="1443" spans="1:9" x14ac:dyDescent="0.35">
      <c r="C1443" s="20">
        <v>45673</v>
      </c>
      <c r="D1443" s="11">
        <v>0</v>
      </c>
      <c r="E1443" s="27">
        <f t="shared" si="110"/>
        <v>0</v>
      </c>
      <c r="F1443" s="6">
        <f t="shared" si="106"/>
        <v>0</v>
      </c>
      <c r="G1443" s="7">
        <f t="shared" si="107"/>
        <v>0</v>
      </c>
      <c r="H1443" s="8">
        <f t="shared" si="108"/>
        <v>0</v>
      </c>
      <c r="I1443" s="9">
        <f t="shared" si="109"/>
        <v>0</v>
      </c>
    </row>
    <row r="1444" spans="1:9" x14ac:dyDescent="0.35">
      <c r="A1444" s="18" t="s">
        <v>1421</v>
      </c>
      <c r="B1444" s="18" t="s">
        <v>6803</v>
      </c>
      <c r="C1444" s="20">
        <v>45673</v>
      </c>
      <c r="D1444" s="11">
        <v>2152.4595750000003</v>
      </c>
      <c r="E1444" s="27">
        <f t="shared" si="110"/>
        <v>2396.1179988900008</v>
      </c>
      <c r="F1444" s="6">
        <f t="shared" si="106"/>
        <v>3114.953398557001</v>
      </c>
      <c r="G1444" s="7">
        <f t="shared" si="107"/>
        <v>3354.565198446001</v>
      </c>
      <c r="H1444" s="8">
        <f t="shared" si="108"/>
        <v>3594.1769983350014</v>
      </c>
      <c r="I1444" s="9">
        <f t="shared" si="109"/>
        <v>3833.7887982240013</v>
      </c>
    </row>
    <row r="1445" spans="1:9" x14ac:dyDescent="0.35">
      <c r="A1445" s="18" t="s">
        <v>1422</v>
      </c>
      <c r="B1445" s="18" t="s">
        <v>6804</v>
      </c>
      <c r="C1445" s="20">
        <v>45673</v>
      </c>
      <c r="D1445" s="11">
        <v>3730.7607750000002</v>
      </c>
      <c r="E1445" s="27">
        <f t="shared" si="110"/>
        <v>4153.0828947300006</v>
      </c>
      <c r="F1445" s="6">
        <f t="shared" si="106"/>
        <v>5399.0077631490012</v>
      </c>
      <c r="G1445" s="7">
        <f t="shared" si="107"/>
        <v>5814.3160526220008</v>
      </c>
      <c r="H1445" s="8">
        <f t="shared" si="108"/>
        <v>6229.6243420950013</v>
      </c>
      <c r="I1445" s="9">
        <f t="shared" si="109"/>
        <v>6644.9326315680009</v>
      </c>
    </row>
    <row r="1446" spans="1:9" x14ac:dyDescent="0.35">
      <c r="A1446" s="18" t="s">
        <v>1423</v>
      </c>
      <c r="B1446" s="18" t="s">
        <v>6805</v>
      </c>
      <c r="C1446" s="20">
        <v>45673</v>
      </c>
      <c r="D1446" s="11">
        <v>3315.1356000000001</v>
      </c>
      <c r="E1446" s="27">
        <f t="shared" si="110"/>
        <v>3690.4089499200004</v>
      </c>
      <c r="F1446" s="6">
        <f t="shared" si="106"/>
        <v>4797.5316348960005</v>
      </c>
      <c r="G1446" s="7">
        <f t="shared" si="107"/>
        <v>5166.5725298880006</v>
      </c>
      <c r="H1446" s="8">
        <f t="shared" si="108"/>
        <v>5535.6134248800008</v>
      </c>
      <c r="I1446" s="9">
        <f t="shared" si="109"/>
        <v>5904.654319872001</v>
      </c>
    </row>
    <row r="1447" spans="1:9" x14ac:dyDescent="0.35">
      <c r="A1447" s="18" t="s">
        <v>1424</v>
      </c>
      <c r="B1447" s="18" t="s">
        <v>6806</v>
      </c>
      <c r="C1447" s="20">
        <v>45673</v>
      </c>
      <c r="D1447" s="11">
        <v>2049.5277773369376</v>
      </c>
      <c r="E1447" s="27">
        <f t="shared" si="110"/>
        <v>2281.5343217314789</v>
      </c>
      <c r="F1447" s="6">
        <f t="shared" si="106"/>
        <v>2965.9946182509229</v>
      </c>
      <c r="G1447" s="7">
        <f t="shared" si="107"/>
        <v>3194.1480504240703</v>
      </c>
      <c r="H1447" s="8">
        <f t="shared" si="108"/>
        <v>3422.3014825972186</v>
      </c>
      <c r="I1447" s="9">
        <f t="shared" si="109"/>
        <v>3650.4549147703665</v>
      </c>
    </row>
    <row r="1448" spans="1:9" x14ac:dyDescent="0.35">
      <c r="C1448" s="20">
        <v>45673</v>
      </c>
      <c r="D1448" s="11">
        <v>0</v>
      </c>
      <c r="E1448" s="27">
        <f t="shared" si="110"/>
        <v>0</v>
      </c>
      <c r="F1448" s="6">
        <f t="shared" si="106"/>
        <v>0</v>
      </c>
      <c r="G1448" s="7">
        <f t="shared" si="107"/>
        <v>0</v>
      </c>
      <c r="H1448" s="8">
        <f t="shared" si="108"/>
        <v>0</v>
      </c>
      <c r="I1448" s="9">
        <f t="shared" si="109"/>
        <v>0</v>
      </c>
    </row>
    <row r="1449" spans="1:9" x14ac:dyDescent="0.35">
      <c r="A1449" s="18" t="s">
        <v>1425</v>
      </c>
      <c r="B1449" s="18" t="s">
        <v>6807</v>
      </c>
      <c r="C1449" s="20">
        <v>45673</v>
      </c>
      <c r="D1449" s="11">
        <v>176.010975</v>
      </c>
      <c r="E1449" s="27">
        <f t="shared" si="110"/>
        <v>195.93541737000001</v>
      </c>
      <c r="F1449" s="6">
        <f t="shared" si="106"/>
        <v>254.71604258100001</v>
      </c>
      <c r="G1449" s="7">
        <f t="shared" si="107"/>
        <v>274.30958431800002</v>
      </c>
      <c r="H1449" s="8">
        <f t="shared" si="108"/>
        <v>293.90312605500003</v>
      </c>
      <c r="I1449" s="9">
        <f t="shared" si="109"/>
        <v>313.49666779200004</v>
      </c>
    </row>
    <row r="1450" spans="1:9" x14ac:dyDescent="0.35">
      <c r="A1450" s="18" t="s">
        <v>1426</v>
      </c>
      <c r="B1450" s="18" t="s">
        <v>6808</v>
      </c>
      <c r="C1450" s="20">
        <v>45673</v>
      </c>
      <c r="D1450" s="11">
        <v>307.31400000000002</v>
      </c>
      <c r="E1450" s="27">
        <f t="shared" si="110"/>
        <v>342.10194480000001</v>
      </c>
      <c r="F1450" s="6">
        <f t="shared" si="106"/>
        <v>444.73252824000002</v>
      </c>
      <c r="G1450" s="7">
        <f t="shared" si="107"/>
        <v>478.94272272000001</v>
      </c>
      <c r="H1450" s="8">
        <f t="shared" si="108"/>
        <v>513.15291720000005</v>
      </c>
      <c r="I1450" s="9">
        <f t="shared" si="109"/>
        <v>547.36311168000009</v>
      </c>
    </row>
    <row r="1451" spans="1:9" x14ac:dyDescent="0.35">
      <c r="A1451" s="18" t="s">
        <v>1427</v>
      </c>
      <c r="B1451" s="18" t="s">
        <v>6809</v>
      </c>
      <c r="C1451" s="20">
        <v>45673</v>
      </c>
      <c r="D1451" s="11">
        <v>221.13000000000002</v>
      </c>
      <c r="E1451" s="27">
        <f t="shared" si="110"/>
        <v>246.16191600000005</v>
      </c>
      <c r="F1451" s="6">
        <f t="shared" ref="F1451:F1514" si="111">E1451*1.3</f>
        <v>320.01049080000007</v>
      </c>
      <c r="G1451" s="7">
        <f t="shared" ref="G1451:G1514" si="112">E1451*1.4</f>
        <v>344.62668240000005</v>
      </c>
      <c r="H1451" s="8">
        <f t="shared" ref="H1451:H1514" si="113">E1451*1.5</f>
        <v>369.24287400000009</v>
      </c>
      <c r="I1451" s="9">
        <f t="shared" ref="I1451:I1514" si="114">E1451*1.6</f>
        <v>393.85906560000012</v>
      </c>
    </row>
    <row r="1452" spans="1:9" x14ac:dyDescent="0.35">
      <c r="A1452" s="18" t="s">
        <v>1428</v>
      </c>
      <c r="B1452" s="18" t="s">
        <v>6810</v>
      </c>
      <c r="C1452" s="20">
        <v>45673</v>
      </c>
      <c r="D1452" s="11">
        <v>555.51825000000008</v>
      </c>
      <c r="E1452" s="27">
        <f t="shared" si="110"/>
        <v>618.40291590000015</v>
      </c>
      <c r="F1452" s="6">
        <f t="shared" si="111"/>
        <v>803.92379067000024</v>
      </c>
      <c r="G1452" s="7">
        <f t="shared" si="112"/>
        <v>865.76408226000012</v>
      </c>
      <c r="H1452" s="8">
        <f t="shared" si="113"/>
        <v>927.60437385000023</v>
      </c>
      <c r="I1452" s="9">
        <f t="shared" si="114"/>
        <v>989.44466544000034</v>
      </c>
    </row>
    <row r="1453" spans="1:9" x14ac:dyDescent="0.35">
      <c r="C1453" s="20">
        <v>45673</v>
      </c>
      <c r="D1453" s="11">
        <v>0</v>
      </c>
      <c r="E1453" s="27">
        <f t="shared" si="110"/>
        <v>0</v>
      </c>
      <c r="F1453" s="6">
        <f t="shared" si="111"/>
        <v>0</v>
      </c>
      <c r="G1453" s="7">
        <f t="shared" si="112"/>
        <v>0</v>
      </c>
      <c r="H1453" s="8">
        <f t="shared" si="113"/>
        <v>0</v>
      </c>
      <c r="I1453" s="9">
        <f t="shared" si="114"/>
        <v>0</v>
      </c>
    </row>
    <row r="1454" spans="1:9" x14ac:dyDescent="0.35">
      <c r="A1454" s="18" t="s">
        <v>1429</v>
      </c>
      <c r="B1454" s="18" t="s">
        <v>6811</v>
      </c>
      <c r="C1454" s="20">
        <v>45673</v>
      </c>
      <c r="D1454" s="11">
        <v>217.61368311587748</v>
      </c>
      <c r="E1454" s="27">
        <f t="shared" si="110"/>
        <v>242.24755204459484</v>
      </c>
      <c r="F1454" s="6">
        <f t="shared" si="111"/>
        <v>314.92181765797329</v>
      </c>
      <c r="G1454" s="7">
        <f t="shared" si="112"/>
        <v>339.14657286243278</v>
      </c>
      <c r="H1454" s="8">
        <f t="shared" si="113"/>
        <v>363.37132806689226</v>
      </c>
      <c r="I1454" s="9">
        <f t="shared" si="114"/>
        <v>387.59608327135174</v>
      </c>
    </row>
    <row r="1455" spans="1:9" x14ac:dyDescent="0.35">
      <c r="A1455" s="18" t="s">
        <v>1430</v>
      </c>
      <c r="B1455" s="18" t="s">
        <v>6812</v>
      </c>
      <c r="C1455" s="20">
        <v>45673</v>
      </c>
      <c r="D1455" s="11">
        <v>277.49067210565295</v>
      </c>
      <c r="E1455" s="27">
        <f t="shared" si="110"/>
        <v>308.90261618801281</v>
      </c>
      <c r="F1455" s="6">
        <f t="shared" si="111"/>
        <v>401.5734010444167</v>
      </c>
      <c r="G1455" s="7">
        <f t="shared" si="112"/>
        <v>432.46366266321792</v>
      </c>
      <c r="H1455" s="8">
        <f t="shared" si="113"/>
        <v>463.35392428201919</v>
      </c>
      <c r="I1455" s="9">
        <f t="shared" si="114"/>
        <v>494.24418590082053</v>
      </c>
    </row>
    <row r="1456" spans="1:9" x14ac:dyDescent="0.35">
      <c r="A1456" s="18" t="s">
        <v>1431</v>
      </c>
      <c r="B1456" s="18" t="s">
        <v>6813</v>
      </c>
      <c r="C1456" s="20">
        <v>45673</v>
      </c>
      <c r="D1456" s="11">
        <v>328.62394190883742</v>
      </c>
      <c r="E1456" s="27">
        <f t="shared" si="110"/>
        <v>365.82417213291785</v>
      </c>
      <c r="F1456" s="6">
        <f t="shared" si="111"/>
        <v>475.5714237727932</v>
      </c>
      <c r="G1456" s="7">
        <f t="shared" si="112"/>
        <v>512.15384098608502</v>
      </c>
      <c r="H1456" s="8">
        <f t="shared" si="113"/>
        <v>548.73625819937683</v>
      </c>
      <c r="I1456" s="9">
        <f t="shared" si="114"/>
        <v>585.31867541266854</v>
      </c>
    </row>
    <row r="1457" spans="1:9" x14ac:dyDescent="0.35">
      <c r="A1457" s="18" t="s">
        <v>1432</v>
      </c>
      <c r="B1457" s="18" t="s">
        <v>6814</v>
      </c>
      <c r="C1457" s="20">
        <v>45673</v>
      </c>
      <c r="D1457" s="11">
        <v>304.91842500000001</v>
      </c>
      <c r="E1457" s="27">
        <f t="shared" si="110"/>
        <v>339.43519071000003</v>
      </c>
      <c r="F1457" s="6">
        <f t="shared" si="111"/>
        <v>441.26574792300005</v>
      </c>
      <c r="G1457" s="7">
        <f t="shared" si="112"/>
        <v>475.20926699400002</v>
      </c>
      <c r="H1457" s="8">
        <f t="shared" si="113"/>
        <v>509.15278606500004</v>
      </c>
      <c r="I1457" s="9">
        <f t="shared" si="114"/>
        <v>543.09630513600007</v>
      </c>
    </row>
    <row r="1458" spans="1:9" x14ac:dyDescent="0.35">
      <c r="C1458" s="20">
        <v>45673</v>
      </c>
      <c r="D1458" s="11">
        <v>0</v>
      </c>
      <c r="E1458" s="27">
        <f t="shared" si="110"/>
        <v>0</v>
      </c>
      <c r="F1458" s="6">
        <f t="shared" si="111"/>
        <v>0</v>
      </c>
      <c r="G1458" s="7">
        <f t="shared" si="112"/>
        <v>0</v>
      </c>
      <c r="H1458" s="8">
        <f t="shared" si="113"/>
        <v>0</v>
      </c>
      <c r="I1458" s="9">
        <f t="shared" si="114"/>
        <v>0</v>
      </c>
    </row>
    <row r="1459" spans="1:9" x14ac:dyDescent="0.35">
      <c r="A1459" s="18" t="s">
        <v>1433</v>
      </c>
      <c r="B1459" s="18" t="s">
        <v>6815</v>
      </c>
      <c r="C1459" s="20">
        <v>45673</v>
      </c>
      <c r="D1459" s="11">
        <v>557.10585000000003</v>
      </c>
      <c r="E1459" s="27">
        <f t="shared" si="110"/>
        <v>620.17023222000012</v>
      </c>
      <c r="F1459" s="6">
        <f t="shared" si="111"/>
        <v>806.22130188600022</v>
      </c>
      <c r="G1459" s="7">
        <f t="shared" si="112"/>
        <v>868.23832510800014</v>
      </c>
      <c r="H1459" s="8">
        <f t="shared" si="113"/>
        <v>930.25534833000017</v>
      </c>
      <c r="I1459" s="9">
        <f t="shared" si="114"/>
        <v>992.27237155200021</v>
      </c>
    </row>
    <row r="1460" spans="1:9" x14ac:dyDescent="0.35">
      <c r="A1460" s="18" t="s">
        <v>1434</v>
      </c>
      <c r="B1460" s="18" t="s">
        <v>6816</v>
      </c>
      <c r="C1460" s="20">
        <v>45673</v>
      </c>
      <c r="D1460" s="11">
        <v>791.02170000000012</v>
      </c>
      <c r="E1460" s="27">
        <f t="shared" si="110"/>
        <v>880.56535644000019</v>
      </c>
      <c r="F1460" s="6">
        <f t="shared" si="111"/>
        <v>1144.7349633720003</v>
      </c>
      <c r="G1460" s="7">
        <f t="shared" si="112"/>
        <v>1232.7914990160002</v>
      </c>
      <c r="H1460" s="8">
        <f t="shared" si="113"/>
        <v>1320.8480346600004</v>
      </c>
      <c r="I1460" s="9">
        <f t="shared" si="114"/>
        <v>1408.9045703040003</v>
      </c>
    </row>
    <row r="1461" spans="1:9" x14ac:dyDescent="0.35">
      <c r="A1461" s="18" t="s">
        <v>1435</v>
      </c>
      <c r="B1461" s="18" t="s">
        <v>6817</v>
      </c>
      <c r="C1461" s="20">
        <v>45673</v>
      </c>
      <c r="D1461" s="11">
        <v>1384.8652196490334</v>
      </c>
      <c r="E1461" s="27">
        <f t="shared" si="110"/>
        <v>1541.631962513304</v>
      </c>
      <c r="F1461" s="6">
        <f t="shared" si="111"/>
        <v>2004.1215512672952</v>
      </c>
      <c r="G1461" s="7">
        <f t="shared" si="112"/>
        <v>2158.2847475186254</v>
      </c>
      <c r="H1461" s="8">
        <f t="shared" si="113"/>
        <v>2312.4479437699561</v>
      </c>
      <c r="I1461" s="9">
        <f t="shared" si="114"/>
        <v>2466.6111400212867</v>
      </c>
    </row>
    <row r="1462" spans="1:9" x14ac:dyDescent="0.35">
      <c r="A1462" s="18" t="s">
        <v>1436</v>
      </c>
      <c r="B1462" s="18" t="s">
        <v>6818</v>
      </c>
      <c r="C1462" s="20">
        <v>45673</v>
      </c>
      <c r="D1462" s="11">
        <v>1990.7699844030458</v>
      </c>
      <c r="E1462" s="27">
        <f t="shared" si="110"/>
        <v>2216.1251466374706</v>
      </c>
      <c r="F1462" s="6">
        <f t="shared" si="111"/>
        <v>2880.9626906287117</v>
      </c>
      <c r="G1462" s="7">
        <f t="shared" si="112"/>
        <v>3102.5752052924586</v>
      </c>
      <c r="H1462" s="8">
        <f t="shared" si="113"/>
        <v>3324.1877199562059</v>
      </c>
      <c r="I1462" s="9">
        <f t="shared" si="114"/>
        <v>3545.8002346199532</v>
      </c>
    </row>
    <row r="1463" spans="1:9" x14ac:dyDescent="0.35">
      <c r="A1463" s="18" t="s">
        <v>1437</v>
      </c>
      <c r="B1463" s="18" t="s">
        <v>6819</v>
      </c>
      <c r="C1463" s="20">
        <v>45673</v>
      </c>
      <c r="D1463" s="11">
        <v>1835.7613306631597</v>
      </c>
      <c r="E1463" s="27">
        <f t="shared" si="110"/>
        <v>2043.5695132942294</v>
      </c>
      <c r="F1463" s="6">
        <f t="shared" si="111"/>
        <v>2656.6403672824981</v>
      </c>
      <c r="G1463" s="7">
        <f t="shared" si="112"/>
        <v>2860.9973186119209</v>
      </c>
      <c r="H1463" s="8">
        <f t="shared" si="113"/>
        <v>3065.3542699413442</v>
      </c>
      <c r="I1463" s="9">
        <f t="shared" si="114"/>
        <v>3269.7112212707671</v>
      </c>
    </row>
    <row r="1464" spans="1:9" x14ac:dyDescent="0.35">
      <c r="C1464" s="20">
        <v>45673</v>
      </c>
      <c r="D1464" s="11">
        <v>0</v>
      </c>
      <c r="E1464" s="27">
        <f t="shared" si="110"/>
        <v>0</v>
      </c>
      <c r="F1464" s="6">
        <f t="shared" si="111"/>
        <v>0</v>
      </c>
      <c r="G1464" s="7">
        <f t="shared" si="112"/>
        <v>0</v>
      </c>
      <c r="H1464" s="8">
        <f t="shared" si="113"/>
        <v>0</v>
      </c>
      <c r="I1464" s="9">
        <f t="shared" si="114"/>
        <v>0</v>
      </c>
    </row>
    <row r="1465" spans="1:9" x14ac:dyDescent="0.35">
      <c r="A1465" s="18" t="s">
        <v>1438</v>
      </c>
      <c r="B1465" s="18" t="s">
        <v>6820</v>
      </c>
      <c r="C1465" s="20">
        <v>45673</v>
      </c>
      <c r="D1465" s="11">
        <v>689.28772500000002</v>
      </c>
      <c r="E1465" s="27">
        <f t="shared" si="110"/>
        <v>767.31509546999996</v>
      </c>
      <c r="F1465" s="6">
        <f t="shared" si="111"/>
        <v>997.50962411099999</v>
      </c>
      <c r="G1465" s="7">
        <f t="shared" si="112"/>
        <v>1074.2411336579999</v>
      </c>
      <c r="H1465" s="8">
        <f t="shared" si="113"/>
        <v>1150.9726432049999</v>
      </c>
      <c r="I1465" s="9">
        <f t="shared" si="114"/>
        <v>1227.704152752</v>
      </c>
    </row>
    <row r="1466" spans="1:9" x14ac:dyDescent="0.35">
      <c r="A1466" s="18" t="s">
        <v>1439</v>
      </c>
      <c r="B1466" s="18" t="s">
        <v>6821</v>
      </c>
      <c r="C1466" s="20">
        <v>45673</v>
      </c>
      <c r="D1466" s="11">
        <v>824.1345</v>
      </c>
      <c r="E1466" s="27">
        <f t="shared" si="110"/>
        <v>917.42652539999995</v>
      </c>
      <c r="F1466" s="6">
        <f t="shared" si="111"/>
        <v>1192.65448302</v>
      </c>
      <c r="G1466" s="7">
        <f t="shared" si="112"/>
        <v>1284.3971355599999</v>
      </c>
      <c r="H1466" s="8">
        <f t="shared" si="113"/>
        <v>1376.1397880999998</v>
      </c>
      <c r="I1466" s="9">
        <f t="shared" si="114"/>
        <v>1467.8824406399999</v>
      </c>
    </row>
    <row r="1467" spans="1:9" x14ac:dyDescent="0.35">
      <c r="A1467" s="18" t="s">
        <v>1440</v>
      </c>
      <c r="B1467" s="18" t="s">
        <v>6822</v>
      </c>
      <c r="C1467" s="20">
        <v>45673</v>
      </c>
      <c r="D1467" s="11">
        <v>1438.6565800849421</v>
      </c>
      <c r="E1467" s="27">
        <f t="shared" si="110"/>
        <v>1601.5125049505575</v>
      </c>
      <c r="F1467" s="6">
        <f t="shared" si="111"/>
        <v>2081.966256435725</v>
      </c>
      <c r="G1467" s="7">
        <f t="shared" si="112"/>
        <v>2242.1175069307806</v>
      </c>
      <c r="H1467" s="8">
        <f t="shared" si="113"/>
        <v>2402.2687574258362</v>
      </c>
      <c r="I1467" s="9">
        <f t="shared" si="114"/>
        <v>2562.4200079208922</v>
      </c>
    </row>
    <row r="1468" spans="1:9" x14ac:dyDescent="0.35">
      <c r="A1468" s="18" t="s">
        <v>1441</v>
      </c>
      <c r="B1468" s="18" t="s">
        <v>6823</v>
      </c>
      <c r="C1468" s="20">
        <v>45673</v>
      </c>
      <c r="D1468" s="11">
        <v>1747.6074000000003</v>
      </c>
      <c r="E1468" s="27">
        <f t="shared" si="110"/>
        <v>1945.4365576800003</v>
      </c>
      <c r="F1468" s="6">
        <f t="shared" si="111"/>
        <v>2529.0675249840006</v>
      </c>
      <c r="G1468" s="7">
        <f t="shared" si="112"/>
        <v>2723.6111807520001</v>
      </c>
      <c r="H1468" s="8">
        <f t="shared" si="113"/>
        <v>2918.1548365200006</v>
      </c>
      <c r="I1468" s="9">
        <f t="shared" si="114"/>
        <v>3112.6984922880006</v>
      </c>
    </row>
    <row r="1469" spans="1:9" x14ac:dyDescent="0.35">
      <c r="A1469" s="18" t="s">
        <v>1442</v>
      </c>
      <c r="B1469" s="18" t="s">
        <v>6824</v>
      </c>
      <c r="C1469" s="20">
        <v>45673</v>
      </c>
      <c r="D1469" s="11">
        <v>1091.0781000000002</v>
      </c>
      <c r="E1469" s="27">
        <f t="shared" si="110"/>
        <v>1214.5881409200001</v>
      </c>
      <c r="F1469" s="6">
        <f t="shared" si="111"/>
        <v>1578.9645831960001</v>
      </c>
      <c r="G1469" s="7">
        <f t="shared" si="112"/>
        <v>1700.4233972880002</v>
      </c>
      <c r="H1469" s="8">
        <f t="shared" si="113"/>
        <v>1821.8822113800002</v>
      </c>
      <c r="I1469" s="9">
        <f t="shared" si="114"/>
        <v>1943.3410254720002</v>
      </c>
    </row>
    <row r="1470" spans="1:9" x14ac:dyDescent="0.35">
      <c r="C1470" s="20">
        <v>45673</v>
      </c>
      <c r="D1470" s="11">
        <v>0</v>
      </c>
      <c r="E1470" s="27">
        <f t="shared" si="110"/>
        <v>0</v>
      </c>
      <c r="F1470" s="6">
        <f t="shared" si="111"/>
        <v>0</v>
      </c>
      <c r="G1470" s="7">
        <f t="shared" si="112"/>
        <v>0</v>
      </c>
      <c r="H1470" s="8">
        <f t="shared" si="113"/>
        <v>0</v>
      </c>
      <c r="I1470" s="9">
        <f t="shared" si="114"/>
        <v>0</v>
      </c>
    </row>
    <row r="1471" spans="1:9" x14ac:dyDescent="0.35">
      <c r="A1471" s="18" t="s">
        <v>1443</v>
      </c>
      <c r="B1471" s="18" t="s">
        <v>6825</v>
      </c>
      <c r="C1471" s="20">
        <v>45673</v>
      </c>
      <c r="D1471" s="11">
        <v>3576.5308960831953</v>
      </c>
      <c r="E1471" s="27">
        <f t="shared" si="110"/>
        <v>3981.3941935198131</v>
      </c>
      <c r="F1471" s="6">
        <f t="shared" si="111"/>
        <v>5175.8124515757572</v>
      </c>
      <c r="G1471" s="7">
        <f t="shared" si="112"/>
        <v>5573.9518709277381</v>
      </c>
      <c r="H1471" s="8">
        <f t="shared" si="113"/>
        <v>5972.0912902797199</v>
      </c>
      <c r="I1471" s="9">
        <f t="shared" si="114"/>
        <v>6370.2307096317018</v>
      </c>
    </row>
    <row r="1472" spans="1:9" x14ac:dyDescent="0.35">
      <c r="A1472" s="18" t="s">
        <v>1444</v>
      </c>
      <c r="B1472" s="18" t="s">
        <v>6826</v>
      </c>
      <c r="C1472" s="20">
        <v>45673</v>
      </c>
      <c r="D1472" s="11">
        <v>3576.5308960831953</v>
      </c>
      <c r="E1472" s="27">
        <f t="shared" si="110"/>
        <v>3981.3941935198131</v>
      </c>
      <c r="F1472" s="6">
        <f t="shared" si="111"/>
        <v>5175.8124515757572</v>
      </c>
      <c r="G1472" s="7">
        <f t="shared" si="112"/>
        <v>5573.9518709277381</v>
      </c>
      <c r="H1472" s="8">
        <f t="shared" si="113"/>
        <v>5972.0912902797199</v>
      </c>
      <c r="I1472" s="9">
        <f t="shared" si="114"/>
        <v>6370.2307096317018</v>
      </c>
    </row>
    <row r="1473" spans="1:9" x14ac:dyDescent="0.35">
      <c r="A1473" s="18" t="s">
        <v>1445</v>
      </c>
      <c r="B1473" s="18" t="s">
        <v>6827</v>
      </c>
      <c r="C1473" s="20">
        <v>45673</v>
      </c>
      <c r="D1473" s="11">
        <v>3126.3342826039943</v>
      </c>
      <c r="E1473" s="27">
        <f t="shared" si="110"/>
        <v>3480.2353233947665</v>
      </c>
      <c r="F1473" s="6">
        <f t="shared" si="111"/>
        <v>4524.3059204131969</v>
      </c>
      <c r="G1473" s="7">
        <f t="shared" si="112"/>
        <v>4872.3294527526732</v>
      </c>
      <c r="H1473" s="8">
        <f t="shared" si="113"/>
        <v>5220.3529850921495</v>
      </c>
      <c r="I1473" s="9">
        <f t="shared" si="114"/>
        <v>5568.3765174316268</v>
      </c>
    </row>
    <row r="1474" spans="1:9" x14ac:dyDescent="0.35">
      <c r="A1474" s="18" t="s">
        <v>1446</v>
      </c>
      <c r="B1474" s="18" t="s">
        <v>6828</v>
      </c>
      <c r="C1474" s="20">
        <v>45673</v>
      </c>
      <c r="D1474" s="11">
        <v>3126.3342826039943</v>
      </c>
      <c r="E1474" s="27">
        <f t="shared" si="110"/>
        <v>3480.2353233947665</v>
      </c>
      <c r="F1474" s="6">
        <f t="shared" si="111"/>
        <v>4524.3059204131969</v>
      </c>
      <c r="G1474" s="7">
        <f t="shared" si="112"/>
        <v>4872.3294527526732</v>
      </c>
      <c r="H1474" s="8">
        <f t="shared" si="113"/>
        <v>5220.3529850921495</v>
      </c>
      <c r="I1474" s="9">
        <f t="shared" si="114"/>
        <v>5568.3765174316268</v>
      </c>
    </row>
    <row r="1475" spans="1:9" ht="18" x14ac:dyDescent="0.4">
      <c r="B1475" s="19" t="s">
        <v>1447</v>
      </c>
      <c r="D1475" s="11">
        <v>0</v>
      </c>
      <c r="E1475" s="27">
        <f t="shared" si="110"/>
        <v>0</v>
      </c>
      <c r="F1475" s="6">
        <f t="shared" si="111"/>
        <v>0</v>
      </c>
      <c r="G1475" s="7">
        <f t="shared" si="112"/>
        <v>0</v>
      </c>
      <c r="H1475" s="8">
        <f t="shared" si="113"/>
        <v>0</v>
      </c>
      <c r="I1475" s="9">
        <f t="shared" si="114"/>
        <v>0</v>
      </c>
    </row>
    <row r="1476" spans="1:9" x14ac:dyDescent="0.35">
      <c r="A1476" s="18" t="s">
        <v>1448</v>
      </c>
      <c r="B1476" s="18" t="s">
        <v>6829</v>
      </c>
      <c r="C1476" s="20">
        <v>45673</v>
      </c>
      <c r="D1476" s="11">
        <v>3891.7462500000001</v>
      </c>
      <c r="E1476" s="27">
        <f t="shared" si="110"/>
        <v>4332.2919254999997</v>
      </c>
      <c r="F1476" s="6">
        <f t="shared" si="111"/>
        <v>5631.9795031499998</v>
      </c>
      <c r="G1476" s="7">
        <f t="shared" si="112"/>
        <v>6065.2086956999992</v>
      </c>
      <c r="H1476" s="8">
        <f t="shared" si="113"/>
        <v>6498.4378882499996</v>
      </c>
      <c r="I1476" s="9">
        <f t="shared" si="114"/>
        <v>6931.6670807999999</v>
      </c>
    </row>
    <row r="1477" spans="1:9" x14ac:dyDescent="0.35">
      <c r="C1477" s="20">
        <v>45673</v>
      </c>
      <c r="D1477" s="11">
        <v>0</v>
      </c>
      <c r="E1477" s="27">
        <f t="shared" si="110"/>
        <v>0</v>
      </c>
      <c r="F1477" s="6">
        <f t="shared" si="111"/>
        <v>0</v>
      </c>
      <c r="G1477" s="7">
        <f t="shared" si="112"/>
        <v>0</v>
      </c>
      <c r="H1477" s="8">
        <f t="shared" si="113"/>
        <v>0</v>
      </c>
      <c r="I1477" s="9">
        <f t="shared" si="114"/>
        <v>0</v>
      </c>
    </row>
    <row r="1478" spans="1:9" x14ac:dyDescent="0.35">
      <c r="A1478" s="18" t="s">
        <v>1449</v>
      </c>
      <c r="B1478" s="18" t="s">
        <v>6830</v>
      </c>
      <c r="C1478" s="20">
        <v>45673</v>
      </c>
      <c r="D1478" s="11">
        <v>622.02735000000007</v>
      </c>
      <c r="E1478" s="27">
        <f t="shared" si="110"/>
        <v>692.44084602000009</v>
      </c>
      <c r="F1478" s="6">
        <f t="shared" si="111"/>
        <v>900.17309982600011</v>
      </c>
      <c r="G1478" s="7">
        <f t="shared" si="112"/>
        <v>969.41718442800004</v>
      </c>
      <c r="H1478" s="8">
        <f t="shared" si="113"/>
        <v>1038.6612690300001</v>
      </c>
      <c r="I1478" s="9">
        <f t="shared" si="114"/>
        <v>1107.9053536320002</v>
      </c>
    </row>
    <row r="1479" spans="1:9" x14ac:dyDescent="0.35">
      <c r="A1479" s="18" t="s">
        <v>1450</v>
      </c>
      <c r="B1479" s="18" t="s">
        <v>6831</v>
      </c>
      <c r="C1479" s="20">
        <v>45673</v>
      </c>
      <c r="D1479" s="11">
        <v>1603.3342499999999</v>
      </c>
      <c r="E1479" s="27">
        <f t="shared" si="110"/>
        <v>1784.8316871</v>
      </c>
      <c r="F1479" s="6">
        <f t="shared" si="111"/>
        <v>2320.2811932300001</v>
      </c>
      <c r="G1479" s="7">
        <f t="shared" si="112"/>
        <v>2498.7643619399996</v>
      </c>
      <c r="H1479" s="8">
        <f t="shared" si="113"/>
        <v>2677.24753065</v>
      </c>
      <c r="I1479" s="9">
        <f t="shared" si="114"/>
        <v>2855.73069936</v>
      </c>
    </row>
    <row r="1480" spans="1:9" x14ac:dyDescent="0.35">
      <c r="A1480" s="18" t="s">
        <v>1451</v>
      </c>
      <c r="B1480" s="18" t="s">
        <v>6832</v>
      </c>
      <c r="C1480" s="20">
        <v>45673</v>
      </c>
      <c r="D1480" s="11">
        <v>2044.8429750000003</v>
      </c>
      <c r="E1480" s="27">
        <f t="shared" si="110"/>
        <v>2276.3191997700001</v>
      </c>
      <c r="F1480" s="6">
        <f t="shared" si="111"/>
        <v>2959.2149597010002</v>
      </c>
      <c r="G1480" s="7">
        <f t="shared" si="112"/>
        <v>3186.8468796779998</v>
      </c>
      <c r="H1480" s="8">
        <f t="shared" si="113"/>
        <v>3414.4787996550003</v>
      </c>
      <c r="I1480" s="9">
        <f t="shared" si="114"/>
        <v>3642.1107196320004</v>
      </c>
    </row>
    <row r="1481" spans="1:9" x14ac:dyDescent="0.35">
      <c r="A1481" s="18" t="s">
        <v>1452</v>
      </c>
      <c r="B1481" s="18" t="s">
        <v>6833</v>
      </c>
      <c r="C1481" s="20">
        <v>45673</v>
      </c>
      <c r="D1481" s="11">
        <v>3419.4919500000005</v>
      </c>
      <c r="E1481" s="27">
        <f t="shared" si="110"/>
        <v>3806.5784387400008</v>
      </c>
      <c r="F1481" s="6">
        <f t="shared" si="111"/>
        <v>4948.5519703620012</v>
      </c>
      <c r="G1481" s="7">
        <f t="shared" si="112"/>
        <v>5329.209814236001</v>
      </c>
      <c r="H1481" s="8">
        <f t="shared" si="113"/>
        <v>5709.8676581100008</v>
      </c>
      <c r="I1481" s="9">
        <f t="shared" si="114"/>
        <v>6090.5255019840015</v>
      </c>
    </row>
    <row r="1482" spans="1:9" x14ac:dyDescent="0.35">
      <c r="C1482" s="20">
        <v>45673</v>
      </c>
      <c r="D1482" s="11">
        <v>0</v>
      </c>
      <c r="E1482" s="27">
        <f t="shared" si="110"/>
        <v>0</v>
      </c>
      <c r="F1482" s="6">
        <f t="shared" si="111"/>
        <v>0</v>
      </c>
      <c r="G1482" s="7">
        <f t="shared" si="112"/>
        <v>0</v>
      </c>
      <c r="H1482" s="8">
        <f t="shared" si="113"/>
        <v>0</v>
      </c>
      <c r="I1482" s="9">
        <f t="shared" si="114"/>
        <v>0</v>
      </c>
    </row>
    <row r="1483" spans="1:9" x14ac:dyDescent="0.35">
      <c r="A1483" s="18" t="s">
        <v>1453</v>
      </c>
      <c r="B1483" s="18" t="s">
        <v>6834</v>
      </c>
      <c r="C1483" s="20">
        <v>45673</v>
      </c>
      <c r="D1483" s="11">
        <v>519.06015000000002</v>
      </c>
      <c r="E1483" s="27">
        <f t="shared" si="110"/>
        <v>577.81775898000001</v>
      </c>
      <c r="F1483" s="6">
        <f t="shared" si="111"/>
        <v>751.16308667400006</v>
      </c>
      <c r="G1483" s="7">
        <f t="shared" si="112"/>
        <v>808.94486257199992</v>
      </c>
      <c r="H1483" s="8">
        <f t="shared" si="113"/>
        <v>866.72663847000001</v>
      </c>
      <c r="I1483" s="9">
        <f t="shared" si="114"/>
        <v>924.5084143680001</v>
      </c>
    </row>
    <row r="1484" spans="1:9" x14ac:dyDescent="0.35">
      <c r="A1484" s="18" t="s">
        <v>1454</v>
      </c>
      <c r="B1484" s="18" t="s">
        <v>6835</v>
      </c>
      <c r="C1484" s="20">
        <v>45673</v>
      </c>
      <c r="D1484" s="11">
        <v>1132.3840500000001</v>
      </c>
      <c r="E1484" s="27">
        <f t="shared" ref="E1484:E1547" si="115">D1484*1.21*0.92</f>
        <v>1260.5699244600003</v>
      </c>
      <c r="F1484" s="6">
        <f t="shared" si="111"/>
        <v>1638.7409017980003</v>
      </c>
      <c r="G1484" s="7">
        <f t="shared" si="112"/>
        <v>1764.7978942440002</v>
      </c>
      <c r="H1484" s="8">
        <f t="shared" si="113"/>
        <v>1890.8548866900005</v>
      </c>
      <c r="I1484" s="9">
        <f t="shared" si="114"/>
        <v>2016.9118791360006</v>
      </c>
    </row>
    <row r="1485" spans="1:9" x14ac:dyDescent="0.35">
      <c r="C1485" s="20">
        <v>45673</v>
      </c>
      <c r="D1485" s="11">
        <v>0</v>
      </c>
      <c r="E1485" s="27">
        <f t="shared" si="115"/>
        <v>0</v>
      </c>
      <c r="F1485" s="6">
        <f t="shared" si="111"/>
        <v>0</v>
      </c>
      <c r="G1485" s="7">
        <f t="shared" si="112"/>
        <v>0</v>
      </c>
      <c r="H1485" s="8">
        <f t="shared" si="113"/>
        <v>0</v>
      </c>
      <c r="I1485" s="9">
        <f t="shared" si="114"/>
        <v>0</v>
      </c>
    </row>
    <row r="1486" spans="1:9" x14ac:dyDescent="0.35">
      <c r="A1486" s="18" t="s">
        <v>1455</v>
      </c>
      <c r="B1486" s="18" t="s">
        <v>6836</v>
      </c>
      <c r="C1486" s="20">
        <v>45673</v>
      </c>
      <c r="D1486" s="11">
        <v>1264.4922535028359</v>
      </c>
      <c r="E1486" s="27">
        <f t="shared" si="115"/>
        <v>1407.6327765993569</v>
      </c>
      <c r="F1486" s="6">
        <f t="shared" si="111"/>
        <v>1829.9226095791641</v>
      </c>
      <c r="G1486" s="7">
        <f t="shared" si="112"/>
        <v>1970.6858872390997</v>
      </c>
      <c r="H1486" s="8">
        <f t="shared" si="113"/>
        <v>2111.4491648990352</v>
      </c>
      <c r="I1486" s="9">
        <f t="shared" si="114"/>
        <v>2252.2124425589714</v>
      </c>
    </row>
    <row r="1487" spans="1:9" x14ac:dyDescent="0.35">
      <c r="A1487" s="18" t="s">
        <v>1456</v>
      </c>
      <c r="B1487" s="18" t="s">
        <v>6837</v>
      </c>
      <c r="C1487" s="20">
        <v>45673</v>
      </c>
      <c r="D1487" s="11">
        <v>2706.7020750000006</v>
      </c>
      <c r="E1487" s="27">
        <f t="shared" si="115"/>
        <v>3013.1007498900008</v>
      </c>
      <c r="F1487" s="6">
        <f t="shared" si="111"/>
        <v>3917.0309748570012</v>
      </c>
      <c r="G1487" s="7">
        <f t="shared" si="112"/>
        <v>4218.3410498460007</v>
      </c>
      <c r="H1487" s="8">
        <f t="shared" si="113"/>
        <v>4519.6511248350016</v>
      </c>
      <c r="I1487" s="9">
        <f t="shared" si="114"/>
        <v>4820.9611998240016</v>
      </c>
    </row>
    <row r="1488" spans="1:9" x14ac:dyDescent="0.35">
      <c r="C1488" s="20">
        <v>45673</v>
      </c>
      <c r="D1488" s="11">
        <v>0</v>
      </c>
      <c r="E1488" s="27">
        <f t="shared" si="115"/>
        <v>0</v>
      </c>
      <c r="F1488" s="6">
        <f t="shared" si="111"/>
        <v>0</v>
      </c>
      <c r="G1488" s="7">
        <f t="shared" si="112"/>
        <v>0</v>
      </c>
      <c r="H1488" s="8">
        <f t="shared" si="113"/>
        <v>0</v>
      </c>
      <c r="I1488" s="9">
        <f t="shared" si="114"/>
        <v>0</v>
      </c>
    </row>
    <row r="1489" spans="1:9" x14ac:dyDescent="0.35">
      <c r="A1489" s="18" t="s">
        <v>1457</v>
      </c>
      <c r="B1489" s="18" t="s">
        <v>6838</v>
      </c>
      <c r="C1489" s="20">
        <v>45673</v>
      </c>
      <c r="D1489" s="11">
        <v>860.02560000000017</v>
      </c>
      <c r="E1489" s="27">
        <f t="shared" si="115"/>
        <v>957.38049792000015</v>
      </c>
      <c r="F1489" s="6">
        <f t="shared" si="111"/>
        <v>1244.5946472960002</v>
      </c>
      <c r="G1489" s="7">
        <f t="shared" si="112"/>
        <v>1340.332697088</v>
      </c>
      <c r="H1489" s="8">
        <f t="shared" si="113"/>
        <v>1436.0707468800001</v>
      </c>
      <c r="I1489" s="9">
        <f t="shared" si="114"/>
        <v>1531.8087966720004</v>
      </c>
    </row>
    <row r="1490" spans="1:9" x14ac:dyDescent="0.35">
      <c r="A1490" s="18" t="s">
        <v>1458</v>
      </c>
      <c r="B1490" s="18" t="s">
        <v>6839</v>
      </c>
      <c r="C1490" s="20">
        <v>45673</v>
      </c>
      <c r="D1490" s="11">
        <v>2232.846</v>
      </c>
      <c r="E1490" s="27">
        <f t="shared" si="115"/>
        <v>2485.6041672000001</v>
      </c>
      <c r="F1490" s="6">
        <f t="shared" si="111"/>
        <v>3231.2854173600003</v>
      </c>
      <c r="G1490" s="7">
        <f t="shared" si="112"/>
        <v>3479.8458340799998</v>
      </c>
      <c r="H1490" s="8">
        <f t="shared" si="113"/>
        <v>3728.4062508000002</v>
      </c>
      <c r="I1490" s="9">
        <f t="shared" si="114"/>
        <v>3976.9666675200006</v>
      </c>
    </row>
    <row r="1491" spans="1:9" x14ac:dyDescent="0.35">
      <c r="C1491" s="20">
        <v>45673</v>
      </c>
      <c r="D1491" s="11">
        <v>0</v>
      </c>
      <c r="E1491" s="27">
        <f t="shared" si="115"/>
        <v>0</v>
      </c>
      <c r="F1491" s="6">
        <f t="shared" si="111"/>
        <v>0</v>
      </c>
      <c r="G1491" s="7">
        <f t="shared" si="112"/>
        <v>0</v>
      </c>
      <c r="H1491" s="8">
        <f t="shared" si="113"/>
        <v>0</v>
      </c>
      <c r="I1491" s="9">
        <f t="shared" si="114"/>
        <v>0</v>
      </c>
    </row>
    <row r="1492" spans="1:9" x14ac:dyDescent="0.35">
      <c r="A1492" s="18" t="s">
        <v>1461</v>
      </c>
      <c r="B1492" s="18" t="s">
        <v>1459</v>
      </c>
      <c r="C1492" s="20">
        <v>45673</v>
      </c>
      <c r="D1492" s="11">
        <v>7485.7860000000001</v>
      </c>
      <c r="E1492" s="27">
        <f t="shared" si="115"/>
        <v>8333.1769752</v>
      </c>
      <c r="F1492" s="6">
        <f t="shared" si="111"/>
        <v>10833.130067760001</v>
      </c>
      <c r="G1492" s="7">
        <f t="shared" si="112"/>
        <v>11666.44776528</v>
      </c>
      <c r="H1492" s="8">
        <f t="shared" si="113"/>
        <v>12499.7654628</v>
      </c>
      <c r="I1492" s="9">
        <f t="shared" si="114"/>
        <v>13333.08316032</v>
      </c>
    </row>
    <row r="1493" spans="1:9" x14ac:dyDescent="0.35">
      <c r="A1493" s="18" t="s">
        <v>1462</v>
      </c>
      <c r="B1493" s="18" t="s">
        <v>1460</v>
      </c>
      <c r="C1493" s="20">
        <v>45673</v>
      </c>
      <c r="D1493" s="11">
        <v>10131.366</v>
      </c>
      <c r="E1493" s="27">
        <f t="shared" si="115"/>
        <v>11278.236631199999</v>
      </c>
      <c r="F1493" s="6">
        <f t="shared" si="111"/>
        <v>14661.707620560001</v>
      </c>
      <c r="G1493" s="7">
        <f t="shared" si="112"/>
        <v>15789.531283679999</v>
      </c>
      <c r="H1493" s="8">
        <f t="shared" si="113"/>
        <v>16917.354946799998</v>
      </c>
      <c r="I1493" s="9">
        <f t="shared" si="114"/>
        <v>18045.17860992</v>
      </c>
    </row>
    <row r="1494" spans="1:9" x14ac:dyDescent="0.35">
      <c r="C1494" s="20">
        <v>45673</v>
      </c>
      <c r="D1494" s="11">
        <v>0</v>
      </c>
      <c r="E1494" s="27">
        <f t="shared" si="115"/>
        <v>0</v>
      </c>
      <c r="F1494" s="6">
        <f t="shared" si="111"/>
        <v>0</v>
      </c>
      <c r="G1494" s="7">
        <f t="shared" si="112"/>
        <v>0</v>
      </c>
      <c r="H1494" s="8">
        <f t="shared" si="113"/>
        <v>0</v>
      </c>
      <c r="I1494" s="9">
        <f t="shared" si="114"/>
        <v>0</v>
      </c>
    </row>
    <row r="1495" spans="1:9" x14ac:dyDescent="0.35">
      <c r="A1495" s="18" t="s">
        <v>1463</v>
      </c>
      <c r="B1495" s="18" t="s">
        <v>6840</v>
      </c>
      <c r="C1495" s="20">
        <v>45673</v>
      </c>
      <c r="D1495" s="11">
        <v>477.11632500000002</v>
      </c>
      <c r="E1495" s="27">
        <f t="shared" si="115"/>
        <v>531.12589299000001</v>
      </c>
      <c r="F1495" s="6">
        <f t="shared" si="111"/>
        <v>690.46366088700006</v>
      </c>
      <c r="G1495" s="7">
        <f t="shared" si="112"/>
        <v>743.57625018599992</v>
      </c>
      <c r="H1495" s="8">
        <f t="shared" si="113"/>
        <v>796.68883948500002</v>
      </c>
      <c r="I1495" s="9">
        <f t="shared" si="114"/>
        <v>849.80142878400011</v>
      </c>
    </row>
    <row r="1496" spans="1:9" x14ac:dyDescent="0.35">
      <c r="A1496" s="18" t="s">
        <v>1464</v>
      </c>
      <c r="B1496" s="18" t="s">
        <v>6841</v>
      </c>
      <c r="C1496" s="20">
        <v>45673</v>
      </c>
      <c r="D1496" s="11">
        <v>354.53092500000002</v>
      </c>
      <c r="E1496" s="27">
        <f t="shared" si="115"/>
        <v>394.66382571000003</v>
      </c>
      <c r="F1496" s="6">
        <f t="shared" si="111"/>
        <v>513.06297342300002</v>
      </c>
      <c r="G1496" s="7">
        <f t="shared" si="112"/>
        <v>552.52935599399996</v>
      </c>
      <c r="H1496" s="8">
        <f t="shared" si="113"/>
        <v>591.99573856500001</v>
      </c>
      <c r="I1496" s="9">
        <f t="shared" si="114"/>
        <v>631.46212113600006</v>
      </c>
    </row>
    <row r="1497" spans="1:9" x14ac:dyDescent="0.35">
      <c r="A1497" s="18" t="s">
        <v>1465</v>
      </c>
      <c r="B1497" s="18" t="s">
        <v>6842</v>
      </c>
      <c r="C1497" s="20">
        <v>45673</v>
      </c>
      <c r="D1497" s="11">
        <v>1526.436858837031</v>
      </c>
      <c r="E1497" s="27">
        <f t="shared" si="115"/>
        <v>1699.2295112573829</v>
      </c>
      <c r="F1497" s="6">
        <f t="shared" si="111"/>
        <v>2208.9983646345977</v>
      </c>
      <c r="G1497" s="7">
        <f t="shared" si="112"/>
        <v>2378.9213157603358</v>
      </c>
      <c r="H1497" s="8">
        <f t="shared" si="113"/>
        <v>2548.8442668860744</v>
      </c>
      <c r="I1497" s="9">
        <f t="shared" si="114"/>
        <v>2718.7672180118129</v>
      </c>
    </row>
    <row r="1498" spans="1:9" x14ac:dyDescent="0.35">
      <c r="A1498" s="18" t="s">
        <v>1466</v>
      </c>
      <c r="B1498" s="18" t="s">
        <v>6843</v>
      </c>
      <c r="C1498" s="20">
        <v>45673</v>
      </c>
      <c r="D1498" s="11">
        <v>1849.6047199734348</v>
      </c>
      <c r="E1498" s="27">
        <f t="shared" si="115"/>
        <v>2058.9799742744276</v>
      </c>
      <c r="F1498" s="6">
        <f t="shared" si="111"/>
        <v>2676.6739665567561</v>
      </c>
      <c r="G1498" s="7">
        <f t="shared" si="112"/>
        <v>2882.5719639841986</v>
      </c>
      <c r="H1498" s="8">
        <f t="shared" si="113"/>
        <v>3088.4699614116416</v>
      </c>
      <c r="I1498" s="9">
        <f t="shared" si="114"/>
        <v>3294.3679588390842</v>
      </c>
    </row>
    <row r="1499" spans="1:9" x14ac:dyDescent="0.35">
      <c r="A1499" s="18" t="s">
        <v>5580</v>
      </c>
      <c r="B1499" s="18" t="s">
        <v>6844</v>
      </c>
      <c r="C1499" s="20">
        <v>45673</v>
      </c>
      <c r="D1499" s="11">
        <v>3502.7</v>
      </c>
      <c r="E1499" s="27">
        <f t="shared" si="115"/>
        <v>3899.2056400000001</v>
      </c>
      <c r="F1499" s="6">
        <f t="shared" si="111"/>
        <v>5068.9673320000002</v>
      </c>
      <c r="G1499" s="7">
        <f t="shared" si="112"/>
        <v>5458.8878960000002</v>
      </c>
      <c r="H1499" s="8">
        <f t="shared" si="113"/>
        <v>5848.8084600000002</v>
      </c>
      <c r="I1499" s="9">
        <f t="shared" si="114"/>
        <v>6238.7290240000002</v>
      </c>
    </row>
    <row r="1500" spans="1:9" x14ac:dyDescent="0.35">
      <c r="A1500" s="18" t="s">
        <v>5581</v>
      </c>
      <c r="B1500" s="18" t="s">
        <v>6845</v>
      </c>
      <c r="C1500" s="20">
        <v>45673</v>
      </c>
      <c r="D1500" s="11">
        <v>2918.92</v>
      </c>
      <c r="E1500" s="27">
        <f t="shared" si="115"/>
        <v>3249.3417440000003</v>
      </c>
      <c r="F1500" s="6">
        <f t="shared" si="111"/>
        <v>4224.1442672000003</v>
      </c>
      <c r="G1500" s="7">
        <f t="shared" si="112"/>
        <v>4549.0784415999997</v>
      </c>
      <c r="H1500" s="8">
        <f t="shared" si="113"/>
        <v>4874.012616</v>
      </c>
      <c r="I1500" s="9">
        <f t="shared" si="114"/>
        <v>5198.9467904000012</v>
      </c>
    </row>
    <row r="1501" spans="1:9" x14ac:dyDescent="0.35">
      <c r="A1501" s="18" t="s">
        <v>5582</v>
      </c>
      <c r="B1501" s="18" t="s">
        <v>6846</v>
      </c>
      <c r="C1501" s="20">
        <v>45673</v>
      </c>
      <c r="D1501" s="11">
        <v>3148.9</v>
      </c>
      <c r="E1501" s="27">
        <f t="shared" si="115"/>
        <v>3505.3554800000002</v>
      </c>
      <c r="F1501" s="6">
        <f t="shared" si="111"/>
        <v>4556.9621240000006</v>
      </c>
      <c r="G1501" s="7">
        <f t="shared" si="112"/>
        <v>4907.4976719999995</v>
      </c>
      <c r="H1501" s="8">
        <f t="shared" si="113"/>
        <v>5258.0332200000003</v>
      </c>
      <c r="I1501" s="9">
        <f t="shared" si="114"/>
        <v>5608.568768000001</v>
      </c>
    </row>
    <row r="1502" spans="1:9" x14ac:dyDescent="0.35">
      <c r="A1502" s="18" t="s">
        <v>5583</v>
      </c>
      <c r="B1502" s="18" t="s">
        <v>6847</v>
      </c>
      <c r="C1502" s="20">
        <v>45673</v>
      </c>
      <c r="D1502" s="11">
        <v>3803.5</v>
      </c>
      <c r="E1502" s="27">
        <f t="shared" si="115"/>
        <v>4234.0562</v>
      </c>
      <c r="F1502" s="6">
        <f t="shared" si="111"/>
        <v>5504.2730600000004</v>
      </c>
      <c r="G1502" s="7">
        <f t="shared" si="112"/>
        <v>5927.67868</v>
      </c>
      <c r="H1502" s="8">
        <f t="shared" si="113"/>
        <v>6351.0843000000004</v>
      </c>
      <c r="I1502" s="9">
        <f t="shared" si="114"/>
        <v>6774.48992</v>
      </c>
    </row>
    <row r="1503" spans="1:9" x14ac:dyDescent="0.35">
      <c r="C1503" s="20">
        <v>45673</v>
      </c>
      <c r="D1503" s="11">
        <v>0</v>
      </c>
      <c r="E1503" s="27">
        <f t="shared" si="115"/>
        <v>0</v>
      </c>
      <c r="F1503" s="6">
        <f t="shared" si="111"/>
        <v>0</v>
      </c>
      <c r="G1503" s="7">
        <f t="shared" si="112"/>
        <v>0</v>
      </c>
      <c r="H1503" s="8">
        <f t="shared" si="113"/>
        <v>0</v>
      </c>
      <c r="I1503" s="9">
        <f t="shared" si="114"/>
        <v>0</v>
      </c>
    </row>
    <row r="1504" spans="1:9" x14ac:dyDescent="0.35">
      <c r="A1504" s="18" t="s">
        <v>1467</v>
      </c>
      <c r="B1504" s="18" t="s">
        <v>6848</v>
      </c>
      <c r="C1504" s="20">
        <v>45673</v>
      </c>
      <c r="D1504" s="11">
        <v>607.56357319398262</v>
      </c>
      <c r="E1504" s="27">
        <f t="shared" si="115"/>
        <v>676.3397696795414</v>
      </c>
      <c r="F1504" s="6">
        <f t="shared" si="111"/>
        <v>879.24170058340383</v>
      </c>
      <c r="G1504" s="7">
        <f t="shared" si="112"/>
        <v>946.87567755135785</v>
      </c>
      <c r="H1504" s="8">
        <f t="shared" si="113"/>
        <v>1014.5096545193121</v>
      </c>
      <c r="I1504" s="9">
        <f t="shared" si="114"/>
        <v>1082.1436314872662</v>
      </c>
    </row>
    <row r="1505" spans="1:9" x14ac:dyDescent="0.35">
      <c r="A1505" s="18" t="s">
        <v>1468</v>
      </c>
      <c r="B1505" s="18" t="s">
        <v>6849</v>
      </c>
      <c r="C1505" s="20">
        <v>45673</v>
      </c>
      <c r="D1505" s="11">
        <v>781.04250000000002</v>
      </c>
      <c r="E1505" s="27">
        <f t="shared" si="115"/>
        <v>869.45651099999998</v>
      </c>
      <c r="F1505" s="6">
        <f t="shared" si="111"/>
        <v>1130.2934643000001</v>
      </c>
      <c r="G1505" s="7">
        <f t="shared" si="112"/>
        <v>1217.2391153999999</v>
      </c>
      <c r="H1505" s="8">
        <f t="shared" si="113"/>
        <v>1304.1847665</v>
      </c>
      <c r="I1505" s="9">
        <f t="shared" si="114"/>
        <v>1391.1304176000001</v>
      </c>
    </row>
    <row r="1506" spans="1:9" x14ac:dyDescent="0.35">
      <c r="C1506" s="20">
        <v>45673</v>
      </c>
      <c r="D1506" s="11">
        <v>0</v>
      </c>
      <c r="E1506" s="27">
        <f t="shared" si="115"/>
        <v>0</v>
      </c>
      <c r="F1506" s="6">
        <f t="shared" si="111"/>
        <v>0</v>
      </c>
      <c r="G1506" s="7">
        <f t="shared" si="112"/>
        <v>0</v>
      </c>
      <c r="H1506" s="8">
        <f t="shared" si="113"/>
        <v>0</v>
      </c>
      <c r="I1506" s="9">
        <f t="shared" si="114"/>
        <v>0</v>
      </c>
    </row>
    <row r="1507" spans="1:9" x14ac:dyDescent="0.35">
      <c r="A1507" s="18" t="s">
        <v>1469</v>
      </c>
      <c r="B1507" s="18" t="s">
        <v>6850</v>
      </c>
      <c r="C1507" s="20">
        <v>45673</v>
      </c>
      <c r="D1507" s="11">
        <v>1207.7990769744413</v>
      </c>
      <c r="E1507" s="27">
        <f t="shared" si="115"/>
        <v>1344.5219324879481</v>
      </c>
      <c r="F1507" s="6">
        <f t="shared" si="111"/>
        <v>1747.8785122343327</v>
      </c>
      <c r="G1507" s="7">
        <f t="shared" si="112"/>
        <v>1882.3307054831273</v>
      </c>
      <c r="H1507" s="8">
        <f t="shared" si="113"/>
        <v>2016.7828987319222</v>
      </c>
      <c r="I1507" s="9">
        <f t="shared" si="114"/>
        <v>2151.2350919807172</v>
      </c>
    </row>
    <row r="1508" spans="1:9" x14ac:dyDescent="0.35">
      <c r="A1508" s="18" t="s">
        <v>1470</v>
      </c>
      <c r="B1508" s="18" t="s">
        <v>6851</v>
      </c>
      <c r="C1508" s="20">
        <v>45673</v>
      </c>
      <c r="D1508" s="11">
        <v>1771.927184190082</v>
      </c>
      <c r="E1508" s="27">
        <f t="shared" si="115"/>
        <v>1972.5093414403991</v>
      </c>
      <c r="F1508" s="6">
        <f t="shared" si="111"/>
        <v>2564.2621438725191</v>
      </c>
      <c r="G1508" s="7">
        <f t="shared" si="112"/>
        <v>2761.5130780165587</v>
      </c>
      <c r="H1508" s="8">
        <f t="shared" si="113"/>
        <v>2958.7640121605987</v>
      </c>
      <c r="I1508" s="9">
        <f t="shared" si="114"/>
        <v>3156.0149463046387</v>
      </c>
    </row>
    <row r="1509" spans="1:9" x14ac:dyDescent="0.35">
      <c r="C1509" s="20">
        <v>45673</v>
      </c>
      <c r="D1509" s="11">
        <v>0</v>
      </c>
      <c r="E1509" s="27">
        <f t="shared" si="115"/>
        <v>0</v>
      </c>
      <c r="F1509" s="6">
        <f t="shared" si="111"/>
        <v>0</v>
      </c>
      <c r="G1509" s="7">
        <f t="shared" si="112"/>
        <v>0</v>
      </c>
      <c r="H1509" s="8">
        <f t="shared" si="113"/>
        <v>0</v>
      </c>
      <c r="I1509" s="9">
        <f t="shared" si="114"/>
        <v>0</v>
      </c>
    </row>
    <row r="1510" spans="1:9" x14ac:dyDescent="0.35">
      <c r="A1510" s="18" t="s">
        <v>1471</v>
      </c>
      <c r="B1510" s="18" t="s">
        <v>6852</v>
      </c>
      <c r="C1510" s="20">
        <v>45673</v>
      </c>
      <c r="D1510" s="11">
        <v>1610.1767065897536</v>
      </c>
      <c r="E1510" s="27">
        <f t="shared" si="115"/>
        <v>1792.4487097757137</v>
      </c>
      <c r="F1510" s="6">
        <f t="shared" si="111"/>
        <v>2330.183322708428</v>
      </c>
      <c r="G1510" s="7">
        <f t="shared" si="112"/>
        <v>2509.4281936859988</v>
      </c>
      <c r="H1510" s="8">
        <f t="shared" si="113"/>
        <v>2688.6730646635706</v>
      </c>
      <c r="I1510" s="9">
        <f t="shared" si="114"/>
        <v>2867.9179356411423</v>
      </c>
    </row>
    <row r="1511" spans="1:9" x14ac:dyDescent="0.35">
      <c r="A1511" s="18" t="s">
        <v>1472</v>
      </c>
      <c r="B1511" s="18" t="s">
        <v>6853</v>
      </c>
      <c r="C1511" s="20">
        <v>45673</v>
      </c>
      <c r="D1511" s="11">
        <v>2693.25</v>
      </c>
      <c r="E1511" s="27">
        <f t="shared" si="115"/>
        <v>2998.1259</v>
      </c>
      <c r="F1511" s="6">
        <f t="shared" si="111"/>
        <v>3897.56367</v>
      </c>
      <c r="G1511" s="7">
        <f t="shared" si="112"/>
        <v>4197.37626</v>
      </c>
      <c r="H1511" s="8">
        <f t="shared" si="113"/>
        <v>4497.1888500000005</v>
      </c>
      <c r="I1511" s="9">
        <f t="shared" si="114"/>
        <v>4797.00144</v>
      </c>
    </row>
    <row r="1512" spans="1:9" x14ac:dyDescent="0.35">
      <c r="A1512" s="18" t="s">
        <v>1473</v>
      </c>
      <c r="B1512" s="18" t="s">
        <v>6854</v>
      </c>
      <c r="C1512" s="20">
        <v>45673</v>
      </c>
      <c r="D1512" s="11">
        <v>2619.1856250000001</v>
      </c>
      <c r="E1512" s="27">
        <f t="shared" si="115"/>
        <v>2915.6774377500001</v>
      </c>
      <c r="F1512" s="6">
        <f t="shared" si="111"/>
        <v>3790.3806690750002</v>
      </c>
      <c r="G1512" s="7">
        <f t="shared" si="112"/>
        <v>4081.9484128499998</v>
      </c>
      <c r="H1512" s="8">
        <f t="shared" si="113"/>
        <v>4373.5161566249999</v>
      </c>
      <c r="I1512" s="9">
        <f t="shared" si="114"/>
        <v>4665.0839003999999</v>
      </c>
    </row>
    <row r="1513" spans="1:9" x14ac:dyDescent="0.35">
      <c r="C1513" s="20">
        <v>45673</v>
      </c>
      <c r="D1513" s="11">
        <v>0</v>
      </c>
      <c r="E1513" s="27">
        <f t="shared" si="115"/>
        <v>0</v>
      </c>
      <c r="F1513" s="6">
        <f t="shared" si="111"/>
        <v>0</v>
      </c>
      <c r="G1513" s="7">
        <f t="shared" si="112"/>
        <v>0</v>
      </c>
      <c r="H1513" s="8">
        <f t="shared" si="113"/>
        <v>0</v>
      </c>
      <c r="I1513" s="9">
        <f t="shared" si="114"/>
        <v>0</v>
      </c>
    </row>
    <row r="1514" spans="1:9" x14ac:dyDescent="0.35">
      <c r="A1514" s="18" t="s">
        <v>1474</v>
      </c>
      <c r="B1514" s="18" t="s">
        <v>6855</v>
      </c>
      <c r="C1514" s="20">
        <v>45673</v>
      </c>
      <c r="D1514" s="11">
        <v>1113.200362727132</v>
      </c>
      <c r="E1514" s="27">
        <f t="shared" si="115"/>
        <v>1239.2146437878434</v>
      </c>
      <c r="F1514" s="6">
        <f t="shared" si="111"/>
        <v>1610.9790369241966</v>
      </c>
      <c r="G1514" s="7">
        <f t="shared" si="112"/>
        <v>1734.9005013029807</v>
      </c>
      <c r="H1514" s="8">
        <f t="shared" si="113"/>
        <v>1858.8219656817651</v>
      </c>
      <c r="I1514" s="9">
        <f t="shared" si="114"/>
        <v>1982.7434300605496</v>
      </c>
    </row>
    <row r="1515" spans="1:9" x14ac:dyDescent="0.35">
      <c r="A1515" s="18" t="s">
        <v>1475</v>
      </c>
      <c r="B1515" s="18" t="s">
        <v>6856</v>
      </c>
      <c r="C1515" s="20">
        <v>45673</v>
      </c>
      <c r="D1515" s="11">
        <v>3546.1455750000005</v>
      </c>
      <c r="E1515" s="27">
        <f t="shared" si="115"/>
        <v>3947.5692540900004</v>
      </c>
      <c r="F1515" s="6">
        <f t="shared" ref="F1515:F1589" si="116">E1515*1.3</f>
        <v>5131.840030317001</v>
      </c>
      <c r="G1515" s="7">
        <f t="shared" ref="G1515:G1589" si="117">E1515*1.4</f>
        <v>5526.5969557260005</v>
      </c>
      <c r="H1515" s="8">
        <f t="shared" ref="H1515:H1589" si="118">E1515*1.5</f>
        <v>5921.3538811350008</v>
      </c>
      <c r="I1515" s="9">
        <f t="shared" ref="I1515:I1589" si="119">E1515*1.6</f>
        <v>6316.1108065440012</v>
      </c>
    </row>
    <row r="1516" spans="1:9" x14ac:dyDescent="0.35">
      <c r="A1516" s="18" t="s">
        <v>1476</v>
      </c>
      <c r="B1516" s="18" t="s">
        <v>6857</v>
      </c>
      <c r="C1516" s="20">
        <v>45673</v>
      </c>
      <c r="D1516" s="11">
        <v>2356.59375</v>
      </c>
      <c r="E1516" s="27">
        <f t="shared" si="115"/>
        <v>2623.3601625000001</v>
      </c>
      <c r="F1516" s="6">
        <f t="shared" si="116"/>
        <v>3410.3682112500001</v>
      </c>
      <c r="G1516" s="7">
        <f t="shared" si="117"/>
        <v>3672.7042274999999</v>
      </c>
      <c r="H1516" s="8">
        <f t="shared" si="118"/>
        <v>3935.0402437500002</v>
      </c>
      <c r="I1516" s="9">
        <f t="shared" si="119"/>
        <v>4197.37626</v>
      </c>
    </row>
    <row r="1517" spans="1:9" x14ac:dyDescent="0.35">
      <c r="C1517" s="20">
        <v>45673</v>
      </c>
      <c r="D1517" s="11">
        <v>0</v>
      </c>
      <c r="E1517" s="27">
        <f t="shared" si="115"/>
        <v>0</v>
      </c>
      <c r="F1517" s="6">
        <f t="shared" si="116"/>
        <v>0</v>
      </c>
      <c r="G1517" s="7">
        <f t="shared" si="117"/>
        <v>0</v>
      </c>
      <c r="H1517" s="8">
        <f t="shared" si="118"/>
        <v>0</v>
      </c>
      <c r="I1517" s="9">
        <f t="shared" si="119"/>
        <v>0</v>
      </c>
    </row>
    <row r="1518" spans="1:9" x14ac:dyDescent="0.35">
      <c r="A1518" s="18" t="s">
        <v>1477</v>
      </c>
      <c r="B1518" s="18" t="s">
        <v>6858</v>
      </c>
      <c r="C1518" s="20">
        <v>45673</v>
      </c>
      <c r="D1518" s="11">
        <v>3031.5363750000006</v>
      </c>
      <c r="E1518" s="27">
        <f t="shared" si="115"/>
        <v>3374.7062926500007</v>
      </c>
      <c r="F1518" s="6">
        <f t="shared" si="116"/>
        <v>4387.1181804450007</v>
      </c>
      <c r="G1518" s="7">
        <f t="shared" si="117"/>
        <v>4724.5888097100005</v>
      </c>
      <c r="H1518" s="8">
        <f t="shared" si="118"/>
        <v>5062.0594389750013</v>
      </c>
      <c r="I1518" s="9">
        <f t="shared" si="119"/>
        <v>5399.5300682400011</v>
      </c>
    </row>
    <row r="1519" spans="1:9" x14ac:dyDescent="0.35">
      <c r="A1519" s="18" t="s">
        <v>1478</v>
      </c>
      <c r="B1519" s="18" t="s">
        <v>6859</v>
      </c>
      <c r="C1519" s="20">
        <v>45673</v>
      </c>
      <c r="D1519" s="11">
        <v>3031.5363750000006</v>
      </c>
      <c r="E1519" s="27">
        <f t="shared" si="115"/>
        <v>3374.7062926500007</v>
      </c>
      <c r="F1519" s="6">
        <f t="shared" si="116"/>
        <v>4387.1181804450007</v>
      </c>
      <c r="G1519" s="7">
        <f t="shared" si="117"/>
        <v>4724.5888097100005</v>
      </c>
      <c r="H1519" s="8">
        <f t="shared" si="118"/>
        <v>5062.0594389750013</v>
      </c>
      <c r="I1519" s="9">
        <f t="shared" si="119"/>
        <v>5399.5300682400011</v>
      </c>
    </row>
    <row r="1520" spans="1:9" x14ac:dyDescent="0.35">
      <c r="A1520" s="18" t="s">
        <v>1479</v>
      </c>
      <c r="B1520" s="18" t="s">
        <v>6860</v>
      </c>
      <c r="C1520" s="20">
        <v>45673</v>
      </c>
      <c r="D1520" s="11">
        <v>2825.2192500000001</v>
      </c>
      <c r="E1520" s="27">
        <f t="shared" si="115"/>
        <v>3145.0340691000001</v>
      </c>
      <c r="F1520" s="6">
        <f t="shared" si="116"/>
        <v>4088.5442898300003</v>
      </c>
      <c r="G1520" s="7">
        <f t="shared" si="117"/>
        <v>4403.04769674</v>
      </c>
      <c r="H1520" s="8">
        <f t="shared" si="118"/>
        <v>4717.5511036500002</v>
      </c>
      <c r="I1520" s="9">
        <f t="shared" si="119"/>
        <v>5032.0545105600004</v>
      </c>
    </row>
    <row r="1521" spans="1:9" x14ac:dyDescent="0.35">
      <c r="A1521" s="18" t="s">
        <v>1480</v>
      </c>
      <c r="B1521" s="18" t="s">
        <v>6861</v>
      </c>
      <c r="C1521" s="20">
        <v>45673</v>
      </c>
      <c r="D1521" s="11">
        <v>2825.2192500000001</v>
      </c>
      <c r="E1521" s="27">
        <f t="shared" si="115"/>
        <v>3145.0340691000001</v>
      </c>
      <c r="F1521" s="6">
        <f t="shared" si="116"/>
        <v>4088.5442898300003</v>
      </c>
      <c r="G1521" s="7">
        <f t="shared" si="117"/>
        <v>4403.04769674</v>
      </c>
      <c r="H1521" s="8">
        <f t="shared" si="118"/>
        <v>4717.5511036500002</v>
      </c>
      <c r="I1521" s="9">
        <f t="shared" si="119"/>
        <v>5032.0545105600004</v>
      </c>
    </row>
    <row r="1522" spans="1:9" x14ac:dyDescent="0.35">
      <c r="C1522" s="20">
        <v>45673</v>
      </c>
      <c r="D1522" s="11">
        <v>0</v>
      </c>
      <c r="E1522" s="27">
        <f t="shared" si="115"/>
        <v>0</v>
      </c>
      <c r="F1522" s="6">
        <f t="shared" si="116"/>
        <v>0</v>
      </c>
      <c r="G1522" s="7">
        <f t="shared" si="117"/>
        <v>0</v>
      </c>
      <c r="H1522" s="8">
        <f t="shared" si="118"/>
        <v>0</v>
      </c>
      <c r="I1522" s="9">
        <f t="shared" si="119"/>
        <v>0</v>
      </c>
    </row>
    <row r="1523" spans="1:9" x14ac:dyDescent="0.35">
      <c r="A1523" s="18" t="s">
        <v>6415</v>
      </c>
      <c r="B1523" s="18" t="s">
        <v>6862</v>
      </c>
      <c r="C1523" s="20">
        <v>45673</v>
      </c>
      <c r="D1523" s="11">
        <v>307.33499999999998</v>
      </c>
      <c r="E1523" s="27">
        <f t="shared" si="115"/>
        <v>342.12532199999998</v>
      </c>
      <c r="F1523" s="6">
        <f t="shared" si="116"/>
        <v>444.76291859999998</v>
      </c>
      <c r="G1523" s="7">
        <f t="shared" si="117"/>
        <v>478.97545079999992</v>
      </c>
      <c r="H1523" s="8">
        <f t="shared" si="118"/>
        <v>513.18798300000003</v>
      </c>
      <c r="I1523" s="9">
        <f t="shared" si="119"/>
        <v>547.40051519999997</v>
      </c>
    </row>
    <row r="1524" spans="1:9" x14ac:dyDescent="0.35">
      <c r="A1524" s="18" t="s">
        <v>6416</v>
      </c>
      <c r="B1524" s="18" t="s">
        <v>6863</v>
      </c>
      <c r="C1524" s="20">
        <v>45673</v>
      </c>
      <c r="D1524" s="11">
        <v>702.66000000000008</v>
      </c>
      <c r="E1524" s="27">
        <f t="shared" si="115"/>
        <v>782.20111200000008</v>
      </c>
      <c r="F1524" s="6">
        <f t="shared" si="116"/>
        <v>1016.8614456000001</v>
      </c>
      <c r="G1524" s="7">
        <f t="shared" si="117"/>
        <v>1095.0815568</v>
      </c>
      <c r="H1524" s="8">
        <f t="shared" si="118"/>
        <v>1173.3016680000001</v>
      </c>
      <c r="I1524" s="9">
        <f t="shared" si="119"/>
        <v>1251.5217792000003</v>
      </c>
    </row>
    <row r="1525" spans="1:9" x14ac:dyDescent="0.35">
      <c r="A1525" s="18" t="s">
        <v>6417</v>
      </c>
      <c r="B1525" s="18" t="s">
        <v>6864</v>
      </c>
      <c r="C1525" s="20">
        <v>45673</v>
      </c>
      <c r="D1525" s="11">
        <v>1231.125</v>
      </c>
      <c r="E1525" s="27">
        <f t="shared" si="115"/>
        <v>1370.4883499999999</v>
      </c>
      <c r="F1525" s="6">
        <f t="shared" si="116"/>
        <v>1781.6348549999998</v>
      </c>
      <c r="G1525" s="7">
        <f t="shared" si="117"/>
        <v>1918.6836899999996</v>
      </c>
      <c r="H1525" s="8">
        <f t="shared" si="118"/>
        <v>2055.7325249999999</v>
      </c>
      <c r="I1525" s="9">
        <f t="shared" si="119"/>
        <v>2192.7813599999999</v>
      </c>
    </row>
    <row r="1526" spans="1:9" x14ac:dyDescent="0.35">
      <c r="C1526" s="20">
        <v>45673</v>
      </c>
      <c r="D1526" s="11">
        <v>0</v>
      </c>
      <c r="E1526" s="27">
        <f t="shared" si="115"/>
        <v>0</v>
      </c>
      <c r="F1526" s="6">
        <f t="shared" si="116"/>
        <v>0</v>
      </c>
      <c r="G1526" s="7">
        <f t="shared" si="117"/>
        <v>0</v>
      </c>
      <c r="H1526" s="8">
        <f t="shared" si="118"/>
        <v>0</v>
      </c>
      <c r="I1526" s="9">
        <f t="shared" si="119"/>
        <v>0</v>
      </c>
    </row>
    <row r="1527" spans="1:9" x14ac:dyDescent="0.35">
      <c r="A1527" s="18" t="s">
        <v>6418</v>
      </c>
      <c r="B1527" s="18" t="s">
        <v>6865</v>
      </c>
      <c r="C1527" s="20">
        <v>45673</v>
      </c>
      <c r="D1527" s="11">
        <v>396.69000000000005</v>
      </c>
      <c r="E1527" s="27">
        <f t="shared" si="115"/>
        <v>441.59530800000005</v>
      </c>
      <c r="F1527" s="6">
        <f t="shared" si="116"/>
        <v>574.07390040000007</v>
      </c>
      <c r="G1527" s="7">
        <f t="shared" si="117"/>
        <v>618.23343120000004</v>
      </c>
      <c r="H1527" s="8">
        <f t="shared" si="118"/>
        <v>662.39296200000013</v>
      </c>
      <c r="I1527" s="9">
        <f t="shared" si="119"/>
        <v>706.5524928000001</v>
      </c>
    </row>
    <row r="1528" spans="1:9" x14ac:dyDescent="0.35">
      <c r="C1528" s="20">
        <v>45673</v>
      </c>
      <c r="D1528" s="11">
        <v>0</v>
      </c>
      <c r="E1528" s="27">
        <f t="shared" si="115"/>
        <v>0</v>
      </c>
      <c r="F1528" s="6">
        <f t="shared" si="116"/>
        <v>0</v>
      </c>
      <c r="G1528" s="7">
        <f t="shared" si="117"/>
        <v>0</v>
      </c>
      <c r="H1528" s="8">
        <f t="shared" si="118"/>
        <v>0</v>
      </c>
      <c r="I1528" s="9">
        <f t="shared" si="119"/>
        <v>0</v>
      </c>
    </row>
    <row r="1529" spans="1:9" x14ac:dyDescent="0.35">
      <c r="A1529" s="18" t="s">
        <v>6419</v>
      </c>
      <c r="B1529" s="18" t="s">
        <v>6866</v>
      </c>
      <c r="C1529" s="20">
        <v>45673</v>
      </c>
      <c r="D1529" s="11">
        <v>338.94000000000005</v>
      </c>
      <c r="E1529" s="27">
        <f t="shared" si="115"/>
        <v>377.30800800000003</v>
      </c>
      <c r="F1529" s="6">
        <f t="shared" si="116"/>
        <v>490.50041040000008</v>
      </c>
      <c r="G1529" s="7">
        <f t="shared" si="117"/>
        <v>528.23121119999996</v>
      </c>
      <c r="H1529" s="8">
        <f t="shared" si="118"/>
        <v>565.96201200000007</v>
      </c>
      <c r="I1529" s="9">
        <f t="shared" si="119"/>
        <v>603.69281280000007</v>
      </c>
    </row>
    <row r="1530" spans="1:9" x14ac:dyDescent="0.35">
      <c r="A1530" s="18" t="s">
        <v>6420</v>
      </c>
      <c r="B1530" s="18" t="s">
        <v>6867</v>
      </c>
      <c r="C1530" s="20">
        <v>45673</v>
      </c>
      <c r="D1530" s="11">
        <v>738.67500000000007</v>
      </c>
      <c r="E1530" s="27">
        <f t="shared" si="115"/>
        <v>822.29301000000009</v>
      </c>
      <c r="F1530" s="6">
        <f t="shared" si="116"/>
        <v>1068.9809130000001</v>
      </c>
      <c r="G1530" s="7">
        <f t="shared" si="117"/>
        <v>1151.210214</v>
      </c>
      <c r="H1530" s="8">
        <f t="shared" si="118"/>
        <v>1233.439515</v>
      </c>
      <c r="I1530" s="9">
        <f t="shared" si="119"/>
        <v>1315.6688160000003</v>
      </c>
    </row>
    <row r="1531" spans="1:9" x14ac:dyDescent="0.35">
      <c r="A1531" s="18" t="s">
        <v>6421</v>
      </c>
      <c r="B1531" s="18" t="s">
        <v>6868</v>
      </c>
      <c r="C1531" s="20">
        <v>45673</v>
      </c>
      <c r="D1531" s="11">
        <v>1764</v>
      </c>
      <c r="E1531" s="27">
        <f t="shared" si="115"/>
        <v>1963.6848000000002</v>
      </c>
      <c r="F1531" s="6">
        <f t="shared" si="116"/>
        <v>2552.7902400000003</v>
      </c>
      <c r="G1531" s="7">
        <f t="shared" si="117"/>
        <v>2749.1587200000004</v>
      </c>
      <c r="H1531" s="8">
        <f t="shared" si="118"/>
        <v>2945.5272000000004</v>
      </c>
      <c r="I1531" s="9">
        <f t="shared" si="119"/>
        <v>3141.8956800000005</v>
      </c>
    </row>
    <row r="1532" spans="1:9" x14ac:dyDescent="0.35">
      <c r="C1532" s="20">
        <v>45673</v>
      </c>
      <c r="D1532" s="11">
        <v>0</v>
      </c>
      <c r="E1532" s="27">
        <f t="shared" si="115"/>
        <v>0</v>
      </c>
      <c r="F1532" s="6">
        <f t="shared" si="116"/>
        <v>0</v>
      </c>
      <c r="G1532" s="7">
        <f t="shared" si="117"/>
        <v>0</v>
      </c>
      <c r="H1532" s="8">
        <f t="shared" si="118"/>
        <v>0</v>
      </c>
      <c r="I1532" s="9">
        <f t="shared" si="119"/>
        <v>0</v>
      </c>
    </row>
    <row r="1533" spans="1:9" x14ac:dyDescent="0.35">
      <c r="A1533" s="18" t="s">
        <v>6509</v>
      </c>
      <c r="B1533" s="18" t="s">
        <v>6869</v>
      </c>
      <c r="C1533" s="20">
        <v>45673</v>
      </c>
      <c r="D1533" s="11">
        <v>451.5</v>
      </c>
      <c r="E1533" s="27">
        <f t="shared" si="115"/>
        <v>502.60979999999995</v>
      </c>
      <c r="F1533" s="6">
        <f t="shared" si="116"/>
        <v>653.39274</v>
      </c>
      <c r="G1533" s="7">
        <f t="shared" si="117"/>
        <v>703.65371999999991</v>
      </c>
      <c r="H1533" s="8">
        <f t="shared" si="118"/>
        <v>753.91469999999993</v>
      </c>
      <c r="I1533" s="9">
        <f t="shared" si="119"/>
        <v>804.17567999999994</v>
      </c>
    </row>
    <row r="1534" spans="1:9" ht="18" x14ac:dyDescent="0.4">
      <c r="B1534" s="19" t="s">
        <v>4238</v>
      </c>
      <c r="D1534" s="11">
        <v>0</v>
      </c>
      <c r="E1534" s="27">
        <f t="shared" si="115"/>
        <v>0</v>
      </c>
      <c r="F1534" s="6">
        <f t="shared" si="116"/>
        <v>0</v>
      </c>
      <c r="G1534" s="7">
        <f t="shared" si="117"/>
        <v>0</v>
      </c>
      <c r="H1534" s="8">
        <f t="shared" si="118"/>
        <v>0</v>
      </c>
      <c r="I1534" s="9">
        <f t="shared" si="119"/>
        <v>0</v>
      </c>
    </row>
    <row r="1535" spans="1:9" x14ac:dyDescent="0.35">
      <c r="A1535" s="24" t="s">
        <v>4223</v>
      </c>
      <c r="B1535" s="25" t="s">
        <v>4243</v>
      </c>
      <c r="C1535" s="20">
        <v>45710</v>
      </c>
      <c r="D1535" s="11">
        <v>1113.1836666923703</v>
      </c>
      <c r="E1535" s="27">
        <f t="shared" si="115"/>
        <v>1239.1960577619466</v>
      </c>
      <c r="F1535" s="6">
        <f t="shared" si="116"/>
        <v>1610.9548750905305</v>
      </c>
      <c r="G1535" s="7">
        <f t="shared" si="117"/>
        <v>1734.8744808667252</v>
      </c>
      <c r="H1535" s="8">
        <f t="shared" si="118"/>
        <v>1858.7940866429199</v>
      </c>
      <c r="I1535" s="9">
        <f t="shared" si="119"/>
        <v>1982.7136924191145</v>
      </c>
    </row>
    <row r="1536" spans="1:9" x14ac:dyDescent="0.35">
      <c r="A1536" s="24" t="s">
        <v>4224</v>
      </c>
      <c r="B1536" s="25" t="s">
        <v>4244</v>
      </c>
      <c r="C1536" s="20">
        <v>45710</v>
      </c>
      <c r="D1536" s="11">
        <v>1579.2853269170255</v>
      </c>
      <c r="E1536" s="27">
        <f t="shared" si="115"/>
        <v>1758.0604259240326</v>
      </c>
      <c r="F1536" s="6">
        <f t="shared" si="116"/>
        <v>2285.4785537012426</v>
      </c>
      <c r="G1536" s="7">
        <f t="shared" si="117"/>
        <v>2461.2845962936453</v>
      </c>
      <c r="H1536" s="8">
        <f t="shared" si="118"/>
        <v>2637.090638886049</v>
      </c>
      <c r="I1536" s="9">
        <f t="shared" si="119"/>
        <v>2812.8966814784526</v>
      </c>
    </row>
    <row r="1537" spans="1:9" x14ac:dyDescent="0.35">
      <c r="A1537" s="24" t="s">
        <v>4225</v>
      </c>
      <c r="B1537" s="25" t="s">
        <v>4245</v>
      </c>
      <c r="C1537" s="20">
        <v>45710</v>
      </c>
      <c r="D1537" s="11">
        <v>2484.6163284033009</v>
      </c>
      <c r="E1537" s="27">
        <f t="shared" si="115"/>
        <v>2765.8748967785546</v>
      </c>
      <c r="F1537" s="6">
        <f t="shared" si="116"/>
        <v>3595.6373658121211</v>
      </c>
      <c r="G1537" s="7">
        <f t="shared" si="117"/>
        <v>3872.2248554899761</v>
      </c>
      <c r="H1537" s="8">
        <f t="shared" si="118"/>
        <v>4148.8123451678321</v>
      </c>
      <c r="I1537" s="9">
        <f t="shared" si="119"/>
        <v>4425.3998348456871</v>
      </c>
    </row>
    <row r="1538" spans="1:9" x14ac:dyDescent="0.35">
      <c r="A1538" s="24" t="s">
        <v>5812</v>
      </c>
      <c r="B1538" s="25" t="s">
        <v>4246</v>
      </c>
      <c r="C1538" s="20">
        <v>45710</v>
      </c>
      <c r="D1538" s="11">
        <v>4809.0976749220863</v>
      </c>
      <c r="E1538" s="27">
        <f t="shared" si="115"/>
        <v>5353.4875317232663</v>
      </c>
      <c r="F1538" s="6">
        <f t="shared" si="116"/>
        <v>6959.5337912402465</v>
      </c>
      <c r="G1538" s="7">
        <f t="shared" si="117"/>
        <v>7494.8825444125723</v>
      </c>
      <c r="H1538" s="8">
        <f t="shared" si="118"/>
        <v>8030.2312975848999</v>
      </c>
      <c r="I1538" s="9">
        <f t="shared" si="119"/>
        <v>8565.5800507572258</v>
      </c>
    </row>
    <row r="1539" spans="1:9" x14ac:dyDescent="0.35">
      <c r="A1539" s="24" t="s">
        <v>4226</v>
      </c>
      <c r="B1539" s="25" t="s">
        <v>4247</v>
      </c>
      <c r="C1539" s="20">
        <v>45710</v>
      </c>
      <c r="D1539" s="11">
        <v>1443.5500672347305</v>
      </c>
      <c r="E1539" s="27">
        <f t="shared" si="115"/>
        <v>1606.9599348457018</v>
      </c>
      <c r="F1539" s="6">
        <f t="shared" si="116"/>
        <v>2089.0479152994126</v>
      </c>
      <c r="G1539" s="7">
        <f t="shared" si="117"/>
        <v>2249.7439087839825</v>
      </c>
      <c r="H1539" s="8">
        <f t="shared" si="118"/>
        <v>2410.4399022685529</v>
      </c>
      <c r="I1539" s="9">
        <f t="shared" si="119"/>
        <v>2571.1358957531229</v>
      </c>
    </row>
    <row r="1540" spans="1:9" x14ac:dyDescent="0.35">
      <c r="A1540" s="24" t="s">
        <v>4227</v>
      </c>
      <c r="B1540" s="25" t="s">
        <v>4248</v>
      </c>
      <c r="C1540" s="20">
        <v>45710</v>
      </c>
      <c r="D1540" s="11">
        <v>2028.3020303568753</v>
      </c>
      <c r="E1540" s="27">
        <f t="shared" si="115"/>
        <v>2257.9058201932735</v>
      </c>
      <c r="F1540" s="6">
        <f t="shared" si="116"/>
        <v>2935.2775662512558</v>
      </c>
      <c r="G1540" s="7">
        <f t="shared" si="117"/>
        <v>3161.0681482705827</v>
      </c>
      <c r="H1540" s="8">
        <f t="shared" si="118"/>
        <v>3386.8587302899105</v>
      </c>
      <c r="I1540" s="9">
        <f t="shared" si="119"/>
        <v>3612.6493123092378</v>
      </c>
    </row>
    <row r="1541" spans="1:9" x14ac:dyDescent="0.35">
      <c r="A1541" s="24" t="s">
        <v>4228</v>
      </c>
      <c r="B1541" s="25" t="s">
        <v>4249</v>
      </c>
      <c r="C1541" s="20">
        <v>45710</v>
      </c>
      <c r="D1541" s="11">
        <v>3126.375383510926</v>
      </c>
      <c r="E1541" s="27">
        <f t="shared" si="115"/>
        <v>3480.2810769243629</v>
      </c>
      <c r="F1541" s="6">
        <f t="shared" si="116"/>
        <v>4524.3654000016722</v>
      </c>
      <c r="G1541" s="7">
        <f t="shared" si="117"/>
        <v>4872.3935076941079</v>
      </c>
      <c r="H1541" s="8">
        <f t="shared" si="118"/>
        <v>5220.4216153865445</v>
      </c>
      <c r="I1541" s="9">
        <f t="shared" si="119"/>
        <v>5568.4497230789812</v>
      </c>
    </row>
    <row r="1542" spans="1:9" x14ac:dyDescent="0.35">
      <c r="A1542" s="24" t="s">
        <v>4229</v>
      </c>
      <c r="B1542" s="25" t="s">
        <v>4250</v>
      </c>
      <c r="C1542" s="20">
        <v>45710</v>
      </c>
      <c r="D1542" s="11">
        <v>6097.1832208205115</v>
      </c>
      <c r="E1542" s="27">
        <f t="shared" si="115"/>
        <v>6787.3843614173938</v>
      </c>
      <c r="F1542" s="6">
        <f t="shared" si="116"/>
        <v>8823.5996698426115</v>
      </c>
      <c r="G1542" s="7">
        <f t="shared" si="117"/>
        <v>9502.3381059843505</v>
      </c>
      <c r="H1542" s="8">
        <f t="shared" si="118"/>
        <v>10181.076542126091</v>
      </c>
      <c r="I1542" s="9">
        <f t="shared" si="119"/>
        <v>10859.81497826783</v>
      </c>
    </row>
    <row r="1543" spans="1:9" x14ac:dyDescent="0.35">
      <c r="A1543" s="24" t="s">
        <v>4230</v>
      </c>
      <c r="B1543" s="25" t="s">
        <v>4251</v>
      </c>
      <c r="C1543" s="20">
        <v>45710</v>
      </c>
      <c r="D1543" s="11">
        <v>1933.3817880388835</v>
      </c>
      <c r="E1543" s="27">
        <f t="shared" si="115"/>
        <v>2152.2406064448851</v>
      </c>
      <c r="F1543" s="6">
        <f t="shared" si="116"/>
        <v>2797.9127883783508</v>
      </c>
      <c r="G1543" s="7">
        <f t="shared" si="117"/>
        <v>3013.1368490228388</v>
      </c>
      <c r="H1543" s="8">
        <f t="shared" si="118"/>
        <v>3228.3609096673276</v>
      </c>
      <c r="I1543" s="9">
        <f t="shared" si="119"/>
        <v>3443.5849703118165</v>
      </c>
    </row>
    <row r="1544" spans="1:9" x14ac:dyDescent="0.35">
      <c r="A1544" s="24" t="s">
        <v>4231</v>
      </c>
      <c r="B1544" s="25" t="s">
        <v>4252</v>
      </c>
      <c r="C1544" s="20">
        <v>45710</v>
      </c>
      <c r="D1544" s="11">
        <v>2607.5593340105402</v>
      </c>
      <c r="E1544" s="27">
        <f t="shared" si="115"/>
        <v>2902.7350506205335</v>
      </c>
      <c r="F1544" s="6">
        <f t="shared" si="116"/>
        <v>3773.5555658066937</v>
      </c>
      <c r="G1544" s="7">
        <f t="shared" si="117"/>
        <v>4063.8290708687464</v>
      </c>
      <c r="H1544" s="8">
        <f t="shared" si="118"/>
        <v>4354.1025759308004</v>
      </c>
      <c r="I1544" s="9">
        <f t="shared" si="119"/>
        <v>4644.3760809928535</v>
      </c>
    </row>
    <row r="1545" spans="1:9" x14ac:dyDescent="0.35">
      <c r="A1545" s="24" t="s">
        <v>4232</v>
      </c>
      <c r="B1545" s="25" t="s">
        <v>4253</v>
      </c>
      <c r="C1545" s="20">
        <v>45710</v>
      </c>
      <c r="D1545" s="11">
        <v>3962.8514335328105</v>
      </c>
      <c r="E1545" s="27">
        <f t="shared" si="115"/>
        <v>4411.4462158087254</v>
      </c>
      <c r="F1545" s="6">
        <f t="shared" si="116"/>
        <v>5734.8800805513429</v>
      </c>
      <c r="G1545" s="7">
        <f t="shared" si="117"/>
        <v>6176.0247021322148</v>
      </c>
      <c r="H1545" s="8">
        <f t="shared" si="118"/>
        <v>6617.1693237130876</v>
      </c>
      <c r="I1545" s="9">
        <f t="shared" si="119"/>
        <v>7058.3139452939613</v>
      </c>
    </row>
    <row r="1546" spans="1:9" x14ac:dyDescent="0.35">
      <c r="A1546" s="24" t="s">
        <v>4233</v>
      </c>
      <c r="B1546" s="25" t="s">
        <v>4254</v>
      </c>
      <c r="C1546" s="20">
        <v>45710</v>
      </c>
      <c r="D1546" s="11">
        <v>7542.9654934643104</v>
      </c>
      <c r="E1546" s="27">
        <f t="shared" si="115"/>
        <v>8396.8291873244707</v>
      </c>
      <c r="F1546" s="6">
        <f t="shared" si="116"/>
        <v>10915.877943521813</v>
      </c>
      <c r="G1546" s="7">
        <f t="shared" si="117"/>
        <v>11755.560862254259</v>
      </c>
      <c r="H1546" s="8">
        <f t="shared" si="118"/>
        <v>12595.243780986706</v>
      </c>
      <c r="I1546" s="9">
        <f t="shared" si="119"/>
        <v>13434.926699719153</v>
      </c>
    </row>
    <row r="1547" spans="1:9" x14ac:dyDescent="0.35">
      <c r="A1547" s="24" t="s">
        <v>4234</v>
      </c>
      <c r="B1547" s="25" t="s">
        <v>4255</v>
      </c>
      <c r="C1547" s="20">
        <v>45710</v>
      </c>
      <c r="D1547" s="11">
        <v>3282.0287837664614</v>
      </c>
      <c r="E1547" s="27">
        <f t="shared" si="115"/>
        <v>3653.554442088825</v>
      </c>
      <c r="F1547" s="6">
        <f t="shared" si="116"/>
        <v>4749.6207747154731</v>
      </c>
      <c r="G1547" s="7">
        <f t="shared" si="117"/>
        <v>5114.9762189243547</v>
      </c>
      <c r="H1547" s="8">
        <f t="shared" si="118"/>
        <v>5480.3316631332373</v>
      </c>
      <c r="I1547" s="9">
        <f t="shared" si="119"/>
        <v>5845.6871073421207</v>
      </c>
    </row>
    <row r="1548" spans="1:9" x14ac:dyDescent="0.35">
      <c r="A1548" s="24" t="s">
        <v>4235</v>
      </c>
      <c r="B1548" s="25" t="s">
        <v>4256</v>
      </c>
      <c r="C1548" s="20">
        <v>45710</v>
      </c>
      <c r="D1548" s="11">
        <v>5168.0706463222214</v>
      </c>
      <c r="E1548" s="27">
        <f t="shared" ref="E1548:E1611" si="120">D1548*1.21*0.92</f>
        <v>5753.0962434858966</v>
      </c>
      <c r="F1548" s="6">
        <f t="shared" si="116"/>
        <v>7479.0251165316658</v>
      </c>
      <c r="G1548" s="7">
        <f t="shared" si="117"/>
        <v>8054.3347408802547</v>
      </c>
      <c r="H1548" s="8">
        <f t="shared" si="118"/>
        <v>8629.6443652288453</v>
      </c>
      <c r="I1548" s="9">
        <f t="shared" si="119"/>
        <v>9204.9539895774342</v>
      </c>
    </row>
    <row r="1549" spans="1:9" x14ac:dyDescent="0.35">
      <c r="A1549" s="24" t="s">
        <v>4236</v>
      </c>
      <c r="B1549" s="25" t="s">
        <v>4257</v>
      </c>
      <c r="C1549" s="20">
        <v>45710</v>
      </c>
      <c r="D1549" s="11">
        <v>7847.4039696397813</v>
      </c>
      <c r="E1549" s="27">
        <f t="shared" si="120"/>
        <v>8735.7300990030035</v>
      </c>
      <c r="F1549" s="6">
        <f t="shared" si="116"/>
        <v>11356.449128703905</v>
      </c>
      <c r="G1549" s="7">
        <f t="shared" si="117"/>
        <v>12230.022138604205</v>
      </c>
      <c r="H1549" s="8">
        <f t="shared" si="118"/>
        <v>13103.595148504504</v>
      </c>
      <c r="I1549" s="9">
        <f t="shared" si="119"/>
        <v>13977.168158404806</v>
      </c>
    </row>
    <row r="1550" spans="1:9" x14ac:dyDescent="0.35">
      <c r="A1550" s="24" t="s">
        <v>4237</v>
      </c>
      <c r="B1550" s="25" t="s">
        <v>4258</v>
      </c>
      <c r="C1550" s="20">
        <v>45710</v>
      </c>
      <c r="D1550" s="11">
        <v>14667.753059755616</v>
      </c>
      <c r="E1550" s="27">
        <f t="shared" si="120"/>
        <v>16328.142706119952</v>
      </c>
      <c r="F1550" s="6">
        <f t="shared" si="116"/>
        <v>21226.585517955937</v>
      </c>
      <c r="G1550" s="7">
        <f t="shared" si="117"/>
        <v>22859.399788567931</v>
      </c>
      <c r="H1550" s="8">
        <f t="shared" si="118"/>
        <v>24492.214059179929</v>
      </c>
      <c r="I1550" s="9">
        <f t="shared" si="119"/>
        <v>26125.028329791923</v>
      </c>
    </row>
    <row r="1551" spans="1:9" x14ac:dyDescent="0.35">
      <c r="A1551" s="24" t="s">
        <v>1491</v>
      </c>
      <c r="B1551" s="25" t="s">
        <v>6037</v>
      </c>
      <c r="C1551" s="20">
        <v>45710</v>
      </c>
      <c r="D1551" s="11">
        <v>12746.33325</v>
      </c>
      <c r="E1551" s="27">
        <f t="shared" si="120"/>
        <v>14189.218173899999</v>
      </c>
      <c r="F1551" s="6">
        <f t="shared" si="116"/>
        <v>18445.983626069999</v>
      </c>
      <c r="G1551" s="7">
        <f t="shared" si="117"/>
        <v>19864.905443459997</v>
      </c>
      <c r="H1551" s="8">
        <f t="shared" si="118"/>
        <v>21283.827260849997</v>
      </c>
      <c r="I1551" s="9">
        <f t="shared" si="119"/>
        <v>22702.749078239998</v>
      </c>
    </row>
    <row r="1552" spans="1:9" x14ac:dyDescent="0.35">
      <c r="A1552" s="24"/>
      <c r="B1552" s="25"/>
      <c r="C1552" s="20">
        <v>45710</v>
      </c>
      <c r="D1552" s="11">
        <v>0</v>
      </c>
      <c r="E1552" s="27">
        <f t="shared" si="120"/>
        <v>0</v>
      </c>
      <c r="F1552" s="6">
        <f t="shared" si="116"/>
        <v>0</v>
      </c>
      <c r="G1552" s="7">
        <f t="shared" si="117"/>
        <v>0</v>
      </c>
      <c r="H1552" s="8">
        <f t="shared" si="118"/>
        <v>0</v>
      </c>
      <c r="I1552" s="9">
        <f t="shared" si="119"/>
        <v>0</v>
      </c>
    </row>
    <row r="1553" spans="1:9" x14ac:dyDescent="0.35">
      <c r="A1553" s="24" t="s">
        <v>4239</v>
      </c>
      <c r="B1553" s="25" t="s">
        <v>4259</v>
      </c>
      <c r="C1553" s="20">
        <v>45710</v>
      </c>
      <c r="D1553" s="11">
        <v>378.32447521568707</v>
      </c>
      <c r="E1553" s="27">
        <f t="shared" si="120"/>
        <v>421.15080581010284</v>
      </c>
      <c r="F1553" s="6">
        <f t="shared" si="116"/>
        <v>547.49604755313374</v>
      </c>
      <c r="G1553" s="7">
        <f t="shared" si="117"/>
        <v>589.61112813414388</v>
      </c>
      <c r="H1553" s="8">
        <f t="shared" si="118"/>
        <v>631.72620871515426</v>
      </c>
      <c r="I1553" s="9">
        <f t="shared" si="119"/>
        <v>673.84128929616463</v>
      </c>
    </row>
    <row r="1554" spans="1:9" x14ac:dyDescent="0.35">
      <c r="A1554" s="24" t="s">
        <v>4240</v>
      </c>
      <c r="B1554" s="25" t="s">
        <v>4260</v>
      </c>
      <c r="C1554" s="20">
        <v>45710</v>
      </c>
      <c r="D1554" s="11">
        <v>508.35902569943408</v>
      </c>
      <c r="E1554" s="27">
        <f t="shared" si="120"/>
        <v>565.90526740861003</v>
      </c>
      <c r="F1554" s="6">
        <f t="shared" si="116"/>
        <v>735.67684763119303</v>
      </c>
      <c r="G1554" s="7">
        <f t="shared" si="117"/>
        <v>792.26737437205395</v>
      </c>
      <c r="H1554" s="8">
        <f t="shared" si="118"/>
        <v>848.85790111291499</v>
      </c>
      <c r="I1554" s="9">
        <f t="shared" si="119"/>
        <v>905.44842785377614</v>
      </c>
    </row>
    <row r="1555" spans="1:9" x14ac:dyDescent="0.35">
      <c r="A1555" s="24" t="s">
        <v>4241</v>
      </c>
      <c r="B1555" s="25" t="s">
        <v>4261</v>
      </c>
      <c r="C1555" s="20">
        <v>45710</v>
      </c>
      <c r="D1555" s="11">
        <v>851.5005095060103</v>
      </c>
      <c r="E1555" s="27">
        <f t="shared" si="120"/>
        <v>947.8903671820907</v>
      </c>
      <c r="F1555" s="6">
        <f t="shared" si="116"/>
        <v>1232.257477336718</v>
      </c>
      <c r="G1555" s="7">
        <f t="shared" si="117"/>
        <v>1327.046514054927</v>
      </c>
      <c r="H1555" s="8">
        <f t="shared" si="118"/>
        <v>1421.835550773136</v>
      </c>
      <c r="I1555" s="9">
        <f t="shared" si="119"/>
        <v>1516.6245874913452</v>
      </c>
    </row>
    <row r="1556" spans="1:9" x14ac:dyDescent="0.35">
      <c r="A1556" s="24" t="s">
        <v>4242</v>
      </c>
      <c r="B1556" s="25" t="s">
        <v>4262</v>
      </c>
      <c r="C1556" s="20">
        <v>45710</v>
      </c>
      <c r="D1556" s="11">
        <v>1837.6201759897799</v>
      </c>
      <c r="E1556" s="27">
        <f t="shared" si="120"/>
        <v>2045.6387799118231</v>
      </c>
      <c r="F1556" s="6">
        <f t="shared" si="116"/>
        <v>2659.33041388537</v>
      </c>
      <c r="G1556" s="7">
        <f t="shared" si="117"/>
        <v>2863.8942918765524</v>
      </c>
      <c r="H1556" s="8">
        <f t="shared" si="118"/>
        <v>3068.4581698677348</v>
      </c>
      <c r="I1556" s="9">
        <f t="shared" si="119"/>
        <v>3273.0220478589172</v>
      </c>
    </row>
    <row r="1557" spans="1:9" x14ac:dyDescent="0.35">
      <c r="A1557" s="24"/>
      <c r="B1557" s="25"/>
      <c r="C1557" s="20">
        <v>45710</v>
      </c>
      <c r="D1557" s="11">
        <v>0</v>
      </c>
      <c r="E1557" s="27">
        <f t="shared" si="120"/>
        <v>0</v>
      </c>
      <c r="F1557" s="6">
        <f t="shared" si="116"/>
        <v>0</v>
      </c>
      <c r="G1557" s="7">
        <f t="shared" si="117"/>
        <v>0</v>
      </c>
      <c r="H1557" s="8">
        <f t="shared" si="118"/>
        <v>0</v>
      </c>
      <c r="I1557" s="9">
        <f t="shared" si="119"/>
        <v>0</v>
      </c>
    </row>
    <row r="1558" spans="1:9" x14ac:dyDescent="0.35">
      <c r="A1558" s="24" t="s">
        <v>4263</v>
      </c>
      <c r="B1558" s="25" t="s">
        <v>4267</v>
      </c>
      <c r="C1558" s="20">
        <v>45710</v>
      </c>
      <c r="D1558" s="11">
        <v>408.66529796820004</v>
      </c>
      <c r="E1558" s="27">
        <f t="shared" si="120"/>
        <v>454.92620969820024</v>
      </c>
      <c r="F1558" s="6">
        <f t="shared" si="116"/>
        <v>591.40407260766028</v>
      </c>
      <c r="G1558" s="7">
        <f t="shared" si="117"/>
        <v>636.89669357748028</v>
      </c>
      <c r="H1558" s="8">
        <f t="shared" si="118"/>
        <v>682.38931454730039</v>
      </c>
      <c r="I1558" s="9">
        <f t="shared" si="119"/>
        <v>727.88193551712038</v>
      </c>
    </row>
    <row r="1559" spans="1:9" x14ac:dyDescent="0.35">
      <c r="A1559" s="24" t="s">
        <v>4264</v>
      </c>
      <c r="B1559" s="25" t="s">
        <v>4268</v>
      </c>
      <c r="C1559" s="20">
        <v>45710</v>
      </c>
      <c r="D1559" s="11">
        <v>542.68347656659512</v>
      </c>
      <c r="E1559" s="27">
        <f t="shared" si="120"/>
        <v>604.11524611393372</v>
      </c>
      <c r="F1559" s="6">
        <f t="shared" si="116"/>
        <v>785.34981994811392</v>
      </c>
      <c r="G1559" s="7">
        <f t="shared" si="117"/>
        <v>845.76134455950717</v>
      </c>
      <c r="H1559" s="8">
        <f t="shared" si="118"/>
        <v>906.17286917090064</v>
      </c>
      <c r="I1559" s="9">
        <f t="shared" si="119"/>
        <v>966.584393782294</v>
      </c>
    </row>
    <row r="1560" spans="1:9" x14ac:dyDescent="0.35">
      <c r="A1560" s="24" t="s">
        <v>4265</v>
      </c>
      <c r="B1560" s="25" t="s">
        <v>4269</v>
      </c>
      <c r="C1560" s="20">
        <v>45710</v>
      </c>
      <c r="D1560" s="11">
        <v>900.60902850555021</v>
      </c>
      <c r="E1560" s="27">
        <f t="shared" si="120"/>
        <v>1002.5579705323785</v>
      </c>
      <c r="F1560" s="6">
        <f t="shared" si="116"/>
        <v>1303.325361692092</v>
      </c>
      <c r="G1560" s="7">
        <f t="shared" si="117"/>
        <v>1403.5811587453297</v>
      </c>
      <c r="H1560" s="8">
        <f t="shared" si="118"/>
        <v>1503.8369557985677</v>
      </c>
      <c r="I1560" s="9">
        <f t="shared" si="119"/>
        <v>1604.0927528518057</v>
      </c>
    </row>
    <row r="1561" spans="1:9" x14ac:dyDescent="0.35">
      <c r="A1561" s="24" t="s">
        <v>4266</v>
      </c>
      <c r="B1561" s="25" t="s">
        <v>4270</v>
      </c>
      <c r="C1561" s="20">
        <v>45710</v>
      </c>
      <c r="D1561" s="11">
        <v>2135.9630143174054</v>
      </c>
      <c r="E1561" s="27">
        <f t="shared" si="120"/>
        <v>2377.7540275381357</v>
      </c>
      <c r="F1561" s="6">
        <f t="shared" si="116"/>
        <v>3091.0802357995767</v>
      </c>
      <c r="G1561" s="7">
        <f t="shared" si="117"/>
        <v>3328.8556385533898</v>
      </c>
      <c r="H1561" s="8">
        <f t="shared" si="118"/>
        <v>3566.6310413072033</v>
      </c>
      <c r="I1561" s="9">
        <f t="shared" si="119"/>
        <v>3804.4064440610173</v>
      </c>
    </row>
    <row r="1562" spans="1:9" x14ac:dyDescent="0.35">
      <c r="A1562" s="24"/>
      <c r="B1562" s="25"/>
      <c r="C1562" s="20">
        <v>45710</v>
      </c>
      <c r="D1562" s="11">
        <v>0</v>
      </c>
      <c r="E1562" s="27">
        <f t="shared" si="120"/>
        <v>0</v>
      </c>
      <c r="F1562" s="6">
        <f t="shared" si="116"/>
        <v>0</v>
      </c>
      <c r="G1562" s="7">
        <f t="shared" si="117"/>
        <v>0</v>
      </c>
      <c r="H1562" s="8">
        <f t="shared" si="118"/>
        <v>0</v>
      </c>
      <c r="I1562" s="9">
        <f t="shared" si="119"/>
        <v>0</v>
      </c>
    </row>
    <row r="1563" spans="1:9" x14ac:dyDescent="0.35">
      <c r="A1563" s="24" t="s">
        <v>4271</v>
      </c>
      <c r="B1563" s="25" t="s">
        <v>4275</v>
      </c>
      <c r="C1563" s="20">
        <v>45710</v>
      </c>
      <c r="D1563" s="11">
        <v>532.3809900631951</v>
      </c>
      <c r="E1563" s="27">
        <f t="shared" si="120"/>
        <v>592.64651813834882</v>
      </c>
      <c r="F1563" s="6">
        <f t="shared" si="116"/>
        <v>770.44047357985346</v>
      </c>
      <c r="G1563" s="7">
        <f t="shared" si="117"/>
        <v>829.70512539368826</v>
      </c>
      <c r="H1563" s="8">
        <f t="shared" si="118"/>
        <v>888.96977720752329</v>
      </c>
      <c r="I1563" s="9">
        <f t="shared" si="119"/>
        <v>948.23442902135821</v>
      </c>
    </row>
    <row r="1564" spans="1:9" x14ac:dyDescent="0.35">
      <c r="A1564" s="24" t="s">
        <v>4272</v>
      </c>
      <c r="B1564" s="25" t="s">
        <v>4276</v>
      </c>
      <c r="C1564" s="20">
        <v>45710</v>
      </c>
      <c r="D1564" s="11">
        <v>673.52505515977498</v>
      </c>
      <c r="E1564" s="27">
        <f t="shared" si="120"/>
        <v>749.76809140386149</v>
      </c>
      <c r="F1564" s="6">
        <f t="shared" si="116"/>
        <v>974.69851882501996</v>
      </c>
      <c r="G1564" s="7">
        <f t="shared" si="117"/>
        <v>1049.675327965406</v>
      </c>
      <c r="H1564" s="8">
        <f t="shared" si="118"/>
        <v>1124.6521371057922</v>
      </c>
      <c r="I1564" s="9">
        <f t="shared" si="119"/>
        <v>1199.6289462461784</v>
      </c>
    </row>
    <row r="1565" spans="1:9" x14ac:dyDescent="0.35">
      <c r="A1565" s="24" t="s">
        <v>4273</v>
      </c>
      <c r="B1565" s="25" t="s">
        <v>4277</v>
      </c>
      <c r="C1565" s="20">
        <v>45710</v>
      </c>
      <c r="D1565" s="11">
        <v>1010.588071929345</v>
      </c>
      <c r="E1565" s="27">
        <f t="shared" si="120"/>
        <v>1124.9866416717468</v>
      </c>
      <c r="F1565" s="6">
        <f t="shared" si="116"/>
        <v>1462.482634173271</v>
      </c>
      <c r="G1565" s="7">
        <f t="shared" si="117"/>
        <v>1574.9812983404454</v>
      </c>
      <c r="H1565" s="8">
        <f t="shared" si="118"/>
        <v>1687.4799625076203</v>
      </c>
      <c r="I1565" s="9">
        <f t="shared" si="119"/>
        <v>1799.9786266747951</v>
      </c>
    </row>
    <row r="1566" spans="1:9" x14ac:dyDescent="0.35">
      <c r="A1566" s="24" t="s">
        <v>4274</v>
      </c>
      <c r="B1566" s="25" t="s">
        <v>4278</v>
      </c>
      <c r="C1566" s="20">
        <v>45710</v>
      </c>
      <c r="D1566" s="11">
        <v>2374.5514309253103</v>
      </c>
      <c r="E1566" s="27">
        <f t="shared" si="120"/>
        <v>2643.3506529060555</v>
      </c>
      <c r="F1566" s="6">
        <f t="shared" si="116"/>
        <v>3436.3558487778723</v>
      </c>
      <c r="G1566" s="7">
        <f t="shared" si="117"/>
        <v>3700.6909140684775</v>
      </c>
      <c r="H1566" s="8">
        <f t="shared" si="118"/>
        <v>3965.0259793590831</v>
      </c>
      <c r="I1566" s="9">
        <f t="shared" si="119"/>
        <v>4229.3610446496887</v>
      </c>
    </row>
    <row r="1567" spans="1:9" x14ac:dyDescent="0.35">
      <c r="A1567" s="24"/>
      <c r="B1567" s="25"/>
      <c r="C1567" s="20">
        <v>45710</v>
      </c>
      <c r="D1567" s="11">
        <v>0</v>
      </c>
      <c r="E1567" s="27">
        <f t="shared" si="120"/>
        <v>0</v>
      </c>
      <c r="F1567" s="6">
        <f t="shared" si="116"/>
        <v>0</v>
      </c>
      <c r="G1567" s="7">
        <f t="shared" si="117"/>
        <v>0</v>
      </c>
      <c r="H1567" s="8">
        <f t="shared" si="118"/>
        <v>0</v>
      </c>
      <c r="I1567" s="9">
        <f t="shared" si="119"/>
        <v>0</v>
      </c>
    </row>
    <row r="1568" spans="1:9" x14ac:dyDescent="0.35">
      <c r="A1568" s="24" t="s">
        <v>4279</v>
      </c>
      <c r="B1568" s="25" t="s">
        <v>4283</v>
      </c>
      <c r="C1568" s="20">
        <v>45710</v>
      </c>
      <c r="D1568" s="11">
        <v>586.21148204345991</v>
      </c>
      <c r="E1568" s="27">
        <f t="shared" si="120"/>
        <v>652.57062181077958</v>
      </c>
      <c r="F1568" s="6">
        <f t="shared" si="116"/>
        <v>848.34180835401344</v>
      </c>
      <c r="G1568" s="7">
        <f t="shared" si="117"/>
        <v>913.59887053509135</v>
      </c>
      <c r="H1568" s="8">
        <f t="shared" si="118"/>
        <v>978.85593271616938</v>
      </c>
      <c r="I1568" s="9">
        <f t="shared" si="119"/>
        <v>1044.1129948972473</v>
      </c>
    </row>
    <row r="1569" spans="1:9" x14ac:dyDescent="0.35">
      <c r="A1569" s="24" t="s">
        <v>4280</v>
      </c>
      <c r="B1569" s="25" t="s">
        <v>4284</v>
      </c>
      <c r="C1569" s="20">
        <v>45710</v>
      </c>
      <c r="D1569" s="11">
        <v>673.52505515977498</v>
      </c>
      <c r="E1569" s="27">
        <f t="shared" si="120"/>
        <v>749.76809140386149</v>
      </c>
      <c r="F1569" s="6">
        <f t="shared" si="116"/>
        <v>974.69851882501996</v>
      </c>
      <c r="G1569" s="7">
        <f t="shared" si="117"/>
        <v>1049.675327965406</v>
      </c>
      <c r="H1569" s="8">
        <f t="shared" si="118"/>
        <v>1124.6521371057922</v>
      </c>
      <c r="I1569" s="9">
        <f t="shared" si="119"/>
        <v>1199.6289462461784</v>
      </c>
    </row>
    <row r="1570" spans="1:9" x14ac:dyDescent="0.35">
      <c r="A1570" s="24" t="s">
        <v>4281</v>
      </c>
      <c r="B1570" s="25" t="s">
        <v>4285</v>
      </c>
      <c r="C1570" s="20">
        <v>45710</v>
      </c>
      <c r="D1570" s="11">
        <v>1055.3180341649404</v>
      </c>
      <c r="E1570" s="27">
        <f t="shared" si="120"/>
        <v>1174.7800356324117</v>
      </c>
      <c r="F1570" s="6">
        <f t="shared" si="116"/>
        <v>1527.2140463221353</v>
      </c>
      <c r="G1570" s="7">
        <f t="shared" si="117"/>
        <v>1644.6920498853763</v>
      </c>
      <c r="H1570" s="8">
        <f t="shared" si="118"/>
        <v>1762.1700534486176</v>
      </c>
      <c r="I1570" s="9">
        <f t="shared" si="119"/>
        <v>1879.6480570118588</v>
      </c>
    </row>
    <row r="1571" spans="1:9" x14ac:dyDescent="0.35">
      <c r="A1571" s="24" t="s">
        <v>4282</v>
      </c>
      <c r="B1571" s="25" t="s">
        <v>4286</v>
      </c>
      <c r="C1571" s="20">
        <v>45710</v>
      </c>
      <c r="D1571" s="11">
        <v>3406.517162349211</v>
      </c>
      <c r="E1571" s="27">
        <f t="shared" si="120"/>
        <v>3792.1349051271413</v>
      </c>
      <c r="F1571" s="6">
        <f t="shared" si="116"/>
        <v>4929.7753766652841</v>
      </c>
      <c r="G1571" s="7">
        <f t="shared" si="117"/>
        <v>5308.9888671779972</v>
      </c>
      <c r="H1571" s="8">
        <f t="shared" si="118"/>
        <v>5688.2023576907122</v>
      </c>
      <c r="I1571" s="9">
        <f t="shared" si="119"/>
        <v>6067.4158482034263</v>
      </c>
    </row>
    <row r="1572" spans="1:9" x14ac:dyDescent="0.35">
      <c r="A1572" s="24"/>
      <c r="B1572" s="25"/>
      <c r="C1572" s="20">
        <v>45710</v>
      </c>
      <c r="D1572" s="11">
        <v>0</v>
      </c>
      <c r="E1572" s="27">
        <f t="shared" si="120"/>
        <v>0</v>
      </c>
      <c r="F1572" s="6">
        <f t="shared" si="116"/>
        <v>0</v>
      </c>
      <c r="G1572" s="7">
        <f t="shared" si="117"/>
        <v>0</v>
      </c>
      <c r="H1572" s="8">
        <f t="shared" si="118"/>
        <v>0</v>
      </c>
      <c r="I1572" s="9">
        <f t="shared" si="119"/>
        <v>0</v>
      </c>
    </row>
    <row r="1573" spans="1:9" x14ac:dyDescent="0.35">
      <c r="A1573" s="24" t="s">
        <v>4287</v>
      </c>
      <c r="B1573" s="25" t="s">
        <v>4288</v>
      </c>
      <c r="C1573" s="20">
        <v>45710</v>
      </c>
      <c r="D1573" s="11">
        <v>2652.2034421919402</v>
      </c>
      <c r="E1573" s="27">
        <f t="shared" si="120"/>
        <v>2952.4328718480679</v>
      </c>
      <c r="F1573" s="6">
        <f t="shared" si="116"/>
        <v>3838.1627334024884</v>
      </c>
      <c r="G1573" s="7">
        <f t="shared" si="117"/>
        <v>4133.4060205872947</v>
      </c>
      <c r="H1573" s="8">
        <f t="shared" si="118"/>
        <v>4428.6493077721016</v>
      </c>
      <c r="I1573" s="9">
        <f t="shared" si="119"/>
        <v>4723.8925949569084</v>
      </c>
    </row>
    <row r="1574" spans="1:9" x14ac:dyDescent="0.35">
      <c r="A1574" s="24"/>
      <c r="B1574" s="25"/>
      <c r="C1574" s="20">
        <v>45710</v>
      </c>
      <c r="D1574" s="11">
        <v>0</v>
      </c>
      <c r="E1574" s="27">
        <f t="shared" si="120"/>
        <v>0</v>
      </c>
      <c r="F1574" s="6">
        <f t="shared" si="116"/>
        <v>0</v>
      </c>
      <c r="G1574" s="7">
        <f t="shared" si="117"/>
        <v>0</v>
      </c>
      <c r="H1574" s="8">
        <f t="shared" si="118"/>
        <v>0</v>
      </c>
      <c r="I1574" s="9">
        <f t="shared" si="119"/>
        <v>0</v>
      </c>
    </row>
    <row r="1575" spans="1:9" x14ac:dyDescent="0.35">
      <c r="A1575" s="24" t="s">
        <v>4289</v>
      </c>
      <c r="B1575" s="25" t="s">
        <v>4290</v>
      </c>
      <c r="C1575" s="20">
        <v>45710</v>
      </c>
      <c r="D1575" s="11">
        <v>3841.9689252262497</v>
      </c>
      <c r="E1575" s="27">
        <f t="shared" si="120"/>
        <v>4276.8798075618615</v>
      </c>
      <c r="F1575" s="6">
        <f t="shared" si="116"/>
        <v>5559.9437498304205</v>
      </c>
      <c r="G1575" s="7">
        <f t="shared" si="117"/>
        <v>5987.631730586606</v>
      </c>
      <c r="H1575" s="8">
        <f t="shared" si="118"/>
        <v>6415.3197113427923</v>
      </c>
      <c r="I1575" s="9">
        <f t="shared" si="119"/>
        <v>6843.0076920989786</v>
      </c>
    </row>
    <row r="1576" spans="1:9" x14ac:dyDescent="0.35">
      <c r="A1576" s="24"/>
      <c r="B1576" s="25"/>
      <c r="C1576" s="20">
        <v>45710</v>
      </c>
      <c r="D1576" s="11">
        <v>0</v>
      </c>
      <c r="E1576" s="27">
        <f t="shared" si="120"/>
        <v>0</v>
      </c>
      <c r="F1576" s="6">
        <f t="shared" si="116"/>
        <v>0</v>
      </c>
      <c r="G1576" s="7">
        <f t="shared" si="117"/>
        <v>0</v>
      </c>
      <c r="H1576" s="8">
        <f t="shared" si="118"/>
        <v>0</v>
      </c>
      <c r="I1576" s="9">
        <f t="shared" si="119"/>
        <v>0</v>
      </c>
    </row>
    <row r="1577" spans="1:9" x14ac:dyDescent="0.35">
      <c r="A1577" s="24" t="s">
        <v>4291</v>
      </c>
      <c r="B1577" s="25" t="s">
        <v>4292</v>
      </c>
      <c r="C1577" s="20">
        <v>45710</v>
      </c>
      <c r="D1577" s="11">
        <v>3201.9269512025262</v>
      </c>
      <c r="E1577" s="27">
        <f t="shared" si="120"/>
        <v>3564.385082078652</v>
      </c>
      <c r="F1577" s="6">
        <f t="shared" si="116"/>
        <v>4633.7006067022476</v>
      </c>
      <c r="G1577" s="7">
        <f t="shared" si="117"/>
        <v>4990.1391149101128</v>
      </c>
      <c r="H1577" s="8">
        <f t="shared" si="118"/>
        <v>5346.577623117978</v>
      </c>
      <c r="I1577" s="9">
        <f t="shared" si="119"/>
        <v>5703.0161313258432</v>
      </c>
    </row>
    <row r="1578" spans="1:9" x14ac:dyDescent="0.35">
      <c r="A1578" s="24"/>
      <c r="B1578" s="25"/>
      <c r="C1578" s="20">
        <v>45710</v>
      </c>
      <c r="D1578" s="11">
        <v>0</v>
      </c>
      <c r="E1578" s="27">
        <f t="shared" si="120"/>
        <v>0</v>
      </c>
      <c r="F1578" s="6">
        <f t="shared" si="116"/>
        <v>0</v>
      </c>
      <c r="G1578" s="7">
        <f t="shared" si="117"/>
        <v>0</v>
      </c>
      <c r="H1578" s="8">
        <f t="shared" si="118"/>
        <v>0</v>
      </c>
      <c r="I1578" s="9">
        <f t="shared" si="119"/>
        <v>0</v>
      </c>
    </row>
    <row r="1579" spans="1:9" x14ac:dyDescent="0.35">
      <c r="A1579" s="24" t="s">
        <v>4293</v>
      </c>
      <c r="B1579" s="25" t="s">
        <v>4294</v>
      </c>
      <c r="C1579" s="20">
        <v>45710</v>
      </c>
      <c r="D1579" s="11">
        <v>3889.4462171960854</v>
      </c>
      <c r="E1579" s="27">
        <f t="shared" si="120"/>
        <v>4329.7315289826829</v>
      </c>
      <c r="F1579" s="6">
        <f t="shared" si="116"/>
        <v>5628.650987677488</v>
      </c>
      <c r="G1579" s="7">
        <f t="shared" si="117"/>
        <v>6061.6241405757555</v>
      </c>
      <c r="H1579" s="8">
        <f t="shared" si="118"/>
        <v>6494.5972934740239</v>
      </c>
      <c r="I1579" s="9">
        <f t="shared" si="119"/>
        <v>6927.5704463722932</v>
      </c>
    </row>
    <row r="1580" spans="1:9" x14ac:dyDescent="0.35">
      <c r="A1580" s="24"/>
      <c r="B1580" s="25"/>
      <c r="C1580" s="20">
        <v>45710</v>
      </c>
      <c r="D1580" s="11">
        <v>0</v>
      </c>
      <c r="E1580" s="27">
        <f t="shared" si="120"/>
        <v>0</v>
      </c>
      <c r="F1580" s="6">
        <f t="shared" si="116"/>
        <v>0</v>
      </c>
      <c r="G1580" s="7">
        <f t="shared" si="117"/>
        <v>0</v>
      </c>
      <c r="H1580" s="8">
        <f t="shared" si="118"/>
        <v>0</v>
      </c>
      <c r="I1580" s="9">
        <f t="shared" si="119"/>
        <v>0</v>
      </c>
    </row>
    <row r="1581" spans="1:9" x14ac:dyDescent="0.35">
      <c r="A1581" s="24" t="s">
        <v>4295</v>
      </c>
      <c r="B1581" s="25" t="s">
        <v>4296</v>
      </c>
      <c r="C1581" s="20">
        <v>45710</v>
      </c>
      <c r="D1581" s="11">
        <v>4361.9869314853659</v>
      </c>
      <c r="E1581" s="27">
        <f t="shared" si="120"/>
        <v>4855.7638521295094</v>
      </c>
      <c r="F1581" s="6">
        <f t="shared" si="116"/>
        <v>6312.4930077683621</v>
      </c>
      <c r="G1581" s="7">
        <f t="shared" si="117"/>
        <v>6798.0693929813124</v>
      </c>
      <c r="H1581" s="8">
        <f t="shared" si="118"/>
        <v>7283.6457781942645</v>
      </c>
      <c r="I1581" s="9">
        <f t="shared" si="119"/>
        <v>7769.2221634072157</v>
      </c>
    </row>
    <row r="1582" spans="1:9" x14ac:dyDescent="0.35">
      <c r="A1582" s="24"/>
      <c r="B1582" s="25"/>
      <c r="C1582" s="20">
        <v>45710</v>
      </c>
      <c r="D1582" s="11">
        <v>0</v>
      </c>
      <c r="E1582" s="27">
        <f t="shared" si="120"/>
        <v>0</v>
      </c>
      <c r="F1582" s="6">
        <f t="shared" si="116"/>
        <v>0</v>
      </c>
      <c r="G1582" s="7">
        <f t="shared" si="117"/>
        <v>0</v>
      </c>
      <c r="H1582" s="8">
        <f t="shared" si="118"/>
        <v>0</v>
      </c>
      <c r="I1582" s="9">
        <f t="shared" si="119"/>
        <v>0</v>
      </c>
    </row>
    <row r="1583" spans="1:9" x14ac:dyDescent="0.35">
      <c r="A1583" s="24" t="s">
        <v>4297</v>
      </c>
      <c r="B1583" s="25" t="s">
        <v>4301</v>
      </c>
      <c r="C1583" s="20">
        <v>45710</v>
      </c>
      <c r="D1583" s="11">
        <v>586.46904420604528</v>
      </c>
      <c r="E1583" s="27">
        <f t="shared" si="120"/>
        <v>652.85734001016965</v>
      </c>
      <c r="F1583" s="6">
        <f t="shared" si="116"/>
        <v>848.71454201322058</v>
      </c>
      <c r="G1583" s="7">
        <f t="shared" si="117"/>
        <v>914.00027601423744</v>
      </c>
      <c r="H1583" s="8">
        <f t="shared" si="118"/>
        <v>979.28601001525453</v>
      </c>
      <c r="I1583" s="9">
        <f t="shared" si="119"/>
        <v>1044.5717440162714</v>
      </c>
    </row>
    <row r="1584" spans="1:9" x14ac:dyDescent="0.35">
      <c r="A1584" s="24" t="s">
        <v>4298</v>
      </c>
      <c r="B1584" s="25" t="s">
        <v>4302</v>
      </c>
      <c r="C1584" s="20">
        <v>45710</v>
      </c>
      <c r="D1584" s="11">
        <v>643.56199024572015</v>
      </c>
      <c r="E1584" s="27">
        <f t="shared" si="120"/>
        <v>716.41320754153571</v>
      </c>
      <c r="F1584" s="6">
        <f t="shared" si="116"/>
        <v>931.3371698039964</v>
      </c>
      <c r="G1584" s="7">
        <f t="shared" si="117"/>
        <v>1002.9784905581499</v>
      </c>
      <c r="H1584" s="8">
        <f t="shared" si="118"/>
        <v>1074.6198113123037</v>
      </c>
      <c r="I1584" s="9">
        <f t="shared" si="119"/>
        <v>1146.2611320664571</v>
      </c>
    </row>
    <row r="1585" spans="1:9" x14ac:dyDescent="0.35">
      <c r="A1585" s="24" t="s">
        <v>4299</v>
      </c>
      <c r="B1585" s="25" t="s">
        <v>4303</v>
      </c>
      <c r="C1585" s="20">
        <v>45710</v>
      </c>
      <c r="D1585" s="11">
        <v>851.5005095060103</v>
      </c>
      <c r="E1585" s="27">
        <f t="shared" si="120"/>
        <v>947.8903671820907</v>
      </c>
      <c r="F1585" s="6">
        <f t="shared" si="116"/>
        <v>1232.257477336718</v>
      </c>
      <c r="G1585" s="7">
        <f t="shared" si="117"/>
        <v>1327.046514054927</v>
      </c>
      <c r="H1585" s="8">
        <f t="shared" si="118"/>
        <v>1421.835550773136</v>
      </c>
      <c r="I1585" s="9">
        <f t="shared" si="119"/>
        <v>1516.6245874913452</v>
      </c>
    </row>
    <row r="1586" spans="1:9" x14ac:dyDescent="0.35">
      <c r="A1586" s="24" t="s">
        <v>4300</v>
      </c>
      <c r="B1586" s="25" t="s">
        <v>4304</v>
      </c>
      <c r="C1586" s="20">
        <v>45710</v>
      </c>
      <c r="D1586" s="11">
        <v>1897.8897220346701</v>
      </c>
      <c r="E1586" s="27">
        <f t="shared" si="120"/>
        <v>2112.7308385689948</v>
      </c>
      <c r="F1586" s="6">
        <f t="shared" si="116"/>
        <v>2746.5500901396936</v>
      </c>
      <c r="G1586" s="7">
        <f t="shared" si="117"/>
        <v>2957.8231739965927</v>
      </c>
      <c r="H1586" s="8">
        <f t="shared" si="118"/>
        <v>3169.0962578534923</v>
      </c>
      <c r="I1586" s="9">
        <f t="shared" si="119"/>
        <v>3380.3693417103918</v>
      </c>
    </row>
    <row r="1587" spans="1:9" x14ac:dyDescent="0.35">
      <c r="A1587" s="24"/>
      <c r="B1587" s="25"/>
      <c r="C1587" s="20">
        <v>45710</v>
      </c>
      <c r="D1587" s="11">
        <v>0</v>
      </c>
      <c r="E1587" s="27">
        <f t="shared" si="120"/>
        <v>0</v>
      </c>
      <c r="F1587" s="6">
        <f t="shared" si="116"/>
        <v>0</v>
      </c>
      <c r="G1587" s="7">
        <f t="shared" si="117"/>
        <v>0</v>
      </c>
      <c r="H1587" s="8">
        <f t="shared" si="118"/>
        <v>0</v>
      </c>
      <c r="I1587" s="9">
        <f t="shared" si="119"/>
        <v>0</v>
      </c>
    </row>
    <row r="1588" spans="1:9" x14ac:dyDescent="0.35">
      <c r="A1588" s="24" t="s">
        <v>4305</v>
      </c>
      <c r="B1588" s="25" t="s">
        <v>4308</v>
      </c>
      <c r="C1588" s="20">
        <v>45710</v>
      </c>
      <c r="D1588" s="11">
        <v>550.32448738995015</v>
      </c>
      <c r="E1588" s="27">
        <f t="shared" si="120"/>
        <v>612.62121936249252</v>
      </c>
      <c r="F1588" s="6">
        <f t="shared" si="116"/>
        <v>796.40758517124027</v>
      </c>
      <c r="G1588" s="7">
        <f t="shared" si="117"/>
        <v>857.66970710748944</v>
      </c>
      <c r="H1588" s="8">
        <f t="shared" si="118"/>
        <v>918.93182904373884</v>
      </c>
      <c r="I1588" s="9">
        <f t="shared" si="119"/>
        <v>980.19395097998813</v>
      </c>
    </row>
    <row r="1589" spans="1:9" x14ac:dyDescent="0.35">
      <c r="A1589" s="24" t="s">
        <v>4306</v>
      </c>
      <c r="B1589" s="25" t="s">
        <v>4309</v>
      </c>
      <c r="C1589" s="20">
        <v>45710</v>
      </c>
      <c r="D1589" s="11">
        <v>635.66341725978009</v>
      </c>
      <c r="E1589" s="27">
        <f t="shared" si="120"/>
        <v>707.62051609358718</v>
      </c>
      <c r="F1589" s="6">
        <f t="shared" si="116"/>
        <v>919.90667092166336</v>
      </c>
      <c r="G1589" s="7">
        <f t="shared" si="117"/>
        <v>990.66872253102201</v>
      </c>
      <c r="H1589" s="8">
        <f t="shared" si="118"/>
        <v>1061.4307741403809</v>
      </c>
      <c r="I1589" s="9">
        <f t="shared" si="119"/>
        <v>1132.1928257497395</v>
      </c>
    </row>
    <row r="1590" spans="1:9" x14ac:dyDescent="0.35">
      <c r="A1590" s="24" t="s">
        <v>4307</v>
      </c>
      <c r="B1590" s="25" t="s">
        <v>4310</v>
      </c>
      <c r="C1590" s="20">
        <v>45710</v>
      </c>
      <c r="D1590" s="11">
        <v>1557.5642512056902</v>
      </c>
      <c r="E1590" s="27">
        <f t="shared" si="120"/>
        <v>1733.8805244421744</v>
      </c>
      <c r="F1590" s="6">
        <f t="shared" ref="F1590:F1651" si="121">E1590*1.3</f>
        <v>2254.044681774827</v>
      </c>
      <c r="G1590" s="7">
        <f t="shared" ref="G1590:G1651" si="122">E1590*1.4</f>
        <v>2427.4327342190441</v>
      </c>
      <c r="H1590" s="8">
        <f t="shared" ref="H1590:H1651" si="123">E1590*1.5</f>
        <v>2600.8207866632615</v>
      </c>
      <c r="I1590" s="9">
        <f t="shared" ref="I1590:I1651" si="124">E1590*1.6</f>
        <v>2774.2088391074794</v>
      </c>
    </row>
    <row r="1591" spans="1:9" x14ac:dyDescent="0.35">
      <c r="A1591" s="24"/>
      <c r="B1591" s="25"/>
      <c r="C1591" s="20">
        <v>45710</v>
      </c>
      <c r="D1591" s="11">
        <v>0</v>
      </c>
      <c r="E1591" s="27">
        <f t="shared" si="120"/>
        <v>0</v>
      </c>
      <c r="F1591" s="6">
        <f t="shared" si="121"/>
        <v>0</v>
      </c>
      <c r="G1591" s="7">
        <f t="shared" si="122"/>
        <v>0</v>
      </c>
      <c r="H1591" s="8">
        <f t="shared" si="123"/>
        <v>0</v>
      </c>
      <c r="I1591" s="9">
        <f t="shared" si="124"/>
        <v>0</v>
      </c>
    </row>
    <row r="1592" spans="1:9" x14ac:dyDescent="0.35">
      <c r="A1592" s="24" t="s">
        <v>4311</v>
      </c>
      <c r="B1592" s="25" t="s">
        <v>4312</v>
      </c>
      <c r="C1592" s="20">
        <v>45710</v>
      </c>
      <c r="D1592" s="11">
        <v>4580.4854994116413</v>
      </c>
      <c r="E1592" s="27">
        <f t="shared" si="120"/>
        <v>5098.9964579450389</v>
      </c>
      <c r="F1592" s="6">
        <f t="shared" si="121"/>
        <v>6628.6953953285511</v>
      </c>
      <c r="G1592" s="7">
        <f t="shared" si="122"/>
        <v>7138.5950411230542</v>
      </c>
      <c r="H1592" s="8">
        <f t="shared" si="123"/>
        <v>7648.4946869175583</v>
      </c>
      <c r="I1592" s="9">
        <f t="shared" si="124"/>
        <v>8158.3943327120624</v>
      </c>
    </row>
    <row r="1593" spans="1:9" x14ac:dyDescent="0.35">
      <c r="A1593" s="24"/>
      <c r="B1593" s="25"/>
      <c r="C1593" s="20">
        <v>45710</v>
      </c>
      <c r="D1593" s="11">
        <v>0</v>
      </c>
      <c r="E1593" s="27">
        <f t="shared" si="120"/>
        <v>0</v>
      </c>
      <c r="F1593" s="6">
        <f t="shared" si="121"/>
        <v>0</v>
      </c>
      <c r="G1593" s="7">
        <f t="shared" si="122"/>
        <v>0</v>
      </c>
      <c r="H1593" s="8">
        <f t="shared" si="123"/>
        <v>0</v>
      </c>
      <c r="I1593" s="9">
        <f t="shared" si="124"/>
        <v>0</v>
      </c>
    </row>
    <row r="1594" spans="1:9" x14ac:dyDescent="0.35">
      <c r="A1594" s="24" t="s">
        <v>4313</v>
      </c>
      <c r="B1594" s="25" t="s">
        <v>4314</v>
      </c>
      <c r="C1594" s="20">
        <v>45710</v>
      </c>
      <c r="D1594" s="11">
        <v>607.67499559220994</v>
      </c>
      <c r="E1594" s="27">
        <f t="shared" si="120"/>
        <v>676.46380509324808</v>
      </c>
      <c r="F1594" s="6">
        <f t="shared" si="121"/>
        <v>879.40294662122255</v>
      </c>
      <c r="G1594" s="7">
        <f t="shared" si="122"/>
        <v>947.04932713054723</v>
      </c>
      <c r="H1594" s="8">
        <f t="shared" si="123"/>
        <v>1014.6957076398721</v>
      </c>
      <c r="I1594" s="9">
        <f t="shared" si="124"/>
        <v>1082.342088149197</v>
      </c>
    </row>
    <row r="1595" spans="1:9" x14ac:dyDescent="0.35">
      <c r="A1595" s="24"/>
      <c r="B1595" s="25"/>
      <c r="C1595" s="20">
        <v>45710</v>
      </c>
      <c r="D1595" s="11">
        <v>0</v>
      </c>
      <c r="E1595" s="27">
        <f t="shared" si="120"/>
        <v>0</v>
      </c>
      <c r="F1595" s="6">
        <f t="shared" si="121"/>
        <v>0</v>
      </c>
      <c r="G1595" s="7">
        <f t="shared" si="122"/>
        <v>0</v>
      </c>
      <c r="H1595" s="8">
        <f t="shared" si="123"/>
        <v>0</v>
      </c>
      <c r="I1595" s="9">
        <f t="shared" si="124"/>
        <v>0</v>
      </c>
    </row>
    <row r="1596" spans="1:9" x14ac:dyDescent="0.35">
      <c r="A1596" s="24" t="s">
        <v>4315</v>
      </c>
      <c r="B1596" s="25" t="s">
        <v>4319</v>
      </c>
      <c r="C1596" s="20">
        <v>45710</v>
      </c>
      <c r="D1596" s="11">
        <v>226.65470307480001</v>
      </c>
      <c r="E1596" s="27">
        <f t="shared" si="120"/>
        <v>252.31201546286738</v>
      </c>
      <c r="F1596" s="6">
        <f t="shared" si="121"/>
        <v>328.00562010172763</v>
      </c>
      <c r="G1596" s="7">
        <f t="shared" si="122"/>
        <v>353.23682164801431</v>
      </c>
      <c r="H1596" s="8">
        <f t="shared" si="123"/>
        <v>378.46802319430105</v>
      </c>
      <c r="I1596" s="9">
        <f t="shared" si="124"/>
        <v>403.69922474058785</v>
      </c>
    </row>
    <row r="1597" spans="1:9" x14ac:dyDescent="0.35">
      <c r="A1597" s="24" t="s">
        <v>4316</v>
      </c>
      <c r="B1597" s="25" t="s">
        <v>4320</v>
      </c>
      <c r="C1597" s="20">
        <v>45710</v>
      </c>
      <c r="D1597" s="11">
        <v>262.88511394509004</v>
      </c>
      <c r="E1597" s="27">
        <f t="shared" si="120"/>
        <v>292.64370884367423</v>
      </c>
      <c r="F1597" s="6">
        <f t="shared" si="121"/>
        <v>380.43682149677653</v>
      </c>
      <c r="G1597" s="7">
        <f t="shared" si="122"/>
        <v>409.70119238114393</v>
      </c>
      <c r="H1597" s="8">
        <f t="shared" si="123"/>
        <v>438.96556326551138</v>
      </c>
      <c r="I1597" s="9">
        <f t="shared" si="124"/>
        <v>468.22993414987877</v>
      </c>
    </row>
    <row r="1598" spans="1:9" x14ac:dyDescent="0.35">
      <c r="A1598" s="24" t="s">
        <v>4317</v>
      </c>
      <c r="B1598" s="25" t="s">
        <v>4321</v>
      </c>
      <c r="C1598" s="20">
        <v>45710</v>
      </c>
      <c r="D1598" s="11">
        <v>456.91527642579007</v>
      </c>
      <c r="E1598" s="27">
        <f t="shared" si="120"/>
        <v>508.63808571718954</v>
      </c>
      <c r="F1598" s="6">
        <f t="shared" si="121"/>
        <v>661.22951143234638</v>
      </c>
      <c r="G1598" s="7">
        <f t="shared" si="122"/>
        <v>712.09332000406528</v>
      </c>
      <c r="H1598" s="8">
        <f t="shared" si="123"/>
        <v>762.95712857578428</v>
      </c>
      <c r="I1598" s="9">
        <f t="shared" si="124"/>
        <v>813.82093714750329</v>
      </c>
    </row>
    <row r="1599" spans="1:9" x14ac:dyDescent="0.35">
      <c r="A1599" s="24" t="s">
        <v>4318</v>
      </c>
      <c r="B1599" s="25" t="s">
        <v>4322</v>
      </c>
      <c r="C1599" s="20">
        <v>45710</v>
      </c>
      <c r="D1599" s="11">
        <v>886.52896361756996</v>
      </c>
      <c r="E1599" s="27">
        <f t="shared" si="120"/>
        <v>986.88404229907883</v>
      </c>
      <c r="F1599" s="6">
        <f t="shared" si="121"/>
        <v>1282.9492549888025</v>
      </c>
      <c r="G1599" s="7">
        <f t="shared" si="122"/>
        <v>1381.6376592187103</v>
      </c>
      <c r="H1599" s="8">
        <f t="shared" si="123"/>
        <v>1480.3260634486182</v>
      </c>
      <c r="I1599" s="9">
        <f t="shared" si="124"/>
        <v>1579.0144676785262</v>
      </c>
    </row>
    <row r="1600" spans="1:9" x14ac:dyDescent="0.35">
      <c r="A1600" s="24"/>
      <c r="B1600" s="25"/>
      <c r="C1600" s="20">
        <v>45710</v>
      </c>
      <c r="D1600" s="11">
        <v>0</v>
      </c>
      <c r="E1600" s="27">
        <f t="shared" si="120"/>
        <v>0</v>
      </c>
      <c r="F1600" s="6">
        <f t="shared" si="121"/>
        <v>0</v>
      </c>
      <c r="G1600" s="7">
        <f t="shared" si="122"/>
        <v>0</v>
      </c>
      <c r="H1600" s="8">
        <f t="shared" si="123"/>
        <v>0</v>
      </c>
      <c r="I1600" s="9">
        <f t="shared" si="124"/>
        <v>0</v>
      </c>
    </row>
    <row r="1601" spans="1:9" x14ac:dyDescent="0.35">
      <c r="A1601" s="24" t="s">
        <v>4323</v>
      </c>
      <c r="B1601" s="25" t="s">
        <v>4327</v>
      </c>
      <c r="C1601" s="20">
        <v>45710</v>
      </c>
      <c r="D1601" s="11">
        <v>272.84418423171002</v>
      </c>
      <c r="E1601" s="27">
        <f t="shared" si="120"/>
        <v>303.73014588673959</v>
      </c>
      <c r="F1601" s="6">
        <f t="shared" si="121"/>
        <v>394.84918965276148</v>
      </c>
      <c r="G1601" s="7">
        <f t="shared" si="122"/>
        <v>425.22220424143541</v>
      </c>
      <c r="H1601" s="8">
        <f t="shared" si="123"/>
        <v>455.59521883010939</v>
      </c>
      <c r="I1601" s="9">
        <f t="shared" si="124"/>
        <v>485.96823341878337</v>
      </c>
    </row>
    <row r="1602" spans="1:9" x14ac:dyDescent="0.35">
      <c r="A1602" s="24" t="s">
        <v>4324</v>
      </c>
      <c r="B1602" s="25" t="s">
        <v>4328</v>
      </c>
      <c r="C1602" s="20">
        <v>45710</v>
      </c>
      <c r="D1602" s="11">
        <v>413.23273365137408</v>
      </c>
      <c r="E1602" s="27">
        <f t="shared" si="120"/>
        <v>460.01067910070964</v>
      </c>
      <c r="F1602" s="6">
        <f t="shared" si="121"/>
        <v>598.01388283092251</v>
      </c>
      <c r="G1602" s="7">
        <f t="shared" si="122"/>
        <v>644.01495074099341</v>
      </c>
      <c r="H1602" s="8">
        <f t="shared" si="123"/>
        <v>690.01601865106443</v>
      </c>
      <c r="I1602" s="9">
        <f t="shared" si="124"/>
        <v>736.01708656113544</v>
      </c>
    </row>
    <row r="1603" spans="1:9" x14ac:dyDescent="0.35">
      <c r="A1603" s="24" t="s">
        <v>4325</v>
      </c>
      <c r="B1603" s="25" t="s">
        <v>4329</v>
      </c>
      <c r="C1603" s="20">
        <v>45710</v>
      </c>
      <c r="D1603" s="11">
        <v>671.20699569650992</v>
      </c>
      <c r="E1603" s="27">
        <f t="shared" si="120"/>
        <v>747.18762760935488</v>
      </c>
      <c r="F1603" s="6">
        <f t="shared" si="121"/>
        <v>971.34391589216136</v>
      </c>
      <c r="G1603" s="7">
        <f t="shared" si="122"/>
        <v>1046.0626786530968</v>
      </c>
      <c r="H1603" s="8">
        <f t="shared" si="123"/>
        <v>1120.7814414140323</v>
      </c>
      <c r="I1603" s="9">
        <f t="shared" si="124"/>
        <v>1195.5002041749678</v>
      </c>
    </row>
    <row r="1604" spans="1:9" x14ac:dyDescent="0.35">
      <c r="A1604" s="24" t="s">
        <v>4326</v>
      </c>
      <c r="B1604" s="25" t="s">
        <v>4330</v>
      </c>
      <c r="C1604" s="20">
        <v>45710</v>
      </c>
      <c r="D1604" s="11">
        <v>1423.3743644989052</v>
      </c>
      <c r="E1604" s="27">
        <f t="shared" si="120"/>
        <v>1584.5003425601813</v>
      </c>
      <c r="F1604" s="6">
        <f t="shared" si="121"/>
        <v>2059.8504453282358</v>
      </c>
      <c r="G1604" s="7">
        <f t="shared" si="122"/>
        <v>2218.3004795842535</v>
      </c>
      <c r="H1604" s="8">
        <f t="shared" si="123"/>
        <v>2376.7505138402721</v>
      </c>
      <c r="I1604" s="9">
        <f t="shared" si="124"/>
        <v>2535.2005480962903</v>
      </c>
    </row>
    <row r="1605" spans="1:9" x14ac:dyDescent="0.35">
      <c r="A1605" s="24"/>
      <c r="B1605" s="25"/>
      <c r="C1605" s="20">
        <v>45710</v>
      </c>
      <c r="D1605" s="11">
        <v>0</v>
      </c>
      <c r="E1605" s="27">
        <f t="shared" si="120"/>
        <v>0</v>
      </c>
      <c r="F1605" s="6">
        <f t="shared" si="121"/>
        <v>0</v>
      </c>
      <c r="G1605" s="7">
        <f t="shared" si="122"/>
        <v>0</v>
      </c>
      <c r="H1605" s="8">
        <f t="shared" si="123"/>
        <v>0</v>
      </c>
      <c r="I1605" s="9">
        <f t="shared" si="124"/>
        <v>0</v>
      </c>
    </row>
    <row r="1606" spans="1:9" x14ac:dyDescent="0.35">
      <c r="A1606" s="24" t="s">
        <v>4331</v>
      </c>
      <c r="B1606" s="25" t="s">
        <v>4333</v>
      </c>
      <c r="C1606" s="20">
        <v>45710</v>
      </c>
      <c r="D1606" s="11">
        <v>3650.085114100425</v>
      </c>
      <c r="E1606" s="27">
        <f t="shared" si="120"/>
        <v>4063.2747490165934</v>
      </c>
      <c r="F1606" s="6">
        <f t="shared" si="121"/>
        <v>5282.2571737215712</v>
      </c>
      <c r="G1606" s="7">
        <f t="shared" si="122"/>
        <v>5688.5846486232304</v>
      </c>
      <c r="H1606" s="8">
        <f t="shared" si="123"/>
        <v>6094.9121235248904</v>
      </c>
      <c r="I1606" s="9">
        <f t="shared" si="124"/>
        <v>6501.2395984265495</v>
      </c>
    </row>
    <row r="1607" spans="1:9" x14ac:dyDescent="0.35">
      <c r="A1607" s="24" t="s">
        <v>4332</v>
      </c>
      <c r="B1607" s="25" t="s">
        <v>4334</v>
      </c>
      <c r="C1607" s="20">
        <v>45710</v>
      </c>
      <c r="D1607" s="11">
        <v>3650.085114100425</v>
      </c>
      <c r="E1607" s="27">
        <f t="shared" si="120"/>
        <v>4063.2747490165934</v>
      </c>
      <c r="F1607" s="6">
        <f t="shared" si="121"/>
        <v>5282.2571737215712</v>
      </c>
      <c r="G1607" s="7">
        <f t="shared" si="122"/>
        <v>5688.5846486232304</v>
      </c>
      <c r="H1607" s="8">
        <f t="shared" si="123"/>
        <v>6094.9121235248904</v>
      </c>
      <c r="I1607" s="9">
        <f t="shared" si="124"/>
        <v>6501.2395984265495</v>
      </c>
    </row>
    <row r="1608" spans="1:9" x14ac:dyDescent="0.35">
      <c r="A1608" s="24"/>
      <c r="B1608" s="25"/>
      <c r="C1608" s="20">
        <v>45710</v>
      </c>
      <c r="D1608" s="11">
        <v>0</v>
      </c>
      <c r="E1608" s="27">
        <f t="shared" si="120"/>
        <v>0</v>
      </c>
      <c r="F1608" s="6">
        <f t="shared" si="121"/>
        <v>0</v>
      </c>
      <c r="G1608" s="7">
        <f t="shared" si="122"/>
        <v>0</v>
      </c>
      <c r="H1608" s="8">
        <f t="shared" si="123"/>
        <v>0</v>
      </c>
      <c r="I1608" s="9">
        <f t="shared" si="124"/>
        <v>0</v>
      </c>
    </row>
    <row r="1609" spans="1:9" x14ac:dyDescent="0.35">
      <c r="A1609" s="24" t="s">
        <v>4335</v>
      </c>
      <c r="B1609" s="25" t="s">
        <v>4336</v>
      </c>
      <c r="C1609" s="20">
        <v>45710</v>
      </c>
      <c r="D1609" s="11">
        <v>3650.085114100425</v>
      </c>
      <c r="E1609" s="27">
        <f t="shared" si="120"/>
        <v>4063.2747490165934</v>
      </c>
      <c r="F1609" s="6">
        <f t="shared" si="121"/>
        <v>5282.2571737215712</v>
      </c>
      <c r="G1609" s="7">
        <f t="shared" si="122"/>
        <v>5688.5846486232304</v>
      </c>
      <c r="H1609" s="8">
        <f t="shared" si="123"/>
        <v>6094.9121235248904</v>
      </c>
      <c r="I1609" s="9">
        <f t="shared" si="124"/>
        <v>6501.2395984265495</v>
      </c>
    </row>
    <row r="1610" spans="1:9" x14ac:dyDescent="0.35">
      <c r="A1610" s="24"/>
      <c r="B1610" s="25"/>
      <c r="C1610" s="20">
        <v>45710</v>
      </c>
      <c r="D1610" s="11">
        <v>0</v>
      </c>
      <c r="E1610" s="27">
        <f t="shared" si="120"/>
        <v>0</v>
      </c>
      <c r="F1610" s="6">
        <f t="shared" si="121"/>
        <v>0</v>
      </c>
      <c r="G1610" s="7">
        <f t="shared" si="122"/>
        <v>0</v>
      </c>
      <c r="H1610" s="8">
        <f t="shared" si="123"/>
        <v>0</v>
      </c>
      <c r="I1610" s="9">
        <f t="shared" si="124"/>
        <v>0</v>
      </c>
    </row>
    <row r="1611" spans="1:9" x14ac:dyDescent="0.35">
      <c r="A1611" s="24" t="s">
        <v>4338</v>
      </c>
      <c r="B1611" s="25" t="s">
        <v>4337</v>
      </c>
      <c r="C1611" s="20">
        <v>45710</v>
      </c>
      <c r="D1611" s="11">
        <v>3814.6673359922397</v>
      </c>
      <c r="E1611" s="27">
        <f t="shared" si="120"/>
        <v>4246.4876784265616</v>
      </c>
      <c r="F1611" s="6">
        <f t="shared" si="121"/>
        <v>5520.4339819545303</v>
      </c>
      <c r="G1611" s="7">
        <f t="shared" si="122"/>
        <v>5945.0827497971859</v>
      </c>
      <c r="H1611" s="8">
        <f t="shared" si="123"/>
        <v>6369.7315176398424</v>
      </c>
      <c r="I1611" s="9">
        <f t="shared" si="124"/>
        <v>6794.3802854824989</v>
      </c>
    </row>
    <row r="1612" spans="1:9" x14ac:dyDescent="0.35">
      <c r="A1612" s="24"/>
      <c r="B1612" s="25"/>
      <c r="C1612" s="20">
        <v>45710</v>
      </c>
      <c r="D1612" s="11">
        <v>0</v>
      </c>
      <c r="E1612" s="27">
        <f t="shared" ref="E1612:E1675" si="125">D1612*1.21*0.92</f>
        <v>0</v>
      </c>
      <c r="F1612" s="6">
        <f t="shared" si="121"/>
        <v>0</v>
      </c>
      <c r="G1612" s="7">
        <f t="shared" si="122"/>
        <v>0</v>
      </c>
      <c r="H1612" s="8">
        <f t="shared" si="123"/>
        <v>0</v>
      </c>
      <c r="I1612" s="9">
        <f t="shared" si="124"/>
        <v>0</v>
      </c>
    </row>
    <row r="1613" spans="1:9" x14ac:dyDescent="0.35">
      <c r="A1613" s="24" t="s">
        <v>4339</v>
      </c>
      <c r="B1613" s="25" t="s">
        <v>4340</v>
      </c>
      <c r="C1613" s="20">
        <v>45710</v>
      </c>
      <c r="D1613" s="11">
        <v>4055.3162499008254</v>
      </c>
      <c r="E1613" s="27">
        <f t="shared" si="125"/>
        <v>4514.3780493895993</v>
      </c>
      <c r="F1613" s="6">
        <f t="shared" si="121"/>
        <v>5868.6914642064794</v>
      </c>
      <c r="G1613" s="7">
        <f t="shared" si="122"/>
        <v>6320.1292691454382</v>
      </c>
      <c r="H1613" s="8">
        <f t="shared" si="123"/>
        <v>6771.5670740843989</v>
      </c>
      <c r="I1613" s="9">
        <f t="shared" si="124"/>
        <v>7223.0048790233595</v>
      </c>
    </row>
    <row r="1614" spans="1:9" x14ac:dyDescent="0.35">
      <c r="A1614" s="24"/>
      <c r="B1614" s="25"/>
      <c r="C1614" s="20">
        <v>45710</v>
      </c>
      <c r="D1614" s="11">
        <v>0</v>
      </c>
      <c r="E1614" s="27">
        <f t="shared" si="125"/>
        <v>0</v>
      </c>
      <c r="F1614" s="6">
        <f t="shared" si="121"/>
        <v>0</v>
      </c>
      <c r="G1614" s="7">
        <f t="shared" si="122"/>
        <v>0</v>
      </c>
      <c r="H1614" s="8">
        <f t="shared" si="123"/>
        <v>0</v>
      </c>
      <c r="I1614" s="9">
        <f t="shared" si="124"/>
        <v>0</v>
      </c>
    </row>
    <row r="1615" spans="1:9" x14ac:dyDescent="0.35">
      <c r="A1615" s="24" t="s">
        <v>4341</v>
      </c>
      <c r="B1615" s="25" t="s">
        <v>4342</v>
      </c>
      <c r="C1615" s="20">
        <v>45710</v>
      </c>
      <c r="D1615" s="11">
        <v>2863.4044155116403</v>
      </c>
      <c r="E1615" s="27">
        <f t="shared" si="125"/>
        <v>3187.541795347558</v>
      </c>
      <c r="F1615" s="6">
        <f t="shared" si="121"/>
        <v>4143.8043339518254</v>
      </c>
      <c r="G1615" s="7">
        <f t="shared" si="122"/>
        <v>4462.5585134865805</v>
      </c>
      <c r="H1615" s="8">
        <f t="shared" si="123"/>
        <v>4781.3126930213366</v>
      </c>
      <c r="I1615" s="9">
        <f t="shared" si="124"/>
        <v>5100.0668725560936</v>
      </c>
    </row>
    <row r="1616" spans="1:9" x14ac:dyDescent="0.35">
      <c r="A1616" s="24"/>
      <c r="B1616" s="25"/>
      <c r="C1616" s="20">
        <v>45710</v>
      </c>
      <c r="D1616" s="11">
        <v>0</v>
      </c>
      <c r="E1616" s="27">
        <f t="shared" si="125"/>
        <v>0</v>
      </c>
      <c r="F1616" s="6">
        <f t="shared" si="121"/>
        <v>0</v>
      </c>
      <c r="G1616" s="7">
        <f t="shared" si="122"/>
        <v>0</v>
      </c>
      <c r="H1616" s="8">
        <f t="shared" si="123"/>
        <v>0</v>
      </c>
      <c r="I1616" s="9">
        <f t="shared" si="124"/>
        <v>0</v>
      </c>
    </row>
    <row r="1617" spans="1:9" x14ac:dyDescent="0.35">
      <c r="A1617" s="24" t="s">
        <v>4343</v>
      </c>
      <c r="B1617" s="25" t="s">
        <v>4344</v>
      </c>
      <c r="C1617" s="20">
        <v>45710</v>
      </c>
      <c r="D1617" s="11">
        <v>3092.1196158871198</v>
      </c>
      <c r="E1617" s="27">
        <f t="shared" si="125"/>
        <v>3442.1475564055418</v>
      </c>
      <c r="F1617" s="6">
        <f t="shared" si="121"/>
        <v>4474.7918233272048</v>
      </c>
      <c r="G1617" s="7">
        <f t="shared" si="122"/>
        <v>4819.0065789677583</v>
      </c>
      <c r="H1617" s="8">
        <f t="shared" si="123"/>
        <v>5163.2213346083126</v>
      </c>
      <c r="I1617" s="9">
        <f t="shared" si="124"/>
        <v>5507.436090248867</v>
      </c>
    </row>
    <row r="1618" spans="1:9" x14ac:dyDescent="0.35">
      <c r="A1618" s="24"/>
      <c r="B1618" s="25"/>
      <c r="C1618" s="20">
        <v>45710</v>
      </c>
      <c r="D1618" s="11">
        <v>0</v>
      </c>
      <c r="E1618" s="27">
        <f t="shared" si="125"/>
        <v>0</v>
      </c>
      <c r="F1618" s="6">
        <f t="shared" si="121"/>
        <v>0</v>
      </c>
      <c r="G1618" s="7">
        <f t="shared" si="122"/>
        <v>0</v>
      </c>
      <c r="H1618" s="8">
        <f t="shared" si="123"/>
        <v>0</v>
      </c>
      <c r="I1618" s="9">
        <f t="shared" si="124"/>
        <v>0</v>
      </c>
    </row>
    <row r="1619" spans="1:9" x14ac:dyDescent="0.35">
      <c r="A1619" s="24" t="s">
        <v>4345</v>
      </c>
      <c r="B1619" s="25" t="s">
        <v>4348</v>
      </c>
      <c r="C1619" s="20">
        <v>45710</v>
      </c>
      <c r="D1619" s="11">
        <v>5033.6231974528509</v>
      </c>
      <c r="E1619" s="27">
        <f t="shared" si="125"/>
        <v>5603.4293434045139</v>
      </c>
      <c r="F1619" s="6">
        <f t="shared" si="121"/>
        <v>7284.4581464258681</v>
      </c>
      <c r="G1619" s="7">
        <f t="shared" si="122"/>
        <v>7844.8010807663186</v>
      </c>
      <c r="H1619" s="8">
        <f t="shared" si="123"/>
        <v>8405.1440151067709</v>
      </c>
      <c r="I1619" s="9">
        <f t="shared" si="124"/>
        <v>8965.4869494472223</v>
      </c>
    </row>
    <row r="1620" spans="1:9" x14ac:dyDescent="0.35">
      <c r="A1620" s="24" t="s">
        <v>4347</v>
      </c>
      <c r="B1620" s="25" t="s">
        <v>4349</v>
      </c>
      <c r="C1620" s="20">
        <v>45710</v>
      </c>
      <c r="D1620" s="11">
        <v>4411.1813045391009</v>
      </c>
      <c r="E1620" s="27">
        <f t="shared" si="125"/>
        <v>4910.5270282129268</v>
      </c>
      <c r="F1620" s="6">
        <f t="shared" si="121"/>
        <v>6383.6851366768051</v>
      </c>
      <c r="G1620" s="7">
        <f t="shared" si="122"/>
        <v>6874.7378394980969</v>
      </c>
      <c r="H1620" s="8">
        <f t="shared" si="123"/>
        <v>7365.7905423193897</v>
      </c>
      <c r="I1620" s="9">
        <f t="shared" si="124"/>
        <v>7856.8432451406834</v>
      </c>
    </row>
    <row r="1621" spans="1:9" x14ac:dyDescent="0.35">
      <c r="A1621" s="24"/>
      <c r="B1621" s="25"/>
      <c r="C1621" s="20">
        <v>45710</v>
      </c>
      <c r="D1621" s="11">
        <v>0</v>
      </c>
      <c r="E1621" s="27">
        <f t="shared" si="125"/>
        <v>0</v>
      </c>
      <c r="F1621" s="6">
        <f t="shared" si="121"/>
        <v>0</v>
      </c>
      <c r="G1621" s="7">
        <f t="shared" si="122"/>
        <v>0</v>
      </c>
      <c r="H1621" s="8">
        <f t="shared" si="123"/>
        <v>0</v>
      </c>
      <c r="I1621" s="9">
        <f t="shared" si="124"/>
        <v>0</v>
      </c>
    </row>
    <row r="1622" spans="1:9" x14ac:dyDescent="0.35">
      <c r="A1622" s="24" t="s">
        <v>4346</v>
      </c>
      <c r="B1622" s="25" t="s">
        <v>4351</v>
      </c>
      <c r="C1622" s="20">
        <v>45710</v>
      </c>
      <c r="D1622" s="11">
        <v>6426.3476646041408</v>
      </c>
      <c r="E1622" s="27">
        <f t="shared" si="125"/>
        <v>7153.8102202373302</v>
      </c>
      <c r="F1622" s="6">
        <f t="shared" si="121"/>
        <v>9299.9532863085296</v>
      </c>
      <c r="G1622" s="7">
        <f t="shared" si="122"/>
        <v>10015.334308332262</v>
      </c>
      <c r="H1622" s="8">
        <f t="shared" si="123"/>
        <v>10730.715330355995</v>
      </c>
      <c r="I1622" s="9">
        <f t="shared" si="124"/>
        <v>11446.096352379729</v>
      </c>
    </row>
    <row r="1623" spans="1:9" x14ac:dyDescent="0.35">
      <c r="A1623" s="24" t="s">
        <v>4350</v>
      </c>
      <c r="B1623" s="25" t="s">
        <v>4352</v>
      </c>
      <c r="C1623" s="20">
        <v>45710</v>
      </c>
      <c r="D1623" s="11">
        <v>5947.6254584128201</v>
      </c>
      <c r="E1623" s="27">
        <f t="shared" si="125"/>
        <v>6620.8966603051513</v>
      </c>
      <c r="F1623" s="6">
        <f t="shared" si="121"/>
        <v>8607.1656583966978</v>
      </c>
      <c r="G1623" s="7">
        <f t="shared" si="122"/>
        <v>9269.2553244272112</v>
      </c>
      <c r="H1623" s="8">
        <f t="shared" si="123"/>
        <v>9931.3449904577265</v>
      </c>
      <c r="I1623" s="9">
        <f t="shared" si="124"/>
        <v>10593.434656488243</v>
      </c>
    </row>
    <row r="1624" spans="1:9" x14ac:dyDescent="0.35">
      <c r="A1624" s="24"/>
      <c r="B1624" s="25"/>
      <c r="C1624" s="20">
        <v>45710</v>
      </c>
      <c r="D1624" s="11">
        <v>0</v>
      </c>
      <c r="E1624" s="27">
        <f t="shared" si="125"/>
        <v>0</v>
      </c>
      <c r="F1624" s="6">
        <f t="shared" si="121"/>
        <v>0</v>
      </c>
      <c r="G1624" s="7">
        <f t="shared" si="122"/>
        <v>0</v>
      </c>
      <c r="H1624" s="8">
        <f t="shared" si="123"/>
        <v>0</v>
      </c>
      <c r="I1624" s="9">
        <f t="shared" si="124"/>
        <v>0</v>
      </c>
    </row>
    <row r="1625" spans="1:9" x14ac:dyDescent="0.35">
      <c r="A1625" s="24" t="s">
        <v>4353</v>
      </c>
      <c r="B1625" s="25" t="s">
        <v>4354</v>
      </c>
      <c r="C1625" s="20">
        <v>45710</v>
      </c>
      <c r="D1625" s="11">
        <v>589.81735231965001</v>
      </c>
      <c r="E1625" s="27">
        <f t="shared" si="125"/>
        <v>656.58467660223448</v>
      </c>
      <c r="F1625" s="6">
        <f t="shared" si="121"/>
        <v>853.5600795829049</v>
      </c>
      <c r="G1625" s="7">
        <f t="shared" si="122"/>
        <v>919.21854724312823</v>
      </c>
      <c r="H1625" s="8">
        <f t="shared" si="123"/>
        <v>984.87701490335166</v>
      </c>
      <c r="I1625" s="9">
        <f t="shared" si="124"/>
        <v>1050.5354825635752</v>
      </c>
    </row>
    <row r="1626" spans="1:9" x14ac:dyDescent="0.35">
      <c r="A1626" s="24"/>
      <c r="B1626" s="25"/>
      <c r="C1626" s="20">
        <v>45710</v>
      </c>
      <c r="D1626" s="11">
        <v>0</v>
      </c>
      <c r="E1626" s="27">
        <f t="shared" si="125"/>
        <v>0</v>
      </c>
      <c r="F1626" s="6">
        <f t="shared" si="121"/>
        <v>0</v>
      </c>
      <c r="G1626" s="7">
        <f t="shared" si="122"/>
        <v>0</v>
      </c>
      <c r="H1626" s="8">
        <f t="shared" si="123"/>
        <v>0</v>
      </c>
      <c r="I1626" s="9">
        <f t="shared" si="124"/>
        <v>0</v>
      </c>
    </row>
    <row r="1627" spans="1:9" x14ac:dyDescent="0.35">
      <c r="A1627" s="24" t="s">
        <v>4355</v>
      </c>
      <c r="B1627" s="25" t="s">
        <v>4356</v>
      </c>
      <c r="C1627" s="20">
        <v>45710</v>
      </c>
      <c r="D1627" s="11">
        <v>1077.1249639304701</v>
      </c>
      <c r="E1627" s="27">
        <f t="shared" si="125"/>
        <v>1199.0555098473992</v>
      </c>
      <c r="F1627" s="6">
        <f t="shared" si="121"/>
        <v>1558.7721628016191</v>
      </c>
      <c r="G1627" s="7">
        <f t="shared" si="122"/>
        <v>1678.6777137863587</v>
      </c>
      <c r="H1627" s="8">
        <f t="shared" si="123"/>
        <v>1798.5832647710988</v>
      </c>
      <c r="I1627" s="9">
        <f t="shared" si="124"/>
        <v>1918.4888157558389</v>
      </c>
    </row>
    <row r="1628" spans="1:9" x14ac:dyDescent="0.35">
      <c r="A1628" s="24"/>
      <c r="B1628" s="25"/>
      <c r="C1628" s="20">
        <v>45710</v>
      </c>
      <c r="D1628" s="11">
        <v>0</v>
      </c>
      <c r="E1628" s="27">
        <f t="shared" si="125"/>
        <v>0</v>
      </c>
      <c r="F1628" s="6">
        <f t="shared" si="121"/>
        <v>0</v>
      </c>
      <c r="G1628" s="7">
        <f t="shared" si="122"/>
        <v>0</v>
      </c>
      <c r="H1628" s="8">
        <f t="shared" si="123"/>
        <v>0</v>
      </c>
      <c r="I1628" s="9">
        <f t="shared" si="124"/>
        <v>0</v>
      </c>
    </row>
    <row r="1629" spans="1:9" x14ac:dyDescent="0.35">
      <c r="A1629" s="24" t="s">
        <v>4357</v>
      </c>
      <c r="B1629" s="25" t="s">
        <v>4359</v>
      </c>
      <c r="C1629" s="20">
        <v>45710</v>
      </c>
      <c r="D1629" s="11">
        <v>1575.6794566408353</v>
      </c>
      <c r="E1629" s="27">
        <f t="shared" si="125"/>
        <v>1754.0463711325779</v>
      </c>
      <c r="F1629" s="6">
        <f t="shared" si="121"/>
        <v>2280.2602824723513</v>
      </c>
      <c r="G1629" s="7">
        <f t="shared" si="122"/>
        <v>2455.6649195856089</v>
      </c>
      <c r="H1629" s="8">
        <f t="shared" si="123"/>
        <v>2631.069556698867</v>
      </c>
      <c r="I1629" s="9">
        <f t="shared" si="124"/>
        <v>2806.4741938121247</v>
      </c>
    </row>
    <row r="1630" spans="1:9" x14ac:dyDescent="0.35">
      <c r="A1630" s="24" t="s">
        <v>4358</v>
      </c>
      <c r="B1630" s="25" t="s">
        <v>4360</v>
      </c>
      <c r="C1630" s="20">
        <v>45710</v>
      </c>
      <c r="D1630" s="11">
        <v>1652.6905432537503</v>
      </c>
      <c r="E1630" s="27">
        <f t="shared" si="125"/>
        <v>1839.7751127500749</v>
      </c>
      <c r="F1630" s="6">
        <f t="shared" si="121"/>
        <v>2391.7076465750974</v>
      </c>
      <c r="G1630" s="7">
        <f t="shared" si="122"/>
        <v>2575.6851578501046</v>
      </c>
      <c r="H1630" s="8">
        <f t="shared" si="123"/>
        <v>2759.6626691251122</v>
      </c>
      <c r="I1630" s="9">
        <f t="shared" si="124"/>
        <v>2943.6401804001198</v>
      </c>
    </row>
    <row r="1631" spans="1:9" x14ac:dyDescent="0.35">
      <c r="A1631" s="24"/>
      <c r="B1631" s="25"/>
      <c r="C1631" s="20">
        <v>45710</v>
      </c>
      <c r="D1631" s="11">
        <v>0</v>
      </c>
      <c r="E1631" s="27">
        <f t="shared" si="125"/>
        <v>0</v>
      </c>
      <c r="F1631" s="6">
        <f t="shared" si="121"/>
        <v>0</v>
      </c>
      <c r="G1631" s="7">
        <f t="shared" si="122"/>
        <v>0</v>
      </c>
      <c r="H1631" s="8">
        <f t="shared" si="123"/>
        <v>0</v>
      </c>
      <c r="I1631" s="9">
        <f t="shared" si="124"/>
        <v>0</v>
      </c>
    </row>
    <row r="1632" spans="1:9" x14ac:dyDescent="0.35">
      <c r="A1632" s="24" t="s">
        <v>4361</v>
      </c>
      <c r="B1632" s="25" t="s">
        <v>4362</v>
      </c>
      <c r="C1632" s="20">
        <v>45710</v>
      </c>
      <c r="D1632" s="11">
        <v>461.37968724393005</v>
      </c>
      <c r="E1632" s="27">
        <f t="shared" si="125"/>
        <v>513.60786783994286</v>
      </c>
      <c r="F1632" s="6">
        <f t="shared" si="121"/>
        <v>667.69022819192571</v>
      </c>
      <c r="G1632" s="7">
        <f t="shared" si="122"/>
        <v>719.05101497592</v>
      </c>
      <c r="H1632" s="8">
        <f t="shared" si="123"/>
        <v>770.41180175991428</v>
      </c>
      <c r="I1632" s="9">
        <f t="shared" si="124"/>
        <v>821.77258854390857</v>
      </c>
    </row>
    <row r="1633" spans="1:9" x14ac:dyDescent="0.35">
      <c r="A1633" s="24"/>
      <c r="B1633" s="25"/>
      <c r="C1633" s="20">
        <v>45710</v>
      </c>
      <c r="D1633" s="11">
        <v>0</v>
      </c>
      <c r="E1633" s="27">
        <f t="shared" si="125"/>
        <v>0</v>
      </c>
      <c r="F1633" s="6">
        <f t="shared" si="121"/>
        <v>0</v>
      </c>
      <c r="G1633" s="7">
        <f t="shared" si="122"/>
        <v>0</v>
      </c>
      <c r="H1633" s="8">
        <f t="shared" si="123"/>
        <v>0</v>
      </c>
      <c r="I1633" s="9">
        <f t="shared" si="124"/>
        <v>0</v>
      </c>
    </row>
    <row r="1634" spans="1:9" x14ac:dyDescent="0.35">
      <c r="A1634" s="24" t="s">
        <v>4363</v>
      </c>
      <c r="B1634" s="25" t="s">
        <v>4367</v>
      </c>
      <c r="C1634" s="20">
        <v>45710</v>
      </c>
      <c r="D1634" s="11">
        <v>904.90173121530017</v>
      </c>
      <c r="E1634" s="27">
        <f t="shared" si="125"/>
        <v>1007.3366071888722</v>
      </c>
      <c r="F1634" s="6">
        <f t="shared" si="121"/>
        <v>1309.5375893455339</v>
      </c>
      <c r="G1634" s="7">
        <f t="shared" si="122"/>
        <v>1410.2712500644211</v>
      </c>
      <c r="H1634" s="8">
        <f t="shared" si="123"/>
        <v>1511.0049107833083</v>
      </c>
      <c r="I1634" s="9">
        <f t="shared" si="124"/>
        <v>1611.7385715021956</v>
      </c>
    </row>
    <row r="1635" spans="1:9" x14ac:dyDescent="0.35">
      <c r="A1635" s="24" t="s">
        <v>4364</v>
      </c>
      <c r="B1635" s="25" t="s">
        <v>4368</v>
      </c>
      <c r="C1635" s="20">
        <v>45710</v>
      </c>
      <c r="D1635" s="11">
        <v>1122.9710288706001</v>
      </c>
      <c r="E1635" s="27">
        <f t="shared" si="125"/>
        <v>1250.091349338752</v>
      </c>
      <c r="F1635" s="6">
        <f t="shared" si="121"/>
        <v>1625.1187541403776</v>
      </c>
      <c r="G1635" s="7">
        <f t="shared" si="122"/>
        <v>1750.1278890742528</v>
      </c>
      <c r="H1635" s="8">
        <f t="shared" si="123"/>
        <v>1875.137024008128</v>
      </c>
      <c r="I1635" s="9">
        <f t="shared" si="124"/>
        <v>2000.1461589420032</v>
      </c>
    </row>
    <row r="1636" spans="1:9" x14ac:dyDescent="0.35">
      <c r="A1636" s="24" t="s">
        <v>4365</v>
      </c>
      <c r="B1636" s="25" t="s">
        <v>4369</v>
      </c>
      <c r="C1636" s="20">
        <v>45710</v>
      </c>
      <c r="D1636" s="11">
        <v>1893.5970193249204</v>
      </c>
      <c r="E1636" s="27">
        <f t="shared" si="125"/>
        <v>2107.9522019125011</v>
      </c>
      <c r="F1636" s="6">
        <f t="shared" si="121"/>
        <v>2740.3378624862517</v>
      </c>
      <c r="G1636" s="7">
        <f t="shared" si="122"/>
        <v>2951.1330826775015</v>
      </c>
      <c r="H1636" s="8">
        <f t="shared" si="123"/>
        <v>3161.9283028687514</v>
      </c>
      <c r="I1636" s="9">
        <f t="shared" si="124"/>
        <v>3372.7235230600018</v>
      </c>
    </row>
    <row r="1637" spans="1:9" x14ac:dyDescent="0.35">
      <c r="A1637" s="24" t="s">
        <v>4366</v>
      </c>
      <c r="B1637" s="25" t="s">
        <v>4370</v>
      </c>
      <c r="C1637" s="20">
        <v>45710</v>
      </c>
      <c r="D1637" s="11">
        <v>3357.9237676748407</v>
      </c>
      <c r="E1637" s="27">
        <f t="shared" si="125"/>
        <v>3738.0407381756331</v>
      </c>
      <c r="F1637" s="6">
        <f t="shared" si="121"/>
        <v>4859.4529596283228</v>
      </c>
      <c r="G1637" s="7">
        <f t="shared" si="122"/>
        <v>5233.257033445886</v>
      </c>
      <c r="H1637" s="8">
        <f t="shared" si="123"/>
        <v>5607.0611072634492</v>
      </c>
      <c r="I1637" s="9">
        <f t="shared" si="124"/>
        <v>5980.8651810810134</v>
      </c>
    </row>
    <row r="1638" spans="1:9" x14ac:dyDescent="0.35">
      <c r="A1638" s="24"/>
      <c r="B1638" s="25"/>
      <c r="C1638" s="20">
        <v>45710</v>
      </c>
      <c r="D1638" s="11">
        <v>0</v>
      </c>
      <c r="E1638" s="27">
        <f t="shared" si="125"/>
        <v>0</v>
      </c>
      <c r="F1638" s="6">
        <f t="shared" si="121"/>
        <v>0</v>
      </c>
      <c r="G1638" s="7">
        <f t="shared" si="122"/>
        <v>0</v>
      </c>
      <c r="H1638" s="8">
        <f t="shared" si="123"/>
        <v>0</v>
      </c>
      <c r="I1638" s="9">
        <f t="shared" si="124"/>
        <v>0</v>
      </c>
    </row>
    <row r="1639" spans="1:9" x14ac:dyDescent="0.35">
      <c r="A1639" s="24" t="s">
        <v>4371</v>
      </c>
      <c r="B1639" s="25" t="s">
        <v>4375</v>
      </c>
      <c r="C1639" s="20">
        <v>45710</v>
      </c>
      <c r="D1639" s="11">
        <v>2194.4296252242007</v>
      </c>
      <c r="E1639" s="27">
        <f t="shared" si="125"/>
        <v>2442.83905879958</v>
      </c>
      <c r="F1639" s="6">
        <f t="shared" si="121"/>
        <v>3175.6907764394541</v>
      </c>
      <c r="G1639" s="7">
        <f t="shared" si="122"/>
        <v>3419.9746823194118</v>
      </c>
      <c r="H1639" s="8">
        <f t="shared" si="123"/>
        <v>3664.25858819937</v>
      </c>
      <c r="I1639" s="9">
        <f t="shared" si="124"/>
        <v>3908.5424940793282</v>
      </c>
    </row>
    <row r="1640" spans="1:9" x14ac:dyDescent="0.35">
      <c r="A1640" s="24" t="s">
        <v>4372</v>
      </c>
      <c r="B1640" s="25" t="s">
        <v>4376</v>
      </c>
      <c r="C1640" s="20">
        <v>45710</v>
      </c>
      <c r="D1640" s="11">
        <v>2194.4296252242007</v>
      </c>
      <c r="E1640" s="27">
        <f t="shared" si="125"/>
        <v>2442.83905879958</v>
      </c>
      <c r="F1640" s="6">
        <f t="shared" si="121"/>
        <v>3175.6907764394541</v>
      </c>
      <c r="G1640" s="7">
        <f t="shared" si="122"/>
        <v>3419.9746823194118</v>
      </c>
      <c r="H1640" s="8">
        <f t="shared" si="123"/>
        <v>3664.25858819937</v>
      </c>
      <c r="I1640" s="9">
        <f t="shared" si="124"/>
        <v>3908.5424940793282</v>
      </c>
    </row>
    <row r="1641" spans="1:9" x14ac:dyDescent="0.35">
      <c r="A1641" s="24" t="s">
        <v>4373</v>
      </c>
      <c r="B1641" s="25" t="s">
        <v>4377</v>
      </c>
      <c r="C1641" s="20">
        <v>45710</v>
      </c>
      <c r="D1641" s="11">
        <v>2652.2034421919402</v>
      </c>
      <c r="E1641" s="27">
        <f t="shared" si="125"/>
        <v>2952.4328718480679</v>
      </c>
      <c r="F1641" s="6">
        <f t="shared" si="121"/>
        <v>3838.1627334024884</v>
      </c>
      <c r="G1641" s="7">
        <f t="shared" si="122"/>
        <v>4133.4060205872947</v>
      </c>
      <c r="H1641" s="8">
        <f t="shared" si="123"/>
        <v>4428.6493077721016</v>
      </c>
      <c r="I1641" s="9">
        <f t="shared" si="124"/>
        <v>4723.8925949569084</v>
      </c>
    </row>
    <row r="1642" spans="1:9" x14ac:dyDescent="0.35">
      <c r="A1642" s="24" t="s">
        <v>4374</v>
      </c>
      <c r="B1642" s="25" t="s">
        <v>4378</v>
      </c>
      <c r="C1642" s="20">
        <v>45710</v>
      </c>
      <c r="D1642" s="11">
        <v>2652.2034421919402</v>
      </c>
      <c r="E1642" s="27">
        <f t="shared" si="125"/>
        <v>2952.4328718480679</v>
      </c>
      <c r="F1642" s="6">
        <f t="shared" si="121"/>
        <v>3838.1627334024884</v>
      </c>
      <c r="G1642" s="7">
        <f t="shared" si="122"/>
        <v>4133.4060205872947</v>
      </c>
      <c r="H1642" s="8">
        <f t="shared" si="123"/>
        <v>4428.6493077721016</v>
      </c>
      <c r="I1642" s="9">
        <f t="shared" si="124"/>
        <v>4723.8925949569084</v>
      </c>
    </row>
    <row r="1643" spans="1:9" x14ac:dyDescent="0.35">
      <c r="A1643" s="24"/>
      <c r="B1643" s="25"/>
      <c r="C1643" s="20">
        <v>45710</v>
      </c>
      <c r="D1643" s="11">
        <v>0</v>
      </c>
      <c r="E1643" s="27">
        <f t="shared" si="125"/>
        <v>0</v>
      </c>
      <c r="F1643" s="6">
        <f t="shared" si="121"/>
        <v>0</v>
      </c>
      <c r="G1643" s="7">
        <f t="shared" si="122"/>
        <v>0</v>
      </c>
      <c r="H1643" s="8">
        <f t="shared" si="123"/>
        <v>0</v>
      </c>
      <c r="I1643" s="9">
        <f t="shared" si="124"/>
        <v>0</v>
      </c>
    </row>
    <row r="1644" spans="1:9" x14ac:dyDescent="0.35">
      <c r="A1644" s="24" t="s">
        <v>4379</v>
      </c>
      <c r="B1644" s="25" t="s">
        <v>4383</v>
      </c>
      <c r="C1644" s="20">
        <v>45710</v>
      </c>
      <c r="D1644" s="11">
        <v>924.30474746337018</v>
      </c>
      <c r="E1644" s="27">
        <f t="shared" si="125"/>
        <v>1028.9360448762236</v>
      </c>
      <c r="F1644" s="6">
        <f t="shared" si="121"/>
        <v>1337.6168583390906</v>
      </c>
      <c r="G1644" s="7">
        <f t="shared" si="122"/>
        <v>1440.5104628267129</v>
      </c>
      <c r="H1644" s="8">
        <f t="shared" si="123"/>
        <v>1543.4040673143354</v>
      </c>
      <c r="I1644" s="9">
        <f t="shared" si="124"/>
        <v>1646.2976718019579</v>
      </c>
    </row>
    <row r="1645" spans="1:9" x14ac:dyDescent="0.35">
      <c r="A1645" s="24" t="s">
        <v>4380</v>
      </c>
      <c r="B1645" s="25" t="s">
        <v>4384</v>
      </c>
      <c r="C1645" s="20">
        <v>45710</v>
      </c>
      <c r="D1645" s="11">
        <v>1140.3994018721851</v>
      </c>
      <c r="E1645" s="27">
        <f t="shared" si="125"/>
        <v>1269.4926141641165</v>
      </c>
      <c r="F1645" s="6">
        <f t="shared" si="121"/>
        <v>1650.3403984133515</v>
      </c>
      <c r="G1645" s="7">
        <f t="shared" si="122"/>
        <v>1777.289659829763</v>
      </c>
      <c r="H1645" s="8">
        <f t="shared" si="123"/>
        <v>1904.2389212461749</v>
      </c>
      <c r="I1645" s="9">
        <f t="shared" si="124"/>
        <v>2031.1881826625865</v>
      </c>
    </row>
    <row r="1646" spans="1:9" x14ac:dyDescent="0.35">
      <c r="A1646" s="24" t="s">
        <v>4381</v>
      </c>
      <c r="B1646" s="25" t="s">
        <v>4385</v>
      </c>
      <c r="C1646" s="20">
        <v>45710</v>
      </c>
      <c r="D1646" s="11">
        <v>2233.0639496119502</v>
      </c>
      <c r="E1646" s="27">
        <f t="shared" si="125"/>
        <v>2485.8467887080228</v>
      </c>
      <c r="F1646" s="6">
        <f t="shared" si="121"/>
        <v>3231.60082532043</v>
      </c>
      <c r="G1646" s="7">
        <f t="shared" si="122"/>
        <v>3480.1855041912318</v>
      </c>
      <c r="H1646" s="8">
        <f t="shared" si="123"/>
        <v>3728.7701830620344</v>
      </c>
      <c r="I1646" s="9">
        <f t="shared" si="124"/>
        <v>3977.3548619328367</v>
      </c>
    </row>
    <row r="1647" spans="1:9" x14ac:dyDescent="0.35">
      <c r="A1647" s="24" t="s">
        <v>4382</v>
      </c>
      <c r="B1647" s="25" t="s">
        <v>4386</v>
      </c>
      <c r="C1647" s="20">
        <v>45710</v>
      </c>
      <c r="D1647" s="11">
        <v>3960.9626443405218</v>
      </c>
      <c r="E1647" s="27">
        <f t="shared" si="125"/>
        <v>4409.3436156798689</v>
      </c>
      <c r="F1647" s="6">
        <f t="shared" si="121"/>
        <v>5732.1467003838297</v>
      </c>
      <c r="G1647" s="7">
        <f t="shared" si="122"/>
        <v>6173.0810619518161</v>
      </c>
      <c r="H1647" s="8">
        <f t="shared" si="123"/>
        <v>6614.0154235198033</v>
      </c>
      <c r="I1647" s="9">
        <f t="shared" si="124"/>
        <v>7054.9497850877906</v>
      </c>
    </row>
    <row r="1648" spans="1:9" x14ac:dyDescent="0.35">
      <c r="A1648" s="24"/>
      <c r="B1648" s="25"/>
      <c r="C1648" s="20">
        <v>45710</v>
      </c>
      <c r="D1648" s="11">
        <v>0</v>
      </c>
      <c r="E1648" s="27">
        <f t="shared" si="125"/>
        <v>0</v>
      </c>
      <c r="F1648" s="6">
        <f t="shared" si="121"/>
        <v>0</v>
      </c>
      <c r="G1648" s="7">
        <f t="shared" si="122"/>
        <v>0</v>
      </c>
      <c r="H1648" s="8">
        <f t="shared" si="123"/>
        <v>0</v>
      </c>
      <c r="I1648" s="9">
        <f t="shared" si="124"/>
        <v>0</v>
      </c>
    </row>
    <row r="1649" spans="1:9" x14ac:dyDescent="0.35">
      <c r="A1649" s="24" t="s">
        <v>4387</v>
      </c>
      <c r="B1649" s="25" t="s">
        <v>4391</v>
      </c>
      <c r="C1649" s="20">
        <v>45710</v>
      </c>
      <c r="D1649" s="11">
        <v>1774.2598839938703</v>
      </c>
      <c r="E1649" s="27">
        <f t="shared" si="125"/>
        <v>1975.1061028619763</v>
      </c>
      <c r="F1649" s="6">
        <f t="shared" si="121"/>
        <v>2567.6379337205694</v>
      </c>
      <c r="G1649" s="7">
        <f t="shared" si="122"/>
        <v>2765.1485440067668</v>
      </c>
      <c r="H1649" s="8">
        <f t="shared" si="123"/>
        <v>2962.6591542929646</v>
      </c>
      <c r="I1649" s="9">
        <f t="shared" si="124"/>
        <v>3160.1697645791623</v>
      </c>
    </row>
    <row r="1650" spans="1:9" x14ac:dyDescent="0.35">
      <c r="A1650" s="24" t="s">
        <v>4388</v>
      </c>
      <c r="B1650" s="25" t="s">
        <v>4392</v>
      </c>
      <c r="C1650" s="20">
        <v>45710</v>
      </c>
      <c r="D1650" s="11">
        <v>1774.2598839938703</v>
      </c>
      <c r="E1650" s="27">
        <f t="shared" si="125"/>
        <v>1975.1061028619763</v>
      </c>
      <c r="F1650" s="6">
        <f t="shared" si="121"/>
        <v>2567.6379337205694</v>
      </c>
      <c r="G1650" s="7">
        <f t="shared" si="122"/>
        <v>2765.1485440067668</v>
      </c>
      <c r="H1650" s="8">
        <f t="shared" si="123"/>
        <v>2962.6591542929646</v>
      </c>
      <c r="I1650" s="9">
        <f t="shared" si="124"/>
        <v>3160.1697645791623</v>
      </c>
    </row>
    <row r="1651" spans="1:9" x14ac:dyDescent="0.35">
      <c r="A1651" s="24" t="s">
        <v>4389</v>
      </c>
      <c r="B1651" s="25" t="s">
        <v>4393</v>
      </c>
      <c r="C1651" s="20">
        <v>45710</v>
      </c>
      <c r="D1651" s="11">
        <v>3126.9763618902903</v>
      </c>
      <c r="E1651" s="27">
        <f t="shared" si="125"/>
        <v>3480.9500860562712</v>
      </c>
      <c r="F1651" s="6">
        <f t="shared" si="121"/>
        <v>4525.2351118731531</v>
      </c>
      <c r="G1651" s="7">
        <f t="shared" si="122"/>
        <v>4873.3301204787795</v>
      </c>
      <c r="H1651" s="8">
        <f t="shared" si="123"/>
        <v>5221.4251290844068</v>
      </c>
      <c r="I1651" s="9">
        <f t="shared" si="124"/>
        <v>5569.5201376900341</v>
      </c>
    </row>
    <row r="1652" spans="1:9" x14ac:dyDescent="0.35">
      <c r="A1652" s="24" t="s">
        <v>4390</v>
      </c>
      <c r="B1652" s="25" t="s">
        <v>4394</v>
      </c>
      <c r="C1652" s="20">
        <v>45710</v>
      </c>
      <c r="D1652" s="11">
        <v>3126.9763618902903</v>
      </c>
      <c r="E1652" s="27">
        <f t="shared" si="125"/>
        <v>3480.9500860562712</v>
      </c>
      <c r="F1652" s="6">
        <f t="shared" ref="F1652:F1721" si="126">E1652*1.3</f>
        <v>4525.2351118731531</v>
      </c>
      <c r="G1652" s="7">
        <f t="shared" ref="G1652:G1721" si="127">E1652*1.4</f>
        <v>4873.3301204787795</v>
      </c>
      <c r="H1652" s="8">
        <f t="shared" ref="H1652:H1721" si="128">E1652*1.5</f>
        <v>5221.4251290844068</v>
      </c>
      <c r="I1652" s="9">
        <f t="shared" ref="I1652:I1721" si="129">E1652*1.6</f>
        <v>5569.5201376900341</v>
      </c>
    </row>
    <row r="1653" spans="1:9" x14ac:dyDescent="0.35">
      <c r="A1653" s="24"/>
      <c r="B1653" s="25"/>
      <c r="C1653" s="20">
        <v>45710</v>
      </c>
      <c r="D1653" s="11">
        <v>0</v>
      </c>
      <c r="E1653" s="27">
        <f t="shared" si="125"/>
        <v>0</v>
      </c>
      <c r="F1653" s="6">
        <f t="shared" si="126"/>
        <v>0</v>
      </c>
      <c r="G1653" s="7">
        <f t="shared" si="127"/>
        <v>0</v>
      </c>
      <c r="H1653" s="8">
        <f t="shared" si="128"/>
        <v>0</v>
      </c>
      <c r="I1653" s="9">
        <f t="shared" si="129"/>
        <v>0</v>
      </c>
    </row>
    <row r="1654" spans="1:9" x14ac:dyDescent="0.35">
      <c r="A1654" s="24" t="s">
        <v>4395</v>
      </c>
      <c r="B1654" s="25" t="s">
        <v>4399</v>
      </c>
      <c r="C1654" s="20">
        <v>45710</v>
      </c>
      <c r="D1654" s="11">
        <v>904.90173121530017</v>
      </c>
      <c r="E1654" s="27">
        <f t="shared" si="125"/>
        <v>1007.3366071888722</v>
      </c>
      <c r="F1654" s="6">
        <f t="shared" si="126"/>
        <v>1309.5375893455339</v>
      </c>
      <c r="G1654" s="7">
        <f t="shared" si="127"/>
        <v>1410.2712500644211</v>
      </c>
      <c r="H1654" s="8">
        <f t="shared" si="128"/>
        <v>1511.0049107833083</v>
      </c>
      <c r="I1654" s="9">
        <f t="shared" si="129"/>
        <v>1611.7385715021956</v>
      </c>
    </row>
    <row r="1655" spans="1:9" x14ac:dyDescent="0.35">
      <c r="A1655" s="24" t="s">
        <v>4396</v>
      </c>
      <c r="B1655" s="25" t="s">
        <v>4400</v>
      </c>
      <c r="C1655" s="20">
        <v>45710</v>
      </c>
      <c r="D1655" s="11">
        <v>1286.0937318411002</v>
      </c>
      <c r="E1655" s="27">
        <f t="shared" si="125"/>
        <v>1431.6795422855128</v>
      </c>
      <c r="F1655" s="6">
        <f t="shared" si="126"/>
        <v>1861.1834049711667</v>
      </c>
      <c r="G1655" s="7">
        <f t="shared" si="127"/>
        <v>2004.3513591997178</v>
      </c>
      <c r="H1655" s="8">
        <f t="shared" si="128"/>
        <v>2147.519313428269</v>
      </c>
      <c r="I1655" s="9">
        <f t="shared" si="129"/>
        <v>2290.6872676568205</v>
      </c>
    </row>
    <row r="1656" spans="1:9" x14ac:dyDescent="0.35">
      <c r="A1656" s="24" t="s">
        <v>4397</v>
      </c>
      <c r="B1656" s="25" t="s">
        <v>4401</v>
      </c>
      <c r="C1656" s="20">
        <v>45710</v>
      </c>
      <c r="D1656" s="11">
        <v>1992.8443059743402</v>
      </c>
      <c r="E1656" s="27">
        <f t="shared" si="125"/>
        <v>2218.4342814106358</v>
      </c>
      <c r="F1656" s="6">
        <f t="shared" si="126"/>
        <v>2883.9645658338268</v>
      </c>
      <c r="G1656" s="7">
        <f t="shared" si="127"/>
        <v>3105.80799397489</v>
      </c>
      <c r="H1656" s="8">
        <f t="shared" si="128"/>
        <v>3327.6514221159537</v>
      </c>
      <c r="I1656" s="9">
        <f t="shared" si="129"/>
        <v>3549.4948502570173</v>
      </c>
    </row>
    <row r="1657" spans="1:9" x14ac:dyDescent="0.35">
      <c r="A1657" s="24" t="s">
        <v>4398</v>
      </c>
      <c r="B1657" s="25" t="s">
        <v>4402</v>
      </c>
      <c r="C1657" s="20">
        <v>45710</v>
      </c>
      <c r="D1657" s="11">
        <v>4203.2427852788105</v>
      </c>
      <c r="E1657" s="27">
        <f t="shared" si="125"/>
        <v>4679.0498685723724</v>
      </c>
      <c r="F1657" s="6">
        <f t="shared" si="126"/>
        <v>6082.7648291440846</v>
      </c>
      <c r="G1657" s="7">
        <f t="shared" si="127"/>
        <v>6550.6698160013211</v>
      </c>
      <c r="H1657" s="8">
        <f t="shared" si="128"/>
        <v>7018.5748028585585</v>
      </c>
      <c r="I1657" s="9">
        <f t="shared" si="129"/>
        <v>7486.479789715796</v>
      </c>
    </row>
    <row r="1658" spans="1:9" x14ac:dyDescent="0.35">
      <c r="A1658" s="24"/>
      <c r="B1658" s="25"/>
      <c r="C1658" s="20">
        <v>45710</v>
      </c>
      <c r="D1658" s="11">
        <v>0</v>
      </c>
      <c r="E1658" s="27">
        <f t="shared" si="125"/>
        <v>0</v>
      </c>
      <c r="F1658" s="6">
        <f t="shared" si="126"/>
        <v>0</v>
      </c>
      <c r="G1658" s="7">
        <f t="shared" si="127"/>
        <v>0</v>
      </c>
      <c r="H1658" s="8">
        <f t="shared" si="128"/>
        <v>0</v>
      </c>
      <c r="I1658" s="9">
        <f t="shared" si="129"/>
        <v>0</v>
      </c>
    </row>
    <row r="1659" spans="1:9" x14ac:dyDescent="0.35">
      <c r="A1659" s="24" t="s">
        <v>4403</v>
      </c>
      <c r="B1659" s="25" t="s">
        <v>4409</v>
      </c>
      <c r="C1659" s="20">
        <v>45710</v>
      </c>
      <c r="D1659" s="11">
        <v>2303.1208578350702</v>
      </c>
      <c r="E1659" s="27">
        <f t="shared" si="125"/>
        <v>2563.8341389420002</v>
      </c>
      <c r="F1659" s="6">
        <f t="shared" si="126"/>
        <v>3332.9843806246004</v>
      </c>
      <c r="G1659" s="7">
        <f t="shared" si="127"/>
        <v>3589.3677945188001</v>
      </c>
      <c r="H1659" s="8">
        <f t="shared" si="128"/>
        <v>3845.7512084130003</v>
      </c>
      <c r="I1659" s="9">
        <f t="shared" si="129"/>
        <v>4102.1346223072005</v>
      </c>
    </row>
    <row r="1660" spans="1:9" x14ac:dyDescent="0.35">
      <c r="A1660" s="24" t="s">
        <v>4407</v>
      </c>
      <c r="B1660" s="25" t="s">
        <v>4410</v>
      </c>
      <c r="C1660" s="20">
        <v>45710</v>
      </c>
      <c r="D1660" s="11">
        <v>2303.1208578350702</v>
      </c>
      <c r="E1660" s="27">
        <f t="shared" si="125"/>
        <v>2563.8341389420002</v>
      </c>
      <c r="F1660" s="6">
        <f t="shared" si="126"/>
        <v>3332.9843806246004</v>
      </c>
      <c r="G1660" s="7">
        <f t="shared" si="127"/>
        <v>3589.3677945188001</v>
      </c>
      <c r="H1660" s="8">
        <f t="shared" si="128"/>
        <v>3845.7512084130003</v>
      </c>
      <c r="I1660" s="9">
        <f t="shared" si="129"/>
        <v>4102.1346223072005</v>
      </c>
    </row>
    <row r="1661" spans="1:9" x14ac:dyDescent="0.35">
      <c r="A1661" s="24" t="s">
        <v>4404</v>
      </c>
      <c r="B1661" s="25" t="s">
        <v>4411</v>
      </c>
      <c r="C1661" s="20">
        <v>45710</v>
      </c>
      <c r="D1661" s="11">
        <v>2986.3474211188804</v>
      </c>
      <c r="E1661" s="27">
        <f t="shared" si="125"/>
        <v>3324.4019491895374</v>
      </c>
      <c r="F1661" s="6">
        <f t="shared" si="126"/>
        <v>4321.7225339463985</v>
      </c>
      <c r="G1661" s="7">
        <f t="shared" si="127"/>
        <v>4654.1627288653517</v>
      </c>
      <c r="H1661" s="8">
        <f t="shared" si="128"/>
        <v>4986.6029237843059</v>
      </c>
      <c r="I1661" s="9">
        <f t="shared" si="129"/>
        <v>5319.04311870326</v>
      </c>
    </row>
    <row r="1662" spans="1:9" x14ac:dyDescent="0.35">
      <c r="A1662" s="24" t="s">
        <v>4408</v>
      </c>
      <c r="B1662" s="25" t="s">
        <v>4412</v>
      </c>
      <c r="C1662" s="20">
        <v>45710</v>
      </c>
      <c r="D1662" s="11">
        <v>2986.3474211188804</v>
      </c>
      <c r="E1662" s="27">
        <f t="shared" si="125"/>
        <v>3324.4019491895374</v>
      </c>
      <c r="F1662" s="6">
        <f t="shared" si="126"/>
        <v>4321.7225339463985</v>
      </c>
      <c r="G1662" s="7">
        <f t="shared" si="127"/>
        <v>4654.1627288653517</v>
      </c>
      <c r="H1662" s="8">
        <f t="shared" si="128"/>
        <v>4986.6029237843059</v>
      </c>
      <c r="I1662" s="9">
        <f t="shared" si="129"/>
        <v>5319.04311870326</v>
      </c>
    </row>
    <row r="1663" spans="1:9" x14ac:dyDescent="0.35">
      <c r="A1663" s="24"/>
      <c r="B1663" s="25"/>
      <c r="C1663" s="20">
        <v>45710</v>
      </c>
      <c r="D1663" s="11">
        <v>0</v>
      </c>
      <c r="E1663" s="27">
        <f t="shared" si="125"/>
        <v>0</v>
      </c>
      <c r="F1663" s="6">
        <f t="shared" si="126"/>
        <v>0</v>
      </c>
      <c r="G1663" s="7">
        <f t="shared" si="127"/>
        <v>0</v>
      </c>
      <c r="H1663" s="8">
        <f t="shared" si="128"/>
        <v>0</v>
      </c>
      <c r="I1663" s="9">
        <f t="shared" si="129"/>
        <v>0</v>
      </c>
    </row>
    <row r="1664" spans="1:9" x14ac:dyDescent="0.35">
      <c r="A1664" s="24" t="s">
        <v>4413</v>
      </c>
      <c r="B1664" s="25" t="s">
        <v>4417</v>
      </c>
      <c r="C1664" s="20">
        <v>45710</v>
      </c>
      <c r="D1664" s="11">
        <v>990.41236919352002</v>
      </c>
      <c r="E1664" s="27">
        <f t="shared" si="125"/>
        <v>1102.5270493862265</v>
      </c>
      <c r="F1664" s="6">
        <f t="shared" si="126"/>
        <v>1433.2851642020946</v>
      </c>
      <c r="G1664" s="7">
        <f t="shared" si="127"/>
        <v>1543.537869140717</v>
      </c>
      <c r="H1664" s="8">
        <f t="shared" si="128"/>
        <v>1653.7905740793399</v>
      </c>
      <c r="I1664" s="9">
        <f t="shared" si="129"/>
        <v>1764.0432790179625</v>
      </c>
    </row>
    <row r="1665" spans="1:9" x14ac:dyDescent="0.35">
      <c r="A1665" s="24" t="s">
        <v>4414</v>
      </c>
      <c r="B1665" s="25" t="s">
        <v>4418</v>
      </c>
      <c r="C1665" s="20">
        <v>45710</v>
      </c>
      <c r="D1665" s="11">
        <v>1463.9833321331403</v>
      </c>
      <c r="E1665" s="27">
        <f t="shared" si="125"/>
        <v>1629.7062453306119</v>
      </c>
      <c r="F1665" s="6">
        <f t="shared" si="126"/>
        <v>2118.6181189297954</v>
      </c>
      <c r="G1665" s="7">
        <f t="shared" si="127"/>
        <v>2281.5887434628567</v>
      </c>
      <c r="H1665" s="8">
        <f t="shared" si="128"/>
        <v>2444.5593679959179</v>
      </c>
      <c r="I1665" s="9">
        <f t="shared" si="129"/>
        <v>2607.5299925289792</v>
      </c>
    </row>
    <row r="1666" spans="1:9" x14ac:dyDescent="0.35">
      <c r="A1666" s="24" t="s">
        <v>4415</v>
      </c>
      <c r="B1666" s="25" t="s">
        <v>4419</v>
      </c>
      <c r="C1666" s="20">
        <v>45710</v>
      </c>
      <c r="D1666" s="11">
        <v>2352.3152308888057</v>
      </c>
      <c r="E1666" s="27">
        <f t="shared" si="125"/>
        <v>2618.5973150254185</v>
      </c>
      <c r="F1666" s="6">
        <f t="shared" si="126"/>
        <v>3404.1765095330443</v>
      </c>
      <c r="G1666" s="7">
        <f t="shared" si="127"/>
        <v>3666.0362410355856</v>
      </c>
      <c r="H1666" s="8">
        <f t="shared" si="128"/>
        <v>3927.8959725381278</v>
      </c>
      <c r="I1666" s="9">
        <f t="shared" si="129"/>
        <v>4189.75570404067</v>
      </c>
    </row>
    <row r="1667" spans="1:9" x14ac:dyDescent="0.35">
      <c r="A1667" s="24" t="s">
        <v>4416</v>
      </c>
      <c r="B1667" s="25" t="s">
        <v>4420</v>
      </c>
      <c r="C1667" s="20">
        <v>45710</v>
      </c>
      <c r="D1667" s="11">
        <v>4964.7682459884609</v>
      </c>
      <c r="E1667" s="27">
        <f t="shared" si="125"/>
        <v>5526.7800114343545</v>
      </c>
      <c r="F1667" s="6">
        <f t="shared" si="126"/>
        <v>7184.8140148646607</v>
      </c>
      <c r="G1667" s="7">
        <f t="shared" si="127"/>
        <v>7737.4920160080956</v>
      </c>
      <c r="H1667" s="8">
        <f t="shared" si="128"/>
        <v>8290.1700171515313</v>
      </c>
      <c r="I1667" s="9">
        <f t="shared" si="129"/>
        <v>8842.8480182949679</v>
      </c>
    </row>
    <row r="1668" spans="1:9" x14ac:dyDescent="0.35">
      <c r="A1668" s="24"/>
      <c r="B1668" s="25"/>
      <c r="C1668" s="20">
        <v>45710</v>
      </c>
      <c r="D1668" s="11">
        <v>0</v>
      </c>
      <c r="E1668" s="27">
        <f t="shared" si="125"/>
        <v>0</v>
      </c>
      <c r="F1668" s="6">
        <f t="shared" si="126"/>
        <v>0</v>
      </c>
      <c r="G1668" s="7">
        <f t="shared" si="127"/>
        <v>0</v>
      </c>
      <c r="H1668" s="8">
        <f t="shared" si="128"/>
        <v>0</v>
      </c>
      <c r="I1668" s="9">
        <f t="shared" si="129"/>
        <v>0</v>
      </c>
    </row>
    <row r="1669" spans="1:9" x14ac:dyDescent="0.35">
      <c r="A1669" s="24" t="s">
        <v>4405</v>
      </c>
      <c r="B1669" s="25" t="s">
        <v>4423</v>
      </c>
      <c r="C1669" s="20">
        <v>45710</v>
      </c>
      <c r="D1669" s="11">
        <v>2591.0753556051004</v>
      </c>
      <c r="E1669" s="27">
        <f t="shared" si="125"/>
        <v>2884.3850858595974</v>
      </c>
      <c r="F1669" s="6">
        <f t="shared" si="126"/>
        <v>3749.7006116174766</v>
      </c>
      <c r="G1669" s="7">
        <f t="shared" si="127"/>
        <v>4038.1391202034361</v>
      </c>
      <c r="H1669" s="8">
        <f t="shared" si="128"/>
        <v>4326.5776287893959</v>
      </c>
      <c r="I1669" s="9">
        <f t="shared" si="129"/>
        <v>4615.0161373753563</v>
      </c>
    </row>
    <row r="1670" spans="1:9" x14ac:dyDescent="0.35">
      <c r="A1670" s="24" t="s">
        <v>4406</v>
      </c>
      <c r="B1670" s="25" t="s">
        <v>4424</v>
      </c>
      <c r="C1670" s="20">
        <v>45710</v>
      </c>
      <c r="D1670" s="11">
        <v>2715.4778801336552</v>
      </c>
      <c r="E1670" s="27">
        <f t="shared" si="125"/>
        <v>3022.8699761647849</v>
      </c>
      <c r="F1670" s="6">
        <f t="shared" si="126"/>
        <v>3929.7309690142206</v>
      </c>
      <c r="G1670" s="7">
        <f t="shared" si="127"/>
        <v>4232.0179666306985</v>
      </c>
      <c r="H1670" s="8">
        <f t="shared" si="128"/>
        <v>4534.3049642471778</v>
      </c>
      <c r="I1670" s="9">
        <f t="shared" si="129"/>
        <v>4836.5919618636563</v>
      </c>
    </row>
    <row r="1671" spans="1:9" x14ac:dyDescent="0.35">
      <c r="A1671" s="24" t="s">
        <v>4421</v>
      </c>
      <c r="B1671" s="25" t="s">
        <v>4425</v>
      </c>
      <c r="C1671" s="20">
        <v>45710</v>
      </c>
      <c r="D1671" s="11">
        <v>3511.2591084671103</v>
      </c>
      <c r="E1671" s="27">
        <f t="shared" si="125"/>
        <v>3908.7336395455868</v>
      </c>
      <c r="F1671" s="6">
        <f t="shared" si="126"/>
        <v>5081.3537314092628</v>
      </c>
      <c r="G1671" s="7">
        <f t="shared" si="127"/>
        <v>5472.2270953638208</v>
      </c>
      <c r="H1671" s="8">
        <f t="shared" si="128"/>
        <v>5863.1004593183807</v>
      </c>
      <c r="I1671" s="9">
        <f t="shared" si="129"/>
        <v>6253.9738232729396</v>
      </c>
    </row>
    <row r="1672" spans="1:9" x14ac:dyDescent="0.35">
      <c r="A1672" s="24" t="s">
        <v>4422</v>
      </c>
      <c r="B1672" s="25" t="s">
        <v>4426</v>
      </c>
      <c r="C1672" s="20">
        <v>45710</v>
      </c>
      <c r="D1672" s="11">
        <v>3524.8240490299208</v>
      </c>
      <c r="E1672" s="27">
        <f t="shared" si="125"/>
        <v>3923.8341313801079</v>
      </c>
      <c r="F1672" s="6">
        <f t="shared" si="126"/>
        <v>5100.9843707941409</v>
      </c>
      <c r="G1672" s="7">
        <f t="shared" si="127"/>
        <v>5493.3677839321508</v>
      </c>
      <c r="H1672" s="8">
        <f t="shared" si="128"/>
        <v>5885.7511970701617</v>
      </c>
      <c r="I1672" s="9">
        <f t="shared" si="129"/>
        <v>6278.1346102081734</v>
      </c>
    </row>
    <row r="1673" spans="1:9" x14ac:dyDescent="0.35">
      <c r="A1673" s="24"/>
      <c r="B1673" s="25"/>
      <c r="C1673" s="20">
        <v>45710</v>
      </c>
      <c r="D1673" s="11">
        <v>0</v>
      </c>
      <c r="E1673" s="27">
        <f t="shared" si="125"/>
        <v>0</v>
      </c>
      <c r="F1673" s="6">
        <f t="shared" si="126"/>
        <v>0</v>
      </c>
      <c r="G1673" s="7">
        <f t="shared" si="127"/>
        <v>0</v>
      </c>
      <c r="H1673" s="8">
        <f t="shared" si="128"/>
        <v>0</v>
      </c>
      <c r="I1673" s="9">
        <f t="shared" si="129"/>
        <v>0</v>
      </c>
    </row>
    <row r="1674" spans="1:9" x14ac:dyDescent="0.35">
      <c r="A1674" s="24" t="s">
        <v>4427</v>
      </c>
      <c r="B1674" s="25" t="s">
        <v>4428</v>
      </c>
      <c r="C1674" s="20">
        <v>45710</v>
      </c>
      <c r="D1674" s="11">
        <v>2154.6791981319152</v>
      </c>
      <c r="E1674" s="27">
        <f t="shared" si="125"/>
        <v>2398.5888833604477</v>
      </c>
      <c r="F1674" s="6">
        <f t="shared" si="126"/>
        <v>3118.1655483685822</v>
      </c>
      <c r="G1674" s="7">
        <f t="shared" si="127"/>
        <v>3358.0244367046266</v>
      </c>
      <c r="H1674" s="8">
        <f t="shared" si="128"/>
        <v>3597.8833250406715</v>
      </c>
      <c r="I1674" s="9">
        <f t="shared" si="129"/>
        <v>3837.7422133767163</v>
      </c>
    </row>
    <row r="1675" spans="1:9" x14ac:dyDescent="0.35">
      <c r="A1675" s="24"/>
      <c r="B1675" s="25"/>
      <c r="C1675" s="20">
        <v>45710</v>
      </c>
      <c r="D1675" s="11">
        <v>0</v>
      </c>
      <c r="E1675" s="27">
        <f t="shared" si="125"/>
        <v>0</v>
      </c>
      <c r="F1675" s="6">
        <f t="shared" si="126"/>
        <v>0</v>
      </c>
      <c r="G1675" s="7">
        <f t="shared" si="127"/>
        <v>0</v>
      </c>
      <c r="H1675" s="8">
        <f t="shared" si="128"/>
        <v>0</v>
      </c>
      <c r="I1675" s="9">
        <f t="shared" si="129"/>
        <v>0</v>
      </c>
    </row>
    <row r="1676" spans="1:9" x14ac:dyDescent="0.35">
      <c r="A1676" s="24" t="s">
        <v>4429</v>
      </c>
      <c r="B1676" s="25" t="s">
        <v>4430</v>
      </c>
      <c r="C1676" s="20">
        <v>45710</v>
      </c>
      <c r="D1676" s="11">
        <v>13955.834071559833</v>
      </c>
      <c r="E1676" s="27">
        <f t="shared" ref="E1676:E1739" si="130">D1676*1.21*0.92</f>
        <v>15535.634488460406</v>
      </c>
      <c r="F1676" s="6">
        <f t="shared" si="126"/>
        <v>20196.32483499853</v>
      </c>
      <c r="G1676" s="7">
        <f t="shared" si="127"/>
        <v>21749.888283844568</v>
      </c>
      <c r="H1676" s="8">
        <f t="shared" si="128"/>
        <v>23303.45173269061</v>
      </c>
      <c r="I1676" s="9">
        <f t="shared" si="129"/>
        <v>24857.015181536652</v>
      </c>
    </row>
    <row r="1677" spans="1:9" x14ac:dyDescent="0.35">
      <c r="A1677" s="24"/>
      <c r="B1677" s="25"/>
      <c r="C1677" s="20">
        <v>45710</v>
      </c>
      <c r="D1677" s="11">
        <v>0</v>
      </c>
      <c r="E1677" s="27">
        <f t="shared" si="130"/>
        <v>0</v>
      </c>
      <c r="F1677" s="6">
        <f t="shared" si="126"/>
        <v>0</v>
      </c>
      <c r="G1677" s="7">
        <f t="shared" si="127"/>
        <v>0</v>
      </c>
      <c r="H1677" s="8">
        <f t="shared" si="128"/>
        <v>0</v>
      </c>
      <c r="I1677" s="9">
        <f t="shared" si="129"/>
        <v>0</v>
      </c>
    </row>
    <row r="1678" spans="1:9" x14ac:dyDescent="0.35">
      <c r="A1678" s="24" t="s">
        <v>4431</v>
      </c>
      <c r="B1678" s="25" t="s">
        <v>4432</v>
      </c>
      <c r="C1678" s="20">
        <v>45710</v>
      </c>
      <c r="D1678" s="11">
        <v>18802.037868705003</v>
      </c>
      <c r="E1678" s="27">
        <f t="shared" si="130"/>
        <v>20930.42855544241</v>
      </c>
      <c r="F1678" s="6">
        <f t="shared" si="126"/>
        <v>27209.557122075134</v>
      </c>
      <c r="G1678" s="7">
        <f t="shared" si="127"/>
        <v>29302.599977619371</v>
      </c>
      <c r="H1678" s="8">
        <f t="shared" si="128"/>
        <v>31395.642833163613</v>
      </c>
      <c r="I1678" s="9">
        <f t="shared" si="129"/>
        <v>33488.685688707854</v>
      </c>
    </row>
    <row r="1679" spans="1:9" x14ac:dyDescent="0.35">
      <c r="A1679" s="24"/>
      <c r="B1679" s="25"/>
      <c r="C1679" s="20">
        <v>45710</v>
      </c>
      <c r="D1679" s="11">
        <v>0</v>
      </c>
      <c r="E1679" s="27">
        <f t="shared" si="130"/>
        <v>0</v>
      </c>
      <c r="F1679" s="6">
        <f t="shared" si="126"/>
        <v>0</v>
      </c>
      <c r="G1679" s="7">
        <f t="shared" si="127"/>
        <v>0</v>
      </c>
      <c r="H1679" s="8">
        <f t="shared" si="128"/>
        <v>0</v>
      </c>
      <c r="I1679" s="9">
        <f t="shared" si="129"/>
        <v>0</v>
      </c>
    </row>
    <row r="1680" spans="1:9" x14ac:dyDescent="0.35">
      <c r="A1680" s="24" t="s">
        <v>4433</v>
      </c>
      <c r="B1680" s="25" t="s">
        <v>4434</v>
      </c>
      <c r="C1680" s="20">
        <v>45710</v>
      </c>
      <c r="D1680" s="11">
        <v>18802.037868705003</v>
      </c>
      <c r="E1680" s="27">
        <f t="shared" si="130"/>
        <v>20930.42855544241</v>
      </c>
      <c r="F1680" s="6">
        <f t="shared" si="126"/>
        <v>27209.557122075134</v>
      </c>
      <c r="G1680" s="7">
        <f t="shared" si="127"/>
        <v>29302.599977619371</v>
      </c>
      <c r="H1680" s="8">
        <f t="shared" si="128"/>
        <v>31395.642833163613</v>
      </c>
      <c r="I1680" s="9">
        <f t="shared" si="129"/>
        <v>33488.685688707854</v>
      </c>
    </row>
    <row r="1681" spans="1:9" x14ac:dyDescent="0.35">
      <c r="A1681" s="24"/>
      <c r="B1681" s="25"/>
      <c r="C1681" s="20">
        <v>45710</v>
      </c>
      <c r="D1681" s="11">
        <v>0</v>
      </c>
      <c r="E1681" s="27">
        <f t="shared" si="130"/>
        <v>0</v>
      </c>
      <c r="F1681" s="6">
        <f t="shared" si="126"/>
        <v>0</v>
      </c>
      <c r="G1681" s="7">
        <f t="shared" si="127"/>
        <v>0</v>
      </c>
      <c r="H1681" s="8">
        <f t="shared" si="128"/>
        <v>0</v>
      </c>
      <c r="I1681" s="9">
        <f t="shared" si="129"/>
        <v>0</v>
      </c>
    </row>
    <row r="1682" spans="1:9" x14ac:dyDescent="0.35">
      <c r="A1682" s="24" t="s">
        <v>4435</v>
      </c>
      <c r="B1682" s="25" t="s">
        <v>4436</v>
      </c>
      <c r="C1682" s="20">
        <v>45710</v>
      </c>
      <c r="D1682" s="11">
        <v>5340.3797330915859</v>
      </c>
      <c r="E1682" s="27">
        <f t="shared" si="130"/>
        <v>5944.9107188775533</v>
      </c>
      <c r="F1682" s="6">
        <f t="shared" si="126"/>
        <v>7728.3839345408196</v>
      </c>
      <c r="G1682" s="7">
        <f t="shared" si="127"/>
        <v>8322.8750064285741</v>
      </c>
      <c r="H1682" s="8">
        <f t="shared" si="128"/>
        <v>8917.3660783163305</v>
      </c>
      <c r="I1682" s="9">
        <f t="shared" si="129"/>
        <v>9511.857150204085</v>
      </c>
    </row>
    <row r="1683" spans="1:9" x14ac:dyDescent="0.35">
      <c r="A1683" s="24"/>
      <c r="B1683" s="25"/>
      <c r="C1683" s="20">
        <v>45710</v>
      </c>
      <c r="D1683" s="11">
        <v>0</v>
      </c>
      <c r="E1683" s="27">
        <f t="shared" si="130"/>
        <v>0</v>
      </c>
      <c r="F1683" s="6">
        <f t="shared" si="126"/>
        <v>0</v>
      </c>
      <c r="G1683" s="7">
        <f t="shared" si="127"/>
        <v>0</v>
      </c>
      <c r="H1683" s="8">
        <f t="shared" si="128"/>
        <v>0</v>
      </c>
      <c r="I1683" s="9">
        <f t="shared" si="129"/>
        <v>0</v>
      </c>
    </row>
    <row r="1684" spans="1:9" x14ac:dyDescent="0.35">
      <c r="A1684" s="24" t="s">
        <v>4437</v>
      </c>
      <c r="B1684" s="25" t="s">
        <v>4439</v>
      </c>
      <c r="C1684" s="20">
        <v>45710</v>
      </c>
      <c r="D1684" s="11">
        <v>3554.6154058355864</v>
      </c>
      <c r="E1684" s="27">
        <f t="shared" si="130"/>
        <v>3956.9978697761749</v>
      </c>
      <c r="F1684" s="6">
        <f t="shared" si="126"/>
        <v>5144.0972307090278</v>
      </c>
      <c r="G1684" s="7">
        <f t="shared" si="127"/>
        <v>5539.7970176866447</v>
      </c>
      <c r="H1684" s="8">
        <f t="shared" si="128"/>
        <v>5935.4968046642625</v>
      </c>
      <c r="I1684" s="9">
        <f t="shared" si="129"/>
        <v>6331.1965916418803</v>
      </c>
    </row>
    <row r="1685" spans="1:9" x14ac:dyDescent="0.35">
      <c r="A1685" s="24" t="s">
        <v>4438</v>
      </c>
      <c r="B1685" s="25" t="s">
        <v>4440</v>
      </c>
      <c r="C1685" s="20">
        <v>45710</v>
      </c>
      <c r="D1685" s="11">
        <v>3803.3346008385006</v>
      </c>
      <c r="E1685" s="27">
        <f t="shared" si="130"/>
        <v>4233.8720776534192</v>
      </c>
      <c r="F1685" s="6">
        <f t="shared" si="126"/>
        <v>5504.0337009494451</v>
      </c>
      <c r="G1685" s="7">
        <f t="shared" si="127"/>
        <v>5927.4209087147865</v>
      </c>
      <c r="H1685" s="8">
        <f t="shared" si="128"/>
        <v>6350.8081164801288</v>
      </c>
      <c r="I1685" s="9">
        <f t="shared" si="129"/>
        <v>6774.1953242454711</v>
      </c>
    </row>
    <row r="1686" spans="1:9" x14ac:dyDescent="0.35">
      <c r="A1686" s="24"/>
      <c r="B1686" s="25"/>
      <c r="C1686" s="20">
        <v>45710</v>
      </c>
      <c r="D1686" s="11">
        <v>0</v>
      </c>
      <c r="E1686" s="27">
        <f t="shared" si="130"/>
        <v>0</v>
      </c>
      <c r="F1686" s="6">
        <f t="shared" si="126"/>
        <v>0</v>
      </c>
      <c r="G1686" s="7">
        <f t="shared" si="127"/>
        <v>0</v>
      </c>
      <c r="H1686" s="8">
        <f t="shared" si="128"/>
        <v>0</v>
      </c>
      <c r="I1686" s="9">
        <f t="shared" si="129"/>
        <v>0</v>
      </c>
    </row>
    <row r="1687" spans="1:9" x14ac:dyDescent="0.35">
      <c r="A1687" s="24" t="s">
        <v>4441</v>
      </c>
      <c r="B1687" s="25" t="s">
        <v>4443</v>
      </c>
      <c r="C1687" s="20">
        <v>45710</v>
      </c>
      <c r="D1687" s="11">
        <v>3357.2369352412802</v>
      </c>
      <c r="E1687" s="27">
        <f t="shared" si="130"/>
        <v>3737.2761563105933</v>
      </c>
      <c r="F1687" s="6">
        <f t="shared" si="126"/>
        <v>4858.4590032037713</v>
      </c>
      <c r="G1687" s="7">
        <f t="shared" si="127"/>
        <v>5232.1866188348304</v>
      </c>
      <c r="H1687" s="8">
        <f t="shared" si="128"/>
        <v>5605.9142344658903</v>
      </c>
      <c r="I1687" s="9">
        <f t="shared" si="129"/>
        <v>5979.6418500969494</v>
      </c>
    </row>
    <row r="1688" spans="1:9" x14ac:dyDescent="0.35">
      <c r="A1688" s="24" t="s">
        <v>4442</v>
      </c>
      <c r="B1688" s="25" t="s">
        <v>4444</v>
      </c>
      <c r="C1688" s="20">
        <v>45710</v>
      </c>
      <c r="D1688" s="11">
        <v>3592.1336275188005</v>
      </c>
      <c r="E1688" s="27">
        <f t="shared" si="130"/>
        <v>3998.763154153929</v>
      </c>
      <c r="F1688" s="6">
        <f t="shared" si="126"/>
        <v>5198.3921004001077</v>
      </c>
      <c r="G1688" s="7">
        <f t="shared" si="127"/>
        <v>5598.2684158155007</v>
      </c>
      <c r="H1688" s="8">
        <f t="shared" si="128"/>
        <v>5998.1447312308937</v>
      </c>
      <c r="I1688" s="9">
        <f t="shared" si="129"/>
        <v>6398.0210466462868</v>
      </c>
    </row>
    <row r="1689" spans="1:9" ht="18" x14ac:dyDescent="0.4">
      <c r="B1689" s="19" t="s">
        <v>5758</v>
      </c>
      <c r="D1689" s="11">
        <v>0</v>
      </c>
      <c r="E1689" s="27">
        <f t="shared" si="130"/>
        <v>0</v>
      </c>
      <c r="F1689" s="6">
        <f t="shared" si="126"/>
        <v>0</v>
      </c>
      <c r="G1689" s="7">
        <f t="shared" si="127"/>
        <v>0</v>
      </c>
      <c r="H1689" s="8">
        <f t="shared" si="128"/>
        <v>0</v>
      </c>
      <c r="I1689" s="9">
        <f t="shared" si="129"/>
        <v>0</v>
      </c>
    </row>
    <row r="1690" spans="1:9" x14ac:dyDescent="0.35">
      <c r="A1690" s="24">
        <v>92100</v>
      </c>
      <c r="B1690" s="25" t="s">
        <v>4564</v>
      </c>
      <c r="C1690" s="20">
        <v>45560</v>
      </c>
      <c r="D1690" s="11">
        <v>798.79964104844225</v>
      </c>
      <c r="E1690" s="27">
        <f t="shared" si="130"/>
        <v>889.22376041512598</v>
      </c>
      <c r="F1690" s="6">
        <f t="shared" si="126"/>
        <v>1155.9908885396637</v>
      </c>
      <c r="G1690" s="7">
        <f t="shared" si="127"/>
        <v>1244.9132645811762</v>
      </c>
      <c r="H1690" s="8">
        <f t="shared" si="128"/>
        <v>1333.835640622689</v>
      </c>
      <c r="I1690" s="9">
        <f t="shared" si="129"/>
        <v>1422.7580166642017</v>
      </c>
    </row>
    <row r="1691" spans="1:9" x14ac:dyDescent="0.35">
      <c r="A1691" s="24">
        <v>92105</v>
      </c>
      <c r="B1691" s="25" t="s">
        <v>4565</v>
      </c>
      <c r="C1691" s="20">
        <v>45560</v>
      </c>
      <c r="D1691" s="11">
        <v>911.4548007564631</v>
      </c>
      <c r="E1691" s="27">
        <f t="shared" si="130"/>
        <v>1014.6314842020947</v>
      </c>
      <c r="F1691" s="6">
        <f t="shared" si="126"/>
        <v>1319.0209294627232</v>
      </c>
      <c r="G1691" s="7">
        <f t="shared" si="127"/>
        <v>1420.4840778829325</v>
      </c>
      <c r="H1691" s="8">
        <f t="shared" si="128"/>
        <v>1521.9472263031421</v>
      </c>
      <c r="I1691" s="9">
        <f t="shared" si="129"/>
        <v>1623.4103747233517</v>
      </c>
    </row>
    <row r="1692" spans="1:9" x14ac:dyDescent="0.35">
      <c r="A1692" s="24">
        <v>92112</v>
      </c>
      <c r="B1692" s="25" t="s">
        <v>4566</v>
      </c>
      <c r="C1692" s="20">
        <v>45560</v>
      </c>
      <c r="D1692" s="11">
        <v>1543.5697449386412</v>
      </c>
      <c r="E1692" s="27">
        <f t="shared" si="130"/>
        <v>1718.3018400656954</v>
      </c>
      <c r="F1692" s="6">
        <f t="shared" si="126"/>
        <v>2233.7923920854041</v>
      </c>
      <c r="G1692" s="7">
        <f t="shared" si="127"/>
        <v>2405.6225760919733</v>
      </c>
      <c r="H1692" s="8">
        <f t="shared" si="128"/>
        <v>2577.452760098543</v>
      </c>
      <c r="I1692" s="9">
        <f t="shared" si="129"/>
        <v>2749.2829441051126</v>
      </c>
    </row>
    <row r="1693" spans="1:9" x14ac:dyDescent="0.35">
      <c r="A1693" s="24"/>
      <c r="B1693" s="25"/>
      <c r="C1693" s="20">
        <v>45560</v>
      </c>
      <c r="D1693" s="11">
        <v>0</v>
      </c>
      <c r="E1693" s="27">
        <f t="shared" si="130"/>
        <v>0</v>
      </c>
      <c r="F1693" s="6">
        <f t="shared" si="126"/>
        <v>0</v>
      </c>
      <c r="G1693" s="7">
        <f t="shared" si="127"/>
        <v>0</v>
      </c>
      <c r="H1693" s="8">
        <f t="shared" si="128"/>
        <v>0</v>
      </c>
      <c r="I1693" s="9">
        <f t="shared" si="129"/>
        <v>0</v>
      </c>
    </row>
    <row r="1694" spans="1:9" x14ac:dyDescent="0.35">
      <c r="A1694" s="24">
        <v>92256</v>
      </c>
      <c r="B1694" s="25" t="s">
        <v>4567</v>
      </c>
      <c r="C1694" s="20">
        <v>45560</v>
      </c>
      <c r="D1694" s="11">
        <v>503.93522937386723</v>
      </c>
      <c r="E1694" s="27">
        <f t="shared" si="130"/>
        <v>560.98069733898899</v>
      </c>
      <c r="F1694" s="6">
        <f t="shared" si="126"/>
        <v>729.27490654068572</v>
      </c>
      <c r="G1694" s="7">
        <f t="shared" si="127"/>
        <v>785.37297627458452</v>
      </c>
      <c r="H1694" s="8">
        <f t="shared" si="128"/>
        <v>841.47104600848343</v>
      </c>
      <c r="I1694" s="9">
        <f t="shared" si="129"/>
        <v>897.56911574238245</v>
      </c>
    </row>
    <row r="1695" spans="1:9" x14ac:dyDescent="0.35">
      <c r="A1695" s="24">
        <v>92080</v>
      </c>
      <c r="B1695" s="25" t="s">
        <v>4568</v>
      </c>
      <c r="C1695" s="20">
        <v>45560</v>
      </c>
      <c r="D1695" s="11">
        <v>566.64626116056252</v>
      </c>
      <c r="E1695" s="27">
        <f t="shared" si="130"/>
        <v>630.79061792393827</v>
      </c>
      <c r="F1695" s="6">
        <f t="shared" si="126"/>
        <v>820.02780330111977</v>
      </c>
      <c r="G1695" s="7">
        <f t="shared" si="127"/>
        <v>883.10686509351353</v>
      </c>
      <c r="H1695" s="8">
        <f t="shared" si="128"/>
        <v>946.18592688590741</v>
      </c>
      <c r="I1695" s="9">
        <f t="shared" si="129"/>
        <v>1009.2649886783013</v>
      </c>
    </row>
    <row r="1696" spans="1:9" x14ac:dyDescent="0.35">
      <c r="A1696" s="24">
        <v>92081</v>
      </c>
      <c r="B1696" s="25" t="s">
        <v>4569</v>
      </c>
      <c r="C1696" s="20">
        <v>45560</v>
      </c>
      <c r="D1696" s="11">
        <v>576.34910809824351</v>
      </c>
      <c r="E1696" s="27">
        <f t="shared" si="130"/>
        <v>641.59182713496466</v>
      </c>
      <c r="F1696" s="6">
        <f t="shared" si="126"/>
        <v>834.06937527545404</v>
      </c>
      <c r="G1696" s="7">
        <f t="shared" si="127"/>
        <v>898.22855798895046</v>
      </c>
      <c r="H1696" s="8">
        <f t="shared" si="128"/>
        <v>962.38774070244699</v>
      </c>
      <c r="I1696" s="9">
        <f t="shared" si="129"/>
        <v>1026.5469234159434</v>
      </c>
    </row>
    <row r="1697" spans="1:9" x14ac:dyDescent="0.35">
      <c r="A1697" s="24">
        <v>92082</v>
      </c>
      <c r="B1697" s="25" t="s">
        <v>4570</v>
      </c>
      <c r="C1697" s="20">
        <v>45560</v>
      </c>
      <c r="D1697" s="11">
        <v>1290.2743722497091</v>
      </c>
      <c r="E1697" s="27">
        <f t="shared" si="130"/>
        <v>1436.3334311883764</v>
      </c>
      <c r="F1697" s="6">
        <f t="shared" si="126"/>
        <v>1867.2334605448893</v>
      </c>
      <c r="G1697" s="7">
        <f t="shared" si="127"/>
        <v>2010.8668036637268</v>
      </c>
      <c r="H1697" s="8">
        <f t="shared" si="128"/>
        <v>2154.5001467825646</v>
      </c>
      <c r="I1697" s="9">
        <f t="shared" si="129"/>
        <v>2298.1334899014023</v>
      </c>
    </row>
    <row r="1698" spans="1:9" x14ac:dyDescent="0.35">
      <c r="A1698" s="24">
        <v>92083</v>
      </c>
      <c r="B1698" s="25" t="s">
        <v>4571</v>
      </c>
      <c r="C1698" s="20">
        <v>45560</v>
      </c>
      <c r="D1698" s="11">
        <v>1347.2658311047192</v>
      </c>
      <c r="E1698" s="27">
        <f t="shared" si="130"/>
        <v>1499.7763231857732</v>
      </c>
      <c r="F1698" s="6">
        <f t="shared" si="126"/>
        <v>1949.7092201415053</v>
      </c>
      <c r="G1698" s="7">
        <f t="shared" si="127"/>
        <v>2099.6868524600823</v>
      </c>
      <c r="H1698" s="8">
        <f t="shared" si="128"/>
        <v>2249.6644847786597</v>
      </c>
      <c r="I1698" s="9">
        <f t="shared" si="129"/>
        <v>2399.6421170972371</v>
      </c>
    </row>
    <row r="1699" spans="1:9" x14ac:dyDescent="0.35">
      <c r="A1699" s="24">
        <v>92084</v>
      </c>
      <c r="B1699" s="25" t="s">
        <v>4572</v>
      </c>
      <c r="C1699" s="20">
        <v>45560</v>
      </c>
      <c r="D1699" s="11">
        <v>1413.9601368974088</v>
      </c>
      <c r="E1699" s="27">
        <f t="shared" si="130"/>
        <v>1574.0204243941955</v>
      </c>
      <c r="F1699" s="6">
        <f t="shared" si="126"/>
        <v>2046.2265517124542</v>
      </c>
      <c r="G1699" s="7">
        <f t="shared" si="127"/>
        <v>2203.6285941518736</v>
      </c>
      <c r="H1699" s="8">
        <f t="shared" si="128"/>
        <v>2361.0306365912934</v>
      </c>
      <c r="I1699" s="9">
        <f t="shared" si="129"/>
        <v>2518.4326790307132</v>
      </c>
    </row>
    <row r="1700" spans="1:9" x14ac:dyDescent="0.35">
      <c r="A1700" s="24"/>
      <c r="B1700" s="25"/>
      <c r="C1700" s="20">
        <v>45560</v>
      </c>
      <c r="D1700" s="11">
        <v>0</v>
      </c>
      <c r="E1700" s="27">
        <f t="shared" si="130"/>
        <v>0</v>
      </c>
      <c r="F1700" s="6">
        <f t="shared" si="126"/>
        <v>0</v>
      </c>
      <c r="G1700" s="7">
        <f t="shared" si="127"/>
        <v>0</v>
      </c>
      <c r="H1700" s="8">
        <f t="shared" si="128"/>
        <v>0</v>
      </c>
      <c r="I1700" s="9">
        <f t="shared" si="129"/>
        <v>0</v>
      </c>
    </row>
    <row r="1701" spans="1:9" x14ac:dyDescent="0.35">
      <c r="A1701" s="24">
        <v>94002</v>
      </c>
      <c r="B1701" s="25" t="s">
        <v>5759</v>
      </c>
      <c r="C1701" s="20">
        <v>45560</v>
      </c>
      <c r="D1701" s="11">
        <v>2916</v>
      </c>
      <c r="E1701" s="27">
        <f t="shared" si="130"/>
        <v>3246.0911999999998</v>
      </c>
      <c r="F1701" s="6">
        <f t="shared" si="126"/>
        <v>4219.9185600000001</v>
      </c>
      <c r="G1701" s="7">
        <f t="shared" si="127"/>
        <v>4544.5276799999992</v>
      </c>
      <c r="H1701" s="8">
        <f t="shared" si="128"/>
        <v>4869.1368000000002</v>
      </c>
      <c r="I1701" s="9">
        <f t="shared" si="129"/>
        <v>5193.7459200000003</v>
      </c>
    </row>
    <row r="1702" spans="1:9" x14ac:dyDescent="0.35">
      <c r="A1702" s="24">
        <v>94003</v>
      </c>
      <c r="B1702" s="25" t="s">
        <v>5760</v>
      </c>
      <c r="C1702" s="20">
        <v>45560</v>
      </c>
      <c r="D1702" s="11">
        <v>3397.4081145884888</v>
      </c>
      <c r="E1702" s="27">
        <f t="shared" si="130"/>
        <v>3781.9947131599056</v>
      </c>
      <c r="F1702" s="6">
        <f t="shared" si="126"/>
        <v>4916.5931271078771</v>
      </c>
      <c r="G1702" s="7">
        <f t="shared" si="127"/>
        <v>5294.7925984238673</v>
      </c>
      <c r="H1702" s="8">
        <f t="shared" si="128"/>
        <v>5672.9920697398584</v>
      </c>
      <c r="I1702" s="9">
        <f t="shared" si="129"/>
        <v>6051.1915410558495</v>
      </c>
    </row>
    <row r="1703" spans="1:9" x14ac:dyDescent="0.35">
      <c r="A1703" s="24">
        <v>94004</v>
      </c>
      <c r="B1703" s="25" t="s">
        <v>5761</v>
      </c>
      <c r="C1703" s="20">
        <v>45560</v>
      </c>
      <c r="D1703" s="11">
        <v>2710.4322090650817</v>
      </c>
      <c r="E1703" s="27">
        <f t="shared" si="130"/>
        <v>3017.2531351312491</v>
      </c>
      <c r="F1703" s="6">
        <f t="shared" si="126"/>
        <v>3922.4290756706241</v>
      </c>
      <c r="G1703" s="7">
        <f t="shared" si="127"/>
        <v>4224.1543891837482</v>
      </c>
      <c r="H1703" s="8">
        <f t="shared" si="128"/>
        <v>4525.8797026968732</v>
      </c>
      <c r="I1703" s="9">
        <f t="shared" si="129"/>
        <v>4827.6050162099991</v>
      </c>
    </row>
    <row r="1704" spans="1:9" x14ac:dyDescent="0.35">
      <c r="A1704" s="24">
        <v>94005</v>
      </c>
      <c r="B1704" s="25" t="s">
        <v>5762</v>
      </c>
      <c r="C1704" s="20">
        <v>45560</v>
      </c>
      <c r="D1704" s="11">
        <v>3397.4081145884888</v>
      </c>
      <c r="E1704" s="27">
        <f t="shared" si="130"/>
        <v>3781.9947131599056</v>
      </c>
      <c r="F1704" s="6">
        <f t="shared" si="126"/>
        <v>4916.5931271078771</v>
      </c>
      <c r="G1704" s="7">
        <f t="shared" si="127"/>
        <v>5294.7925984238673</v>
      </c>
      <c r="H1704" s="8">
        <f t="shared" si="128"/>
        <v>5672.9920697398584</v>
      </c>
      <c r="I1704" s="9">
        <f t="shared" si="129"/>
        <v>6051.1915410558495</v>
      </c>
    </row>
    <row r="1705" spans="1:9" x14ac:dyDescent="0.35">
      <c r="A1705" s="24">
        <v>94006</v>
      </c>
      <c r="B1705" s="25" t="s">
        <v>5763</v>
      </c>
      <c r="C1705" s="20">
        <v>45560</v>
      </c>
      <c r="D1705" s="11">
        <v>2073.4181875797399</v>
      </c>
      <c r="E1705" s="27">
        <f t="shared" si="130"/>
        <v>2308.1291264137667</v>
      </c>
      <c r="F1705" s="6">
        <f t="shared" si="126"/>
        <v>3000.5678643378969</v>
      </c>
      <c r="G1705" s="7">
        <f t="shared" si="127"/>
        <v>3231.3807769792734</v>
      </c>
      <c r="H1705" s="8">
        <f t="shared" si="128"/>
        <v>3462.1936896206498</v>
      </c>
      <c r="I1705" s="9">
        <f t="shared" si="129"/>
        <v>3693.0066022620267</v>
      </c>
    </row>
    <row r="1706" spans="1:9" x14ac:dyDescent="0.35">
      <c r="A1706" s="24">
        <v>94007</v>
      </c>
      <c r="B1706" s="25" t="s">
        <v>5764</v>
      </c>
      <c r="C1706" s="20">
        <v>45560</v>
      </c>
      <c r="D1706" s="11">
        <v>2073.4181875797399</v>
      </c>
      <c r="E1706" s="27">
        <f t="shared" si="130"/>
        <v>2308.1291264137667</v>
      </c>
      <c r="F1706" s="6">
        <f t="shared" si="126"/>
        <v>3000.5678643378969</v>
      </c>
      <c r="G1706" s="7">
        <f t="shared" si="127"/>
        <v>3231.3807769792734</v>
      </c>
      <c r="H1706" s="8">
        <f t="shared" si="128"/>
        <v>3462.1936896206498</v>
      </c>
      <c r="I1706" s="9">
        <f t="shared" si="129"/>
        <v>3693.0066022620267</v>
      </c>
    </row>
    <row r="1707" spans="1:9" x14ac:dyDescent="0.35">
      <c r="A1707" s="24"/>
      <c r="B1707" s="25"/>
      <c r="C1707" s="20">
        <v>45560</v>
      </c>
      <c r="D1707" s="11">
        <v>0</v>
      </c>
      <c r="E1707" s="27">
        <f t="shared" si="130"/>
        <v>0</v>
      </c>
      <c r="F1707" s="6">
        <f t="shared" si="126"/>
        <v>0</v>
      </c>
      <c r="G1707" s="7">
        <f t="shared" si="127"/>
        <v>0</v>
      </c>
      <c r="H1707" s="8">
        <f t="shared" si="128"/>
        <v>0</v>
      </c>
      <c r="I1707" s="9">
        <f t="shared" si="129"/>
        <v>0</v>
      </c>
    </row>
    <row r="1708" spans="1:9" x14ac:dyDescent="0.35">
      <c r="A1708" s="24">
        <v>94098</v>
      </c>
      <c r="B1708" s="25" t="s">
        <v>4573</v>
      </c>
      <c r="C1708" s="20">
        <v>45560</v>
      </c>
      <c r="D1708" s="11">
        <v>10550</v>
      </c>
      <c r="E1708" s="27">
        <f t="shared" si="130"/>
        <v>11744.26</v>
      </c>
      <c r="F1708" s="6">
        <f t="shared" si="126"/>
        <v>15267.538</v>
      </c>
      <c r="G1708" s="7">
        <f t="shared" si="127"/>
        <v>16441.964</v>
      </c>
      <c r="H1708" s="8">
        <f t="shared" si="128"/>
        <v>17616.39</v>
      </c>
      <c r="I1708" s="9">
        <f t="shared" si="129"/>
        <v>18790.816000000003</v>
      </c>
    </row>
    <row r="1709" spans="1:9" x14ac:dyDescent="0.35">
      <c r="A1709" s="24">
        <v>94128</v>
      </c>
      <c r="B1709" s="25" t="s">
        <v>4574</v>
      </c>
      <c r="C1709" s="20">
        <v>45560</v>
      </c>
      <c r="D1709" s="11">
        <v>10550</v>
      </c>
      <c r="E1709" s="27">
        <f t="shared" si="130"/>
        <v>11744.26</v>
      </c>
      <c r="F1709" s="6">
        <f t="shared" si="126"/>
        <v>15267.538</v>
      </c>
      <c r="G1709" s="7">
        <f t="shared" si="127"/>
        <v>16441.964</v>
      </c>
      <c r="H1709" s="8">
        <f t="shared" si="128"/>
        <v>17616.39</v>
      </c>
      <c r="I1709" s="9">
        <f t="shared" si="129"/>
        <v>18790.816000000003</v>
      </c>
    </row>
    <row r="1710" spans="1:9" x14ac:dyDescent="0.35">
      <c r="A1710" s="24"/>
      <c r="B1710" s="25"/>
      <c r="C1710" s="20">
        <v>45560</v>
      </c>
      <c r="D1710" s="11">
        <v>0</v>
      </c>
      <c r="E1710" s="27">
        <f t="shared" si="130"/>
        <v>0</v>
      </c>
      <c r="F1710" s="6">
        <f t="shared" si="126"/>
        <v>0</v>
      </c>
      <c r="G1710" s="7">
        <f t="shared" si="127"/>
        <v>0</v>
      </c>
      <c r="H1710" s="8">
        <f t="shared" si="128"/>
        <v>0</v>
      </c>
      <c r="I1710" s="9">
        <f t="shared" si="129"/>
        <v>0</v>
      </c>
    </row>
    <row r="1711" spans="1:9" x14ac:dyDescent="0.35">
      <c r="A1711" s="24">
        <v>94135</v>
      </c>
      <c r="B1711" s="25" t="s">
        <v>5584</v>
      </c>
      <c r="C1711" s="20">
        <v>45560</v>
      </c>
      <c r="D1711" s="11">
        <v>14298.552000000003</v>
      </c>
      <c r="E1711" s="27">
        <f t="shared" si="130"/>
        <v>15917.148086400006</v>
      </c>
      <c r="F1711" s="6">
        <f t="shared" si="126"/>
        <v>20692.292512320008</v>
      </c>
      <c r="G1711" s="7">
        <f t="shared" si="127"/>
        <v>22284.007320960009</v>
      </c>
      <c r="H1711" s="8">
        <f t="shared" si="128"/>
        <v>23875.72212960001</v>
      </c>
      <c r="I1711" s="9">
        <f t="shared" si="129"/>
        <v>25467.436938240011</v>
      </c>
    </row>
    <row r="1712" spans="1:9" x14ac:dyDescent="0.35">
      <c r="A1712" s="24"/>
      <c r="B1712" s="25"/>
      <c r="C1712" s="20">
        <v>45560</v>
      </c>
      <c r="D1712" s="11">
        <v>0</v>
      </c>
      <c r="E1712" s="27">
        <f t="shared" si="130"/>
        <v>0</v>
      </c>
      <c r="F1712" s="6">
        <f t="shared" si="126"/>
        <v>0</v>
      </c>
      <c r="G1712" s="7">
        <f t="shared" si="127"/>
        <v>0</v>
      </c>
      <c r="H1712" s="8">
        <f t="shared" si="128"/>
        <v>0</v>
      </c>
      <c r="I1712" s="9">
        <f t="shared" si="129"/>
        <v>0</v>
      </c>
    </row>
    <row r="1713" spans="1:9" x14ac:dyDescent="0.35">
      <c r="A1713" s="24">
        <v>942046</v>
      </c>
      <c r="B1713" s="25" t="s">
        <v>5614</v>
      </c>
      <c r="C1713" s="20">
        <v>45560</v>
      </c>
      <c r="D1713" s="11">
        <v>62389.440000000002</v>
      </c>
      <c r="E1713" s="27">
        <f t="shared" si="130"/>
        <v>69451.924608000001</v>
      </c>
      <c r="F1713" s="6">
        <f t="shared" si="126"/>
        <v>90287.501990400007</v>
      </c>
      <c r="G1713" s="7">
        <f t="shared" si="127"/>
        <v>97232.69445119999</v>
      </c>
      <c r="H1713" s="8">
        <f t="shared" si="128"/>
        <v>104177.886912</v>
      </c>
      <c r="I1713" s="9">
        <f t="shared" si="129"/>
        <v>111123.07937280001</v>
      </c>
    </row>
    <row r="1714" spans="1:9" x14ac:dyDescent="0.35">
      <c r="A1714" s="24"/>
      <c r="B1714" s="25"/>
      <c r="C1714" s="20">
        <v>45560</v>
      </c>
      <c r="D1714" s="11">
        <v>0</v>
      </c>
      <c r="E1714" s="27">
        <f t="shared" si="130"/>
        <v>0</v>
      </c>
      <c r="F1714" s="6">
        <f t="shared" si="126"/>
        <v>0</v>
      </c>
      <c r="G1714" s="7">
        <f t="shared" si="127"/>
        <v>0</v>
      </c>
      <c r="H1714" s="8">
        <f t="shared" si="128"/>
        <v>0</v>
      </c>
      <c r="I1714" s="9">
        <f t="shared" si="129"/>
        <v>0</v>
      </c>
    </row>
    <row r="1715" spans="1:9" x14ac:dyDescent="0.35">
      <c r="A1715" s="24">
        <v>94247</v>
      </c>
      <c r="B1715" s="25" t="s">
        <v>6480</v>
      </c>
      <c r="C1715" s="20">
        <v>45560</v>
      </c>
      <c r="D1715" s="11">
        <v>11340</v>
      </c>
      <c r="E1715" s="27">
        <f t="shared" si="130"/>
        <v>12623.688</v>
      </c>
      <c r="F1715" s="6">
        <f t="shared" si="126"/>
        <v>16410.794400000002</v>
      </c>
      <c r="G1715" s="7">
        <f t="shared" si="127"/>
        <v>17673.163199999999</v>
      </c>
      <c r="H1715" s="8">
        <f t="shared" si="128"/>
        <v>18935.531999999999</v>
      </c>
      <c r="I1715" s="9">
        <f t="shared" si="129"/>
        <v>20197.900800000003</v>
      </c>
    </row>
    <row r="1716" spans="1:9" x14ac:dyDescent="0.35">
      <c r="A1716" s="24"/>
      <c r="B1716" s="25"/>
      <c r="C1716" s="20">
        <v>45560</v>
      </c>
      <c r="D1716" s="11">
        <v>0</v>
      </c>
      <c r="E1716" s="27">
        <f t="shared" si="130"/>
        <v>0</v>
      </c>
      <c r="F1716" s="6">
        <f t="shared" si="126"/>
        <v>0</v>
      </c>
      <c r="G1716" s="7">
        <f t="shared" si="127"/>
        <v>0</v>
      </c>
      <c r="H1716" s="8">
        <f t="shared" si="128"/>
        <v>0</v>
      </c>
      <c r="I1716" s="9">
        <f t="shared" si="129"/>
        <v>0</v>
      </c>
    </row>
    <row r="1717" spans="1:9" x14ac:dyDescent="0.35">
      <c r="A1717" s="24">
        <v>800040</v>
      </c>
      <c r="B1717" s="25" t="s">
        <v>6562</v>
      </c>
      <c r="C1717" s="20">
        <v>45560</v>
      </c>
      <c r="D1717" s="11">
        <v>441.1</v>
      </c>
      <c r="E1717" s="27">
        <f t="shared" si="130"/>
        <v>491.03252000000003</v>
      </c>
      <c r="F1717" s="6">
        <f t="shared" si="126"/>
        <v>638.34227600000008</v>
      </c>
      <c r="G1717" s="7">
        <f t="shared" si="127"/>
        <v>687.44552799999997</v>
      </c>
      <c r="H1717" s="8">
        <f t="shared" si="128"/>
        <v>736.54878000000008</v>
      </c>
      <c r="I1717" s="9">
        <f t="shared" si="129"/>
        <v>785.65203200000008</v>
      </c>
    </row>
    <row r="1718" spans="1:9" x14ac:dyDescent="0.35">
      <c r="A1718" s="24">
        <v>800050</v>
      </c>
      <c r="B1718" s="25" t="s">
        <v>6563</v>
      </c>
      <c r="C1718" s="20">
        <v>45560</v>
      </c>
      <c r="D1718" s="11">
        <v>507.2</v>
      </c>
      <c r="E1718" s="27">
        <f t="shared" si="130"/>
        <v>564.61504000000002</v>
      </c>
      <c r="F1718" s="6">
        <f t="shared" si="126"/>
        <v>733.99955200000011</v>
      </c>
      <c r="G1718" s="7">
        <f t="shared" si="127"/>
        <v>790.46105599999999</v>
      </c>
      <c r="H1718" s="8">
        <f t="shared" si="128"/>
        <v>846.92255999999998</v>
      </c>
      <c r="I1718" s="9">
        <f t="shared" si="129"/>
        <v>903.38406400000008</v>
      </c>
    </row>
    <row r="1719" spans="1:9" x14ac:dyDescent="0.35">
      <c r="A1719" s="24">
        <v>800063</v>
      </c>
      <c r="B1719" s="25" t="s">
        <v>6564</v>
      </c>
      <c r="C1719" s="20">
        <v>45560</v>
      </c>
      <c r="D1719" s="11">
        <v>605.4</v>
      </c>
      <c r="E1719" s="27">
        <f t="shared" si="130"/>
        <v>673.93128000000002</v>
      </c>
      <c r="F1719" s="6">
        <f t="shared" si="126"/>
        <v>876.11066400000004</v>
      </c>
      <c r="G1719" s="7">
        <f t="shared" si="127"/>
        <v>943.50379199999998</v>
      </c>
      <c r="H1719" s="8">
        <f t="shared" si="128"/>
        <v>1010.89692</v>
      </c>
      <c r="I1719" s="9">
        <f t="shared" si="129"/>
        <v>1078.2900480000001</v>
      </c>
    </row>
    <row r="1720" spans="1:9" x14ac:dyDescent="0.35">
      <c r="A1720" s="24">
        <v>800110</v>
      </c>
      <c r="B1720" s="25" t="s">
        <v>6565</v>
      </c>
      <c r="C1720" s="20">
        <v>45560</v>
      </c>
      <c r="D1720" s="11">
        <v>666.5</v>
      </c>
      <c r="E1720" s="27">
        <f t="shared" si="130"/>
        <v>741.94780000000003</v>
      </c>
      <c r="F1720" s="6">
        <f t="shared" si="126"/>
        <v>964.53214000000003</v>
      </c>
      <c r="G1720" s="7">
        <f t="shared" si="127"/>
        <v>1038.7269200000001</v>
      </c>
      <c r="H1720" s="8">
        <f t="shared" si="128"/>
        <v>1112.9217000000001</v>
      </c>
      <c r="I1720" s="9">
        <f t="shared" si="129"/>
        <v>1187.1164800000001</v>
      </c>
    </row>
    <row r="1721" spans="1:9" ht="18" x14ac:dyDescent="0.4">
      <c r="B1721" s="19" t="s">
        <v>5074</v>
      </c>
      <c r="D1721" s="11">
        <v>0</v>
      </c>
      <c r="E1721" s="27">
        <f t="shared" si="130"/>
        <v>0</v>
      </c>
      <c r="F1721" s="6">
        <f t="shared" si="126"/>
        <v>0</v>
      </c>
      <c r="G1721" s="7">
        <f t="shared" si="127"/>
        <v>0</v>
      </c>
      <c r="H1721" s="8">
        <f t="shared" si="128"/>
        <v>0</v>
      </c>
      <c r="I1721" s="9">
        <f t="shared" si="129"/>
        <v>0</v>
      </c>
    </row>
    <row r="1722" spans="1:9" x14ac:dyDescent="0.35">
      <c r="A1722" s="24" t="s">
        <v>5075</v>
      </c>
      <c r="B1722" s="25" t="s">
        <v>5076</v>
      </c>
      <c r="C1722" s="20">
        <v>45600</v>
      </c>
      <c r="D1722" s="11">
        <v>1224.3</v>
      </c>
      <c r="E1722" s="27">
        <f t="shared" si="130"/>
        <v>1362.8907599999998</v>
      </c>
      <c r="F1722" s="6">
        <f t="shared" ref="F1722:F1788" si="131">E1722*1.3</f>
        <v>1771.7579879999998</v>
      </c>
      <c r="G1722" s="7">
        <f t="shared" ref="G1722:G1788" si="132">E1722*1.4</f>
        <v>1908.0470639999996</v>
      </c>
      <c r="H1722" s="8">
        <f t="shared" ref="H1722:H1788" si="133">E1722*1.5</f>
        <v>2044.3361399999997</v>
      </c>
      <c r="I1722" s="9">
        <f t="shared" ref="I1722:I1788" si="134">E1722*1.6</f>
        <v>2180.6252159999999</v>
      </c>
    </row>
    <row r="1723" spans="1:9" x14ac:dyDescent="0.35">
      <c r="A1723" s="24" t="s">
        <v>5077</v>
      </c>
      <c r="B1723" s="25" t="s">
        <v>5078</v>
      </c>
      <c r="C1723" s="20">
        <v>45600</v>
      </c>
      <c r="D1723" s="11">
        <v>893.5</v>
      </c>
      <c r="E1723" s="27">
        <f t="shared" si="130"/>
        <v>994.64420000000007</v>
      </c>
      <c r="F1723" s="6">
        <f t="shared" si="131"/>
        <v>1293.0374600000002</v>
      </c>
      <c r="G1723" s="7">
        <f t="shared" si="132"/>
        <v>1392.50188</v>
      </c>
      <c r="H1723" s="8">
        <f t="shared" si="133"/>
        <v>1491.9663</v>
      </c>
      <c r="I1723" s="9">
        <f t="shared" si="134"/>
        <v>1591.4307200000003</v>
      </c>
    </row>
    <row r="1724" spans="1:9" x14ac:dyDescent="0.35">
      <c r="A1724" s="24" t="s">
        <v>5083</v>
      </c>
      <c r="B1724" s="25" t="s">
        <v>5079</v>
      </c>
      <c r="C1724" s="20">
        <v>45600</v>
      </c>
      <c r="D1724" s="11">
        <v>1152.4771271052305</v>
      </c>
      <c r="E1724" s="27">
        <f t="shared" si="130"/>
        <v>1282.9375378935426</v>
      </c>
      <c r="F1724" s="6">
        <f t="shared" si="131"/>
        <v>1667.8187992616056</v>
      </c>
      <c r="G1724" s="7">
        <f t="shared" si="132"/>
        <v>1796.1125530509596</v>
      </c>
      <c r="H1724" s="8">
        <f t="shared" si="133"/>
        <v>1924.4063068403138</v>
      </c>
      <c r="I1724" s="9">
        <f t="shared" si="134"/>
        <v>2052.7000606296683</v>
      </c>
    </row>
    <row r="1725" spans="1:9" x14ac:dyDescent="0.35">
      <c r="A1725" s="24" t="s">
        <v>5084</v>
      </c>
      <c r="B1725" s="25" t="s">
        <v>5080</v>
      </c>
      <c r="C1725" s="20">
        <v>45600</v>
      </c>
      <c r="D1725" s="11">
        <v>923.53877999999986</v>
      </c>
      <c r="E1725" s="27">
        <f t="shared" si="130"/>
        <v>1028.0833698959998</v>
      </c>
      <c r="F1725" s="6">
        <f t="shared" si="131"/>
        <v>1336.5083808647998</v>
      </c>
      <c r="G1725" s="7">
        <f t="shared" si="132"/>
        <v>1439.3167178543997</v>
      </c>
      <c r="H1725" s="8">
        <f t="shared" si="133"/>
        <v>1542.1250548439998</v>
      </c>
      <c r="I1725" s="9">
        <f t="shared" si="134"/>
        <v>1644.9333918335997</v>
      </c>
    </row>
    <row r="1726" spans="1:9" x14ac:dyDescent="0.35">
      <c r="A1726" s="24" t="s">
        <v>5085</v>
      </c>
      <c r="B1726" s="25" t="s">
        <v>5081</v>
      </c>
      <c r="C1726" s="20">
        <v>45600</v>
      </c>
      <c r="D1726" s="11">
        <v>1698.387345207708</v>
      </c>
      <c r="E1726" s="27">
        <f t="shared" si="130"/>
        <v>1890.6447926852206</v>
      </c>
      <c r="F1726" s="6">
        <f t="shared" si="131"/>
        <v>2457.8382304907868</v>
      </c>
      <c r="G1726" s="7">
        <f t="shared" si="132"/>
        <v>2646.9027097593089</v>
      </c>
      <c r="H1726" s="8">
        <f t="shared" si="133"/>
        <v>2835.967189027831</v>
      </c>
      <c r="I1726" s="9">
        <f t="shared" si="134"/>
        <v>3025.031668296353</v>
      </c>
    </row>
    <row r="1727" spans="1:9" x14ac:dyDescent="0.35">
      <c r="A1727" s="24" t="s">
        <v>5086</v>
      </c>
      <c r="B1727" s="25" t="s">
        <v>5082</v>
      </c>
      <c r="C1727" s="20">
        <v>45600</v>
      </c>
      <c r="D1727" s="11">
        <v>2786.1640020193122</v>
      </c>
      <c r="E1727" s="27">
        <f t="shared" si="130"/>
        <v>3101.5577670478983</v>
      </c>
      <c r="F1727" s="6">
        <f t="shared" si="131"/>
        <v>4032.0250971622681</v>
      </c>
      <c r="G1727" s="7">
        <f t="shared" si="132"/>
        <v>4342.180873867057</v>
      </c>
      <c r="H1727" s="8">
        <f t="shared" si="133"/>
        <v>4652.3366505718477</v>
      </c>
      <c r="I1727" s="9">
        <f t="shared" si="134"/>
        <v>4962.4924272766375</v>
      </c>
    </row>
    <row r="1728" spans="1:9" x14ac:dyDescent="0.35">
      <c r="A1728" s="24"/>
      <c r="B1728" s="25"/>
      <c r="C1728" s="20">
        <v>45600</v>
      </c>
      <c r="D1728" s="11">
        <v>0</v>
      </c>
      <c r="E1728" s="27">
        <f t="shared" si="130"/>
        <v>0</v>
      </c>
      <c r="F1728" s="6">
        <f t="shared" si="131"/>
        <v>0</v>
      </c>
      <c r="G1728" s="7">
        <f t="shared" si="132"/>
        <v>0</v>
      </c>
      <c r="H1728" s="8">
        <f t="shared" si="133"/>
        <v>0</v>
      </c>
      <c r="I1728" s="9">
        <f t="shared" si="134"/>
        <v>0</v>
      </c>
    </row>
    <row r="1729" spans="1:9" x14ac:dyDescent="0.35">
      <c r="A1729" s="24" t="s">
        <v>5101</v>
      </c>
      <c r="B1729" s="25" t="s">
        <v>5087</v>
      </c>
      <c r="C1729" s="20">
        <v>45600</v>
      </c>
      <c r="D1729" s="11">
        <v>788.54062499999986</v>
      </c>
      <c r="E1729" s="27">
        <f t="shared" si="130"/>
        <v>877.80342374999987</v>
      </c>
      <c r="F1729" s="6">
        <f t="shared" si="131"/>
        <v>1141.1444508749998</v>
      </c>
      <c r="G1729" s="7">
        <f t="shared" si="132"/>
        <v>1228.9247932499998</v>
      </c>
      <c r="H1729" s="8">
        <f t="shared" si="133"/>
        <v>1316.7051356249999</v>
      </c>
      <c r="I1729" s="9">
        <f t="shared" si="134"/>
        <v>1404.4854779999998</v>
      </c>
    </row>
    <row r="1730" spans="1:9" x14ac:dyDescent="0.35">
      <c r="A1730" s="24" t="s">
        <v>5102</v>
      </c>
      <c r="B1730" s="25" t="s">
        <v>5088</v>
      </c>
      <c r="C1730" s="20">
        <v>45600</v>
      </c>
      <c r="D1730" s="11">
        <v>1273.4000000000001</v>
      </c>
      <c r="E1730" s="27">
        <f t="shared" si="130"/>
        <v>1417.5488800000001</v>
      </c>
      <c r="F1730" s="6">
        <f t="shared" si="131"/>
        <v>1842.8135440000001</v>
      </c>
      <c r="G1730" s="7">
        <f t="shared" si="132"/>
        <v>1984.568432</v>
      </c>
      <c r="H1730" s="8">
        <f t="shared" si="133"/>
        <v>2126.32332</v>
      </c>
      <c r="I1730" s="9">
        <f t="shared" si="134"/>
        <v>2268.0782080000004</v>
      </c>
    </row>
    <row r="1731" spans="1:9" x14ac:dyDescent="0.35">
      <c r="A1731" s="24"/>
      <c r="B1731" s="25"/>
      <c r="C1731" s="20">
        <v>45600</v>
      </c>
      <c r="D1731" s="11">
        <v>0</v>
      </c>
      <c r="E1731" s="27">
        <f t="shared" si="130"/>
        <v>0</v>
      </c>
      <c r="F1731" s="6">
        <f t="shared" si="131"/>
        <v>0</v>
      </c>
      <c r="G1731" s="7">
        <f t="shared" si="132"/>
        <v>0</v>
      </c>
      <c r="H1731" s="8">
        <f t="shared" si="133"/>
        <v>0</v>
      </c>
      <c r="I1731" s="9">
        <f t="shared" si="134"/>
        <v>0</v>
      </c>
    </row>
    <row r="1732" spans="1:9" x14ac:dyDescent="0.35">
      <c r="A1732" s="24" t="s">
        <v>5103</v>
      </c>
      <c r="B1732" s="25" t="s">
        <v>5089</v>
      </c>
      <c r="C1732" s="20">
        <v>45600</v>
      </c>
      <c r="D1732" s="11">
        <v>937.4170949999999</v>
      </c>
      <c r="E1732" s="27">
        <f t="shared" si="130"/>
        <v>1043.5327101539999</v>
      </c>
      <c r="F1732" s="6">
        <f t="shared" si="131"/>
        <v>1356.5925232002</v>
      </c>
      <c r="G1732" s="7">
        <f t="shared" si="132"/>
        <v>1460.9457942155998</v>
      </c>
      <c r="H1732" s="8">
        <f t="shared" si="133"/>
        <v>1565.299065231</v>
      </c>
      <c r="I1732" s="9">
        <f t="shared" si="134"/>
        <v>1669.6523362464</v>
      </c>
    </row>
    <row r="1733" spans="1:9" x14ac:dyDescent="0.35">
      <c r="A1733" s="24" t="s">
        <v>5104</v>
      </c>
      <c r="B1733" s="25" t="s">
        <v>5090</v>
      </c>
      <c r="C1733" s="20">
        <v>45600</v>
      </c>
      <c r="D1733" s="11">
        <v>1100.1718799999999</v>
      </c>
      <c r="E1733" s="27">
        <f t="shared" si="130"/>
        <v>1224.7113368159999</v>
      </c>
      <c r="F1733" s="6">
        <f t="shared" si="131"/>
        <v>1592.1247378607998</v>
      </c>
      <c r="G1733" s="7">
        <f t="shared" si="132"/>
        <v>1714.5958715423997</v>
      </c>
      <c r="H1733" s="8">
        <f t="shared" si="133"/>
        <v>1837.0670052239998</v>
      </c>
      <c r="I1733" s="9">
        <f t="shared" si="134"/>
        <v>1959.5381389055999</v>
      </c>
    </row>
    <row r="1734" spans="1:9" x14ac:dyDescent="0.35">
      <c r="A1734" s="24"/>
      <c r="B1734" s="25"/>
      <c r="C1734" s="20">
        <v>45600</v>
      </c>
      <c r="D1734" s="11">
        <v>0</v>
      </c>
      <c r="E1734" s="27">
        <f t="shared" si="130"/>
        <v>0</v>
      </c>
      <c r="F1734" s="6">
        <f t="shared" si="131"/>
        <v>0</v>
      </c>
      <c r="G1734" s="7">
        <f t="shared" si="132"/>
        <v>0</v>
      </c>
      <c r="H1734" s="8">
        <f t="shared" si="133"/>
        <v>0</v>
      </c>
      <c r="I1734" s="9">
        <f t="shared" si="134"/>
        <v>0</v>
      </c>
    </row>
    <row r="1735" spans="1:9" x14ac:dyDescent="0.35">
      <c r="A1735" s="24" t="s">
        <v>5105</v>
      </c>
      <c r="B1735" s="25" t="s">
        <v>5091</v>
      </c>
      <c r="C1735" s="20">
        <v>45600</v>
      </c>
      <c r="D1735" s="11">
        <v>3101.4540000000002</v>
      </c>
      <c r="E1735" s="27">
        <f t="shared" si="130"/>
        <v>3452.5385928000001</v>
      </c>
      <c r="F1735" s="6">
        <f t="shared" si="131"/>
        <v>4488.30017064</v>
      </c>
      <c r="G1735" s="7">
        <f t="shared" si="132"/>
        <v>4833.5540299200002</v>
      </c>
      <c r="H1735" s="8">
        <f t="shared" si="133"/>
        <v>5178.8078892000003</v>
      </c>
      <c r="I1735" s="9">
        <f t="shared" si="134"/>
        <v>5524.0617484800005</v>
      </c>
    </row>
    <row r="1736" spans="1:9" x14ac:dyDescent="0.35">
      <c r="A1736" s="24" t="s">
        <v>5106</v>
      </c>
      <c r="B1736" s="25" t="s">
        <v>5092</v>
      </c>
      <c r="C1736" s="20">
        <v>45600</v>
      </c>
      <c r="D1736" s="11">
        <v>4239.2262000000001</v>
      </c>
      <c r="E1736" s="27">
        <f t="shared" si="130"/>
        <v>4719.1066058400002</v>
      </c>
      <c r="F1736" s="6">
        <f t="shared" si="131"/>
        <v>6134.8385875920003</v>
      </c>
      <c r="G1736" s="7">
        <f t="shared" si="132"/>
        <v>6606.749248176</v>
      </c>
      <c r="H1736" s="8">
        <f t="shared" si="133"/>
        <v>7078.6599087600007</v>
      </c>
      <c r="I1736" s="9">
        <f t="shared" si="134"/>
        <v>7550.5705693440004</v>
      </c>
    </row>
    <row r="1737" spans="1:9" x14ac:dyDescent="0.35">
      <c r="A1737" s="24"/>
      <c r="B1737" s="25"/>
      <c r="C1737" s="20">
        <v>45600</v>
      </c>
      <c r="D1737" s="11">
        <v>0</v>
      </c>
      <c r="E1737" s="27">
        <f t="shared" si="130"/>
        <v>0</v>
      </c>
      <c r="F1737" s="6">
        <f t="shared" si="131"/>
        <v>0</v>
      </c>
      <c r="G1737" s="7">
        <f t="shared" si="132"/>
        <v>0</v>
      </c>
      <c r="H1737" s="8">
        <f t="shared" si="133"/>
        <v>0</v>
      </c>
      <c r="I1737" s="9">
        <f t="shared" si="134"/>
        <v>0</v>
      </c>
    </row>
    <row r="1738" spans="1:9" x14ac:dyDescent="0.35">
      <c r="A1738" s="24" t="s">
        <v>5107</v>
      </c>
      <c r="B1738" s="25" t="s">
        <v>5093</v>
      </c>
      <c r="C1738" s="20">
        <v>45600</v>
      </c>
      <c r="D1738" s="11">
        <v>986.62203</v>
      </c>
      <c r="E1738" s="27">
        <f t="shared" si="130"/>
        <v>1098.3076437960001</v>
      </c>
      <c r="F1738" s="6">
        <f t="shared" si="131"/>
        <v>1427.7999369348001</v>
      </c>
      <c r="G1738" s="7">
        <f t="shared" si="132"/>
        <v>1537.6307013144001</v>
      </c>
      <c r="H1738" s="8">
        <f t="shared" si="133"/>
        <v>1647.4614656940003</v>
      </c>
      <c r="I1738" s="9">
        <f t="shared" si="134"/>
        <v>1757.2922300736002</v>
      </c>
    </row>
    <row r="1739" spans="1:9" x14ac:dyDescent="0.35">
      <c r="A1739" s="24" t="s">
        <v>5108</v>
      </c>
      <c r="B1739" s="25" t="s">
        <v>5094</v>
      </c>
      <c r="C1739" s="20">
        <v>45600</v>
      </c>
      <c r="D1739" s="11">
        <v>1501.278</v>
      </c>
      <c r="E1739" s="27">
        <f t="shared" si="130"/>
        <v>1671.2226696</v>
      </c>
      <c r="F1739" s="6">
        <f t="shared" si="131"/>
        <v>2172.5894704800003</v>
      </c>
      <c r="G1739" s="7">
        <f t="shared" si="132"/>
        <v>2339.71173744</v>
      </c>
      <c r="H1739" s="8">
        <f t="shared" si="133"/>
        <v>2506.8340044000001</v>
      </c>
      <c r="I1739" s="9">
        <f t="shared" si="134"/>
        <v>2673.9562713600003</v>
      </c>
    </row>
    <row r="1740" spans="1:9" x14ac:dyDescent="0.35">
      <c r="A1740" s="24"/>
      <c r="B1740" s="25"/>
      <c r="C1740" s="20">
        <v>45600</v>
      </c>
      <c r="D1740" s="11">
        <v>0</v>
      </c>
      <c r="E1740" s="27">
        <f t="shared" ref="E1740:E1803" si="135">D1740*1.21*0.92</f>
        <v>0</v>
      </c>
      <c r="F1740" s="6">
        <f t="shared" si="131"/>
        <v>0</v>
      </c>
      <c r="G1740" s="7">
        <f t="shared" si="132"/>
        <v>0</v>
      </c>
      <c r="H1740" s="8">
        <f t="shared" si="133"/>
        <v>0</v>
      </c>
      <c r="I1740" s="9">
        <f t="shared" si="134"/>
        <v>0</v>
      </c>
    </row>
    <row r="1741" spans="1:9" x14ac:dyDescent="0.35">
      <c r="A1741" s="24" t="s">
        <v>5109</v>
      </c>
      <c r="B1741" s="25" t="s">
        <v>5095</v>
      </c>
      <c r="C1741" s="20">
        <v>45600</v>
      </c>
      <c r="D1741" s="11">
        <v>481.95</v>
      </c>
      <c r="E1741" s="27">
        <f t="shared" si="135"/>
        <v>536.50674000000004</v>
      </c>
      <c r="F1741" s="6">
        <f t="shared" si="131"/>
        <v>697.45876200000009</v>
      </c>
      <c r="G1741" s="7">
        <f t="shared" si="132"/>
        <v>751.10943599999996</v>
      </c>
      <c r="H1741" s="8">
        <f t="shared" si="133"/>
        <v>804.76011000000005</v>
      </c>
      <c r="I1741" s="9">
        <f t="shared" si="134"/>
        <v>858.41078400000015</v>
      </c>
    </row>
    <row r="1742" spans="1:9" x14ac:dyDescent="0.35">
      <c r="A1742" s="24" t="s">
        <v>5110</v>
      </c>
      <c r="B1742" s="25" t="s">
        <v>5096</v>
      </c>
      <c r="C1742" s="20">
        <v>45600</v>
      </c>
      <c r="D1742" s="11">
        <v>833.76</v>
      </c>
      <c r="E1742" s="27">
        <f t="shared" si="135"/>
        <v>928.14163200000007</v>
      </c>
      <c r="F1742" s="6">
        <f t="shared" si="131"/>
        <v>1206.5841216000001</v>
      </c>
      <c r="G1742" s="7">
        <f t="shared" si="132"/>
        <v>1299.3982848000001</v>
      </c>
      <c r="H1742" s="8">
        <f t="shared" si="133"/>
        <v>1392.2124480000002</v>
      </c>
      <c r="I1742" s="9">
        <f t="shared" si="134"/>
        <v>1485.0266112000002</v>
      </c>
    </row>
    <row r="1743" spans="1:9" x14ac:dyDescent="0.35">
      <c r="A1743" s="24"/>
      <c r="B1743" s="25"/>
      <c r="C1743" s="20">
        <v>45600</v>
      </c>
      <c r="D1743" s="11">
        <v>0</v>
      </c>
      <c r="E1743" s="27">
        <f t="shared" si="135"/>
        <v>0</v>
      </c>
      <c r="F1743" s="6">
        <f t="shared" si="131"/>
        <v>0</v>
      </c>
      <c r="G1743" s="7">
        <f t="shared" si="132"/>
        <v>0</v>
      </c>
      <c r="H1743" s="8">
        <f t="shared" si="133"/>
        <v>0</v>
      </c>
      <c r="I1743" s="9">
        <f t="shared" si="134"/>
        <v>0</v>
      </c>
    </row>
    <row r="1744" spans="1:9" x14ac:dyDescent="0.35">
      <c r="A1744" s="24" t="s">
        <v>5111</v>
      </c>
      <c r="B1744" s="25" t="s">
        <v>5097</v>
      </c>
      <c r="C1744" s="20">
        <v>45600</v>
      </c>
      <c r="D1744" s="11">
        <v>2578.5</v>
      </c>
      <c r="E1744" s="27">
        <f t="shared" si="135"/>
        <v>2870.3862000000004</v>
      </c>
      <c r="F1744" s="6">
        <f t="shared" si="131"/>
        <v>3731.5020600000007</v>
      </c>
      <c r="G1744" s="7">
        <f t="shared" si="132"/>
        <v>4018.5406800000001</v>
      </c>
      <c r="H1744" s="8">
        <f t="shared" si="133"/>
        <v>4305.5793000000003</v>
      </c>
      <c r="I1744" s="9">
        <f t="shared" si="134"/>
        <v>4592.6179200000006</v>
      </c>
    </row>
    <row r="1745" spans="1:9" x14ac:dyDescent="0.35">
      <c r="A1745" s="24" t="s">
        <v>5112</v>
      </c>
      <c r="B1745" s="25" t="s">
        <v>5098</v>
      </c>
      <c r="C1745" s="20">
        <v>45600</v>
      </c>
      <c r="D1745" s="11">
        <v>7402.8491999999997</v>
      </c>
      <c r="E1745" s="27">
        <f t="shared" si="135"/>
        <v>8240.8517294400008</v>
      </c>
      <c r="F1745" s="6">
        <f t="shared" si="131"/>
        <v>10713.107248272001</v>
      </c>
      <c r="G1745" s="7">
        <f t="shared" si="132"/>
        <v>11537.192421216001</v>
      </c>
      <c r="H1745" s="8">
        <f t="shared" si="133"/>
        <v>12361.277594160001</v>
      </c>
      <c r="I1745" s="9">
        <f t="shared" si="134"/>
        <v>13185.362767104001</v>
      </c>
    </row>
    <row r="1746" spans="1:9" x14ac:dyDescent="0.35">
      <c r="A1746" s="24"/>
      <c r="B1746" s="25"/>
      <c r="C1746" s="20">
        <v>45600</v>
      </c>
      <c r="D1746" s="11">
        <v>0</v>
      </c>
      <c r="E1746" s="27">
        <f t="shared" si="135"/>
        <v>0</v>
      </c>
      <c r="F1746" s="6">
        <f t="shared" si="131"/>
        <v>0</v>
      </c>
      <c r="G1746" s="7">
        <f t="shared" si="132"/>
        <v>0</v>
      </c>
      <c r="H1746" s="8">
        <f t="shared" si="133"/>
        <v>0</v>
      </c>
      <c r="I1746" s="9">
        <f t="shared" si="134"/>
        <v>0</v>
      </c>
    </row>
    <row r="1747" spans="1:9" x14ac:dyDescent="0.35">
      <c r="A1747" s="24" t="s">
        <v>5113</v>
      </c>
      <c r="B1747" s="25" t="s">
        <v>5099</v>
      </c>
      <c r="C1747" s="20">
        <v>45600</v>
      </c>
      <c r="D1747" s="11">
        <v>1120.473</v>
      </c>
      <c r="E1747" s="27">
        <f t="shared" si="135"/>
        <v>1247.3105436000001</v>
      </c>
      <c r="F1747" s="6">
        <f t="shared" si="131"/>
        <v>1621.5037066800001</v>
      </c>
      <c r="G1747" s="7">
        <f t="shared" si="132"/>
        <v>1746.23476104</v>
      </c>
      <c r="H1747" s="8">
        <f t="shared" si="133"/>
        <v>1870.9658154000001</v>
      </c>
      <c r="I1747" s="9">
        <f t="shared" si="134"/>
        <v>1995.6968697600003</v>
      </c>
    </row>
    <row r="1748" spans="1:9" x14ac:dyDescent="0.35">
      <c r="A1748" s="24" t="s">
        <v>5114</v>
      </c>
      <c r="B1748" s="25" t="s">
        <v>5100</v>
      </c>
      <c r="C1748" s="20">
        <v>45600</v>
      </c>
      <c r="D1748" s="11">
        <v>2205.5314000000003</v>
      </c>
      <c r="E1748" s="27">
        <f t="shared" si="135"/>
        <v>2455.1975544800007</v>
      </c>
      <c r="F1748" s="6">
        <f t="shared" si="131"/>
        <v>3191.7568208240009</v>
      </c>
      <c r="G1748" s="7">
        <f t="shared" si="132"/>
        <v>3437.276576272001</v>
      </c>
      <c r="H1748" s="8">
        <f t="shared" si="133"/>
        <v>3682.796331720001</v>
      </c>
      <c r="I1748" s="9">
        <f t="shared" si="134"/>
        <v>3928.3160871680011</v>
      </c>
    </row>
    <row r="1749" spans="1:9" x14ac:dyDescent="0.35">
      <c r="A1749" s="24"/>
      <c r="B1749" s="25"/>
      <c r="C1749" s="20">
        <v>45600</v>
      </c>
      <c r="D1749" s="11">
        <v>0</v>
      </c>
      <c r="E1749" s="27">
        <f t="shared" si="135"/>
        <v>0</v>
      </c>
      <c r="F1749" s="6">
        <f t="shared" si="131"/>
        <v>0</v>
      </c>
      <c r="G1749" s="7">
        <f t="shared" si="132"/>
        <v>0</v>
      </c>
      <c r="H1749" s="8">
        <f t="shared" si="133"/>
        <v>0</v>
      </c>
      <c r="I1749" s="9">
        <f t="shared" si="134"/>
        <v>0</v>
      </c>
    </row>
    <row r="1750" spans="1:9" x14ac:dyDescent="0.35">
      <c r="A1750" s="24" t="s">
        <v>6567</v>
      </c>
      <c r="B1750" s="25" t="s">
        <v>6568</v>
      </c>
      <c r="C1750" s="20">
        <v>45600</v>
      </c>
      <c r="D1750" s="11">
        <v>6678</v>
      </c>
      <c r="E1750" s="27">
        <f t="shared" si="135"/>
        <v>7433.9496000000008</v>
      </c>
      <c r="F1750" s="6">
        <f t="shared" si="131"/>
        <v>9664.1344800000006</v>
      </c>
      <c r="G1750" s="7">
        <f t="shared" si="132"/>
        <v>10407.52944</v>
      </c>
      <c r="H1750" s="8">
        <f t="shared" si="133"/>
        <v>11150.924400000002</v>
      </c>
      <c r="I1750" s="9">
        <f t="shared" si="134"/>
        <v>11894.319360000001</v>
      </c>
    </row>
    <row r="1751" spans="1:9" x14ac:dyDescent="0.35">
      <c r="A1751" s="24" t="s">
        <v>6570</v>
      </c>
      <c r="B1751" s="25" t="s">
        <v>6569</v>
      </c>
      <c r="C1751" s="20">
        <v>45600</v>
      </c>
      <c r="D1751" s="11">
        <v>7632</v>
      </c>
      <c r="E1751" s="27">
        <f t="shared" si="135"/>
        <v>8495.9423999999999</v>
      </c>
      <c r="F1751" s="6">
        <f t="shared" si="131"/>
        <v>11044.725120000001</v>
      </c>
      <c r="G1751" s="7">
        <f t="shared" si="132"/>
        <v>11894.31936</v>
      </c>
      <c r="H1751" s="8">
        <f t="shared" si="133"/>
        <v>12743.9136</v>
      </c>
      <c r="I1751" s="9">
        <f t="shared" si="134"/>
        <v>13593.50784</v>
      </c>
    </row>
    <row r="1752" spans="1:9" ht="18" x14ac:dyDescent="0.4">
      <c r="B1752" s="19" t="s">
        <v>5624</v>
      </c>
      <c r="D1752" s="11">
        <v>0</v>
      </c>
      <c r="E1752" s="27">
        <f t="shared" si="135"/>
        <v>0</v>
      </c>
      <c r="F1752" s="6">
        <f t="shared" si="131"/>
        <v>0</v>
      </c>
      <c r="G1752" s="7">
        <f t="shared" si="132"/>
        <v>0</v>
      </c>
      <c r="H1752" s="8">
        <f t="shared" si="133"/>
        <v>0</v>
      </c>
      <c r="I1752" s="9">
        <f t="shared" si="134"/>
        <v>0</v>
      </c>
    </row>
    <row r="1753" spans="1:9" x14ac:dyDescent="0.35">
      <c r="A1753" s="24" t="s">
        <v>5625</v>
      </c>
      <c r="B1753" s="25" t="s">
        <v>5627</v>
      </c>
      <c r="C1753" s="20">
        <v>45702</v>
      </c>
      <c r="D1753" s="11">
        <v>4825.0125000000007</v>
      </c>
      <c r="E1753" s="27">
        <f t="shared" si="135"/>
        <v>5371.203915000001</v>
      </c>
      <c r="F1753" s="6">
        <f t="shared" si="131"/>
        <v>6982.5650895000017</v>
      </c>
      <c r="G1753" s="7">
        <f t="shared" si="132"/>
        <v>7519.6854810000004</v>
      </c>
      <c r="H1753" s="8">
        <f t="shared" si="133"/>
        <v>8056.805872500001</v>
      </c>
      <c r="I1753" s="9">
        <f t="shared" si="134"/>
        <v>8593.9262640000015</v>
      </c>
    </row>
    <row r="1754" spans="1:9" x14ac:dyDescent="0.35">
      <c r="A1754" s="24" t="s">
        <v>5626</v>
      </c>
      <c r="B1754" s="25" t="s">
        <v>5628</v>
      </c>
      <c r="C1754" s="20">
        <v>45702</v>
      </c>
      <c r="D1754" s="11">
        <v>5909.2687500000002</v>
      </c>
      <c r="E1754" s="27">
        <f t="shared" si="135"/>
        <v>6578.1979725000001</v>
      </c>
      <c r="F1754" s="6">
        <f t="shared" si="131"/>
        <v>8551.6573642500007</v>
      </c>
      <c r="G1754" s="7">
        <f t="shared" si="132"/>
        <v>9209.4771614999991</v>
      </c>
      <c r="H1754" s="8">
        <f t="shared" si="133"/>
        <v>9867.2969587500011</v>
      </c>
      <c r="I1754" s="9">
        <f t="shared" si="134"/>
        <v>10525.116756000001</v>
      </c>
    </row>
    <row r="1755" spans="1:9" x14ac:dyDescent="0.35">
      <c r="A1755" s="24" t="s">
        <v>5634</v>
      </c>
      <c r="B1755" s="25" t="s">
        <v>5636</v>
      </c>
      <c r="C1755" s="20">
        <v>45702</v>
      </c>
      <c r="D1755" s="11">
        <v>9650.0250000000015</v>
      </c>
      <c r="E1755" s="27">
        <f t="shared" si="135"/>
        <v>10742.407830000002</v>
      </c>
      <c r="F1755" s="6">
        <f t="shared" si="131"/>
        <v>13965.130179000003</v>
      </c>
      <c r="G1755" s="7">
        <f t="shared" si="132"/>
        <v>15039.370962000001</v>
      </c>
      <c r="H1755" s="8">
        <f t="shared" si="133"/>
        <v>16113.611745000002</v>
      </c>
      <c r="I1755" s="9">
        <f t="shared" si="134"/>
        <v>17187.852528000003</v>
      </c>
    </row>
    <row r="1756" spans="1:9" x14ac:dyDescent="0.35">
      <c r="A1756" s="24" t="s">
        <v>5635</v>
      </c>
      <c r="B1756" s="25" t="s">
        <v>5637</v>
      </c>
      <c r="C1756" s="20">
        <v>45702</v>
      </c>
      <c r="D1756" s="11">
        <v>11818.5375</v>
      </c>
      <c r="E1756" s="27">
        <f t="shared" si="135"/>
        <v>13156.395945</v>
      </c>
      <c r="F1756" s="6">
        <f t="shared" si="131"/>
        <v>17103.314728500001</v>
      </c>
      <c r="G1756" s="7">
        <f t="shared" si="132"/>
        <v>18418.954322999998</v>
      </c>
      <c r="H1756" s="8">
        <f t="shared" si="133"/>
        <v>19734.593917500002</v>
      </c>
      <c r="I1756" s="9">
        <f t="shared" si="134"/>
        <v>21050.233512000003</v>
      </c>
    </row>
    <row r="1757" spans="1:9" ht="18" x14ac:dyDescent="0.4">
      <c r="B1757" s="19" t="s">
        <v>3413</v>
      </c>
      <c r="D1757" s="11">
        <v>0</v>
      </c>
      <c r="E1757" s="27">
        <f t="shared" si="135"/>
        <v>0</v>
      </c>
      <c r="F1757" s="6">
        <f t="shared" si="131"/>
        <v>0</v>
      </c>
      <c r="G1757" s="7">
        <f t="shared" si="132"/>
        <v>0</v>
      </c>
      <c r="H1757" s="8">
        <f t="shared" si="133"/>
        <v>0</v>
      </c>
      <c r="I1757" s="9">
        <f t="shared" si="134"/>
        <v>0</v>
      </c>
    </row>
    <row r="1758" spans="1:9" x14ac:dyDescent="0.35">
      <c r="A1758" s="24">
        <v>7201</v>
      </c>
      <c r="B1758" s="24" t="s">
        <v>3414</v>
      </c>
      <c r="C1758" s="20">
        <v>45673</v>
      </c>
      <c r="D1758" s="11">
        <v>357.30023474668309</v>
      </c>
      <c r="E1758" s="27">
        <f t="shared" si="135"/>
        <v>397.74662132000759</v>
      </c>
      <c r="F1758" s="6">
        <f t="shared" si="131"/>
        <v>517.07060771600993</v>
      </c>
      <c r="G1758" s="7">
        <f t="shared" si="132"/>
        <v>556.84526984801062</v>
      </c>
      <c r="H1758" s="8">
        <f t="shared" si="133"/>
        <v>596.61993198001142</v>
      </c>
      <c r="I1758" s="9">
        <f t="shared" si="134"/>
        <v>636.39459411201221</v>
      </c>
    </row>
    <row r="1759" spans="1:9" x14ac:dyDescent="0.35">
      <c r="A1759" s="24">
        <v>7203</v>
      </c>
      <c r="B1759" s="18" t="s">
        <v>3415</v>
      </c>
      <c r="C1759" s="20">
        <v>45673</v>
      </c>
      <c r="D1759" s="11">
        <v>382.40781880996371</v>
      </c>
      <c r="E1759" s="27">
        <f t="shared" si="135"/>
        <v>425.6963838992516</v>
      </c>
      <c r="F1759" s="6">
        <f t="shared" si="131"/>
        <v>553.40529906902714</v>
      </c>
      <c r="G1759" s="7">
        <f t="shared" si="132"/>
        <v>595.97493745895224</v>
      </c>
      <c r="H1759" s="8">
        <f t="shared" si="133"/>
        <v>638.54457584887746</v>
      </c>
      <c r="I1759" s="9">
        <f t="shared" si="134"/>
        <v>681.11421423880256</v>
      </c>
    </row>
    <row r="1760" spans="1:9" x14ac:dyDescent="0.35">
      <c r="A1760" s="24">
        <v>7205</v>
      </c>
      <c r="B1760" s="18" t="s">
        <v>3416</v>
      </c>
      <c r="C1760" s="20">
        <v>45673</v>
      </c>
      <c r="D1760" s="11">
        <v>382.40781880996371</v>
      </c>
      <c r="E1760" s="27">
        <f t="shared" si="135"/>
        <v>425.6963838992516</v>
      </c>
      <c r="F1760" s="6">
        <f t="shared" si="131"/>
        <v>553.40529906902714</v>
      </c>
      <c r="G1760" s="7">
        <f t="shared" si="132"/>
        <v>595.97493745895224</v>
      </c>
      <c r="H1760" s="8">
        <f t="shared" si="133"/>
        <v>638.54457584887746</v>
      </c>
      <c r="I1760" s="9">
        <f t="shared" si="134"/>
        <v>681.11421423880256</v>
      </c>
    </row>
    <row r="1761" spans="1:9" x14ac:dyDescent="0.35">
      <c r="A1761" s="24">
        <v>7207</v>
      </c>
      <c r="B1761" s="18" t="s">
        <v>3417</v>
      </c>
      <c r="C1761" s="20">
        <v>45673</v>
      </c>
      <c r="D1761" s="11">
        <v>397.85863977198244</v>
      </c>
      <c r="E1761" s="27">
        <f t="shared" si="135"/>
        <v>442.89623779417087</v>
      </c>
      <c r="F1761" s="6">
        <f t="shared" si="131"/>
        <v>575.76510913242214</v>
      </c>
      <c r="G1761" s="7">
        <f t="shared" si="132"/>
        <v>620.05473291183921</v>
      </c>
      <c r="H1761" s="8">
        <f t="shared" si="133"/>
        <v>664.34435669125628</v>
      </c>
      <c r="I1761" s="9">
        <f t="shared" si="134"/>
        <v>708.63398047067346</v>
      </c>
    </row>
    <row r="1762" spans="1:9" x14ac:dyDescent="0.35">
      <c r="A1762" s="24">
        <v>7209</v>
      </c>
      <c r="B1762" s="18" t="s">
        <v>3418</v>
      </c>
      <c r="C1762" s="20">
        <v>45673</v>
      </c>
      <c r="D1762" s="11">
        <v>397.85863977198244</v>
      </c>
      <c r="E1762" s="27">
        <f t="shared" si="135"/>
        <v>442.89623779417087</v>
      </c>
      <c r="F1762" s="6">
        <f t="shared" si="131"/>
        <v>575.76510913242214</v>
      </c>
      <c r="G1762" s="7">
        <f t="shared" si="132"/>
        <v>620.05473291183921</v>
      </c>
      <c r="H1762" s="8">
        <f t="shared" si="133"/>
        <v>664.34435669125628</v>
      </c>
      <c r="I1762" s="9">
        <f t="shared" si="134"/>
        <v>708.63398047067346</v>
      </c>
    </row>
    <row r="1763" spans="1:9" x14ac:dyDescent="0.35">
      <c r="A1763" s="24">
        <v>7211</v>
      </c>
      <c r="B1763" s="18" t="s">
        <v>3419</v>
      </c>
      <c r="C1763" s="20">
        <v>45673</v>
      </c>
      <c r="D1763" s="11">
        <v>459.66192362005717</v>
      </c>
      <c r="E1763" s="27">
        <f t="shared" si="135"/>
        <v>511.69565337384768</v>
      </c>
      <c r="F1763" s="6">
        <f t="shared" si="131"/>
        <v>665.20434938600204</v>
      </c>
      <c r="G1763" s="7">
        <f t="shared" si="132"/>
        <v>716.37391472338675</v>
      </c>
      <c r="H1763" s="8">
        <f t="shared" si="133"/>
        <v>767.54348006077157</v>
      </c>
      <c r="I1763" s="9">
        <f t="shared" si="134"/>
        <v>818.71304539815628</v>
      </c>
    </row>
    <row r="1764" spans="1:9" x14ac:dyDescent="0.35">
      <c r="A1764" s="24">
        <v>7213</v>
      </c>
      <c r="B1764" s="18" t="s">
        <v>3420</v>
      </c>
      <c r="C1764" s="20">
        <v>45673</v>
      </c>
      <c r="D1764" s="11">
        <v>459.66192362005717</v>
      </c>
      <c r="E1764" s="27">
        <f t="shared" si="135"/>
        <v>511.69565337384768</v>
      </c>
      <c r="F1764" s="6">
        <f t="shared" si="131"/>
        <v>665.20434938600204</v>
      </c>
      <c r="G1764" s="7">
        <f t="shared" si="132"/>
        <v>716.37391472338675</v>
      </c>
      <c r="H1764" s="8">
        <f t="shared" si="133"/>
        <v>767.54348006077157</v>
      </c>
      <c r="I1764" s="9">
        <f t="shared" si="134"/>
        <v>818.71304539815628</v>
      </c>
    </row>
    <row r="1765" spans="1:9" x14ac:dyDescent="0.35">
      <c r="A1765" s="24">
        <v>7215</v>
      </c>
      <c r="B1765" s="18" t="s">
        <v>3421</v>
      </c>
      <c r="C1765" s="20">
        <v>45673</v>
      </c>
      <c r="D1765" s="11">
        <v>563.53000000000009</v>
      </c>
      <c r="E1765" s="27">
        <f t="shared" si="135"/>
        <v>627.32159600000011</v>
      </c>
      <c r="F1765" s="6">
        <f t="shared" si="131"/>
        <v>815.51807480000014</v>
      </c>
      <c r="G1765" s="7">
        <f t="shared" si="132"/>
        <v>878.25023440000007</v>
      </c>
      <c r="H1765" s="8">
        <f t="shared" si="133"/>
        <v>940.98239400000011</v>
      </c>
      <c r="I1765" s="9">
        <f t="shared" si="134"/>
        <v>1003.7145536000003</v>
      </c>
    </row>
    <row r="1766" spans="1:9" ht="15.75" customHeight="1" x14ac:dyDescent="0.4">
      <c r="B1766" s="19" t="s">
        <v>200</v>
      </c>
      <c r="D1766" s="11">
        <v>0</v>
      </c>
      <c r="E1766" s="27">
        <f t="shared" si="135"/>
        <v>0</v>
      </c>
      <c r="F1766" s="6">
        <f t="shared" si="131"/>
        <v>0</v>
      </c>
      <c r="G1766" s="7">
        <f t="shared" si="132"/>
        <v>0</v>
      </c>
      <c r="H1766" s="8">
        <f t="shared" si="133"/>
        <v>0</v>
      </c>
      <c r="I1766" s="9">
        <f t="shared" si="134"/>
        <v>0</v>
      </c>
    </row>
    <row r="1767" spans="1:9" x14ac:dyDescent="0.35">
      <c r="A1767" s="18" t="s">
        <v>901</v>
      </c>
      <c r="B1767" s="18" t="s">
        <v>1758</v>
      </c>
      <c r="C1767" s="20">
        <v>45677</v>
      </c>
      <c r="D1767" s="11">
        <v>1586.9660625000001</v>
      </c>
      <c r="E1767" s="27">
        <f t="shared" si="135"/>
        <v>1766.6106207750001</v>
      </c>
      <c r="F1767" s="6">
        <f t="shared" si="131"/>
        <v>2296.5938070075003</v>
      </c>
      <c r="G1767" s="7">
        <f t="shared" si="132"/>
        <v>2473.2548690849999</v>
      </c>
      <c r="H1767" s="8">
        <f t="shared" si="133"/>
        <v>2649.9159311625003</v>
      </c>
      <c r="I1767" s="9">
        <f t="shared" si="134"/>
        <v>2826.5769932400003</v>
      </c>
    </row>
    <row r="1768" spans="1:9" x14ac:dyDescent="0.35">
      <c r="A1768" s="18" t="s">
        <v>902</v>
      </c>
      <c r="B1768" s="18" t="s">
        <v>1759</v>
      </c>
      <c r="C1768" s="20">
        <v>45677</v>
      </c>
      <c r="D1768" s="11">
        <v>1961.7609375000002</v>
      </c>
      <c r="E1768" s="27">
        <f t="shared" si="135"/>
        <v>2183.8322756250004</v>
      </c>
      <c r="F1768" s="6">
        <f t="shared" si="131"/>
        <v>2838.9819583125009</v>
      </c>
      <c r="G1768" s="7">
        <f t="shared" si="132"/>
        <v>3057.3651858750004</v>
      </c>
      <c r="H1768" s="8">
        <f t="shared" si="133"/>
        <v>3275.7484134375009</v>
      </c>
      <c r="I1768" s="9">
        <f t="shared" si="134"/>
        <v>3494.1316410000009</v>
      </c>
    </row>
    <row r="1769" spans="1:9" x14ac:dyDescent="0.35">
      <c r="A1769" s="18" t="s">
        <v>903</v>
      </c>
      <c r="B1769" s="18" t="s">
        <v>1760</v>
      </c>
      <c r="C1769" s="20">
        <v>45677</v>
      </c>
      <c r="D1769" s="11">
        <v>2710.9207125000003</v>
      </c>
      <c r="E1769" s="27">
        <f t="shared" si="135"/>
        <v>3017.7969371550003</v>
      </c>
      <c r="F1769" s="6">
        <f t="shared" si="131"/>
        <v>3923.1360183015004</v>
      </c>
      <c r="G1769" s="7">
        <f t="shared" si="132"/>
        <v>4224.9157120170003</v>
      </c>
      <c r="H1769" s="8">
        <f t="shared" si="133"/>
        <v>4526.6954057325001</v>
      </c>
      <c r="I1769" s="9">
        <f t="shared" si="134"/>
        <v>4828.4750994480009</v>
      </c>
    </row>
    <row r="1770" spans="1:9" x14ac:dyDescent="0.35">
      <c r="A1770" s="18" t="s">
        <v>3168</v>
      </c>
      <c r="B1770" s="18" t="s">
        <v>3171</v>
      </c>
      <c r="C1770" s="20">
        <v>45677</v>
      </c>
      <c r="D1770" s="11">
        <v>6781.852350000001</v>
      </c>
      <c r="E1770" s="27">
        <f t="shared" si="135"/>
        <v>7549.5580360200011</v>
      </c>
      <c r="F1770" s="6">
        <f t="shared" si="131"/>
        <v>9814.4254468260024</v>
      </c>
      <c r="G1770" s="7">
        <f t="shared" si="132"/>
        <v>10569.381250428001</v>
      </c>
      <c r="H1770" s="8">
        <f t="shared" si="133"/>
        <v>11324.337054030002</v>
      </c>
      <c r="I1770" s="9">
        <f t="shared" si="134"/>
        <v>12079.292857632003</v>
      </c>
    </row>
    <row r="1771" spans="1:9" x14ac:dyDescent="0.35">
      <c r="A1771" s="18" t="s">
        <v>3169</v>
      </c>
      <c r="B1771" s="18" t="s">
        <v>3172</v>
      </c>
      <c r="C1771" s="20">
        <v>45677</v>
      </c>
      <c r="D1771" s="11">
        <v>8421.7770000000019</v>
      </c>
      <c r="E1771" s="27">
        <f t="shared" si="135"/>
        <v>9375.1221564000025</v>
      </c>
      <c r="F1771" s="6">
        <f t="shared" si="131"/>
        <v>12187.658803320004</v>
      </c>
      <c r="G1771" s="7">
        <f t="shared" si="132"/>
        <v>13125.171018960003</v>
      </c>
      <c r="H1771" s="8">
        <f t="shared" si="133"/>
        <v>14062.683234600005</v>
      </c>
      <c r="I1771" s="9">
        <f t="shared" si="134"/>
        <v>15000.195450240004</v>
      </c>
    </row>
    <row r="1772" spans="1:9" x14ac:dyDescent="0.35">
      <c r="A1772" s="18" t="s">
        <v>3170</v>
      </c>
      <c r="B1772" s="18" t="s">
        <v>3173</v>
      </c>
      <c r="C1772" s="20">
        <v>45677</v>
      </c>
      <c r="D1772" s="11">
        <v>10404.391725000001</v>
      </c>
      <c r="E1772" s="27">
        <f t="shared" si="135"/>
        <v>11582.168868270002</v>
      </c>
      <c r="F1772" s="6">
        <f t="shared" si="131"/>
        <v>15056.819528751004</v>
      </c>
      <c r="G1772" s="7">
        <f t="shared" si="132"/>
        <v>16215.036415578003</v>
      </c>
      <c r="H1772" s="8">
        <f t="shared" si="133"/>
        <v>17373.253302405003</v>
      </c>
      <c r="I1772" s="9">
        <f t="shared" si="134"/>
        <v>18531.470189232004</v>
      </c>
    </row>
    <row r="1773" spans="1:9" x14ac:dyDescent="0.35">
      <c r="A1773" s="18" t="s">
        <v>4969</v>
      </c>
      <c r="B1773" s="18" t="s">
        <v>4971</v>
      </c>
      <c r="C1773" s="20">
        <v>45677</v>
      </c>
      <c r="D1773" s="11">
        <v>1832.8401000000001</v>
      </c>
      <c r="E1773" s="27">
        <f t="shared" si="135"/>
        <v>2040.3175993200002</v>
      </c>
      <c r="F1773" s="6">
        <f t="shared" si="131"/>
        <v>2652.4128791160006</v>
      </c>
      <c r="G1773" s="7">
        <f t="shared" si="132"/>
        <v>2856.4446390480002</v>
      </c>
      <c r="H1773" s="8">
        <f t="shared" si="133"/>
        <v>3060.4763989800003</v>
      </c>
      <c r="I1773" s="9">
        <f t="shared" si="134"/>
        <v>3264.5081589120005</v>
      </c>
    </row>
    <row r="1774" spans="1:9" x14ac:dyDescent="0.35">
      <c r="A1774" s="18" t="s">
        <v>4970</v>
      </c>
      <c r="B1774" s="18" t="s">
        <v>4972</v>
      </c>
      <c r="C1774" s="20">
        <v>45677</v>
      </c>
      <c r="D1774" s="11">
        <v>2265.5382750000003</v>
      </c>
      <c r="E1774" s="27">
        <f t="shared" si="135"/>
        <v>2521.9972077300004</v>
      </c>
      <c r="F1774" s="6">
        <f t="shared" si="131"/>
        <v>3278.5963700490006</v>
      </c>
      <c r="G1774" s="7">
        <f t="shared" si="132"/>
        <v>3530.7960908220002</v>
      </c>
      <c r="H1774" s="8">
        <f t="shared" si="133"/>
        <v>3782.9958115950003</v>
      </c>
      <c r="I1774" s="9">
        <f t="shared" si="134"/>
        <v>4035.1955323680008</v>
      </c>
    </row>
    <row r="1775" spans="1:9" x14ac:dyDescent="0.35">
      <c r="A1775" s="18" t="s">
        <v>5568</v>
      </c>
      <c r="B1775" s="18" t="s">
        <v>5572</v>
      </c>
      <c r="C1775" s="20">
        <v>45677</v>
      </c>
      <c r="D1775" s="11">
        <v>1904.3592750000005</v>
      </c>
      <c r="E1775" s="27">
        <f t="shared" si="135"/>
        <v>2119.9327449300004</v>
      </c>
      <c r="F1775" s="6">
        <f t="shared" si="131"/>
        <v>2755.9125684090004</v>
      </c>
      <c r="G1775" s="7">
        <f t="shared" si="132"/>
        <v>2967.9058429020001</v>
      </c>
      <c r="H1775" s="8">
        <f t="shared" si="133"/>
        <v>3179.8991173950008</v>
      </c>
      <c r="I1775" s="9">
        <f t="shared" si="134"/>
        <v>3391.8923918880009</v>
      </c>
    </row>
    <row r="1776" spans="1:9" x14ac:dyDescent="0.35">
      <c r="A1776" s="18" t="s">
        <v>5569</v>
      </c>
      <c r="B1776" s="18" t="s">
        <v>5573</v>
      </c>
      <c r="C1776" s="20">
        <v>45677</v>
      </c>
      <c r="D1776" s="11">
        <v>2354.4714375000003</v>
      </c>
      <c r="E1776" s="27">
        <f t="shared" si="135"/>
        <v>2620.9976042250005</v>
      </c>
      <c r="F1776" s="6">
        <f t="shared" si="131"/>
        <v>3407.2968854925007</v>
      </c>
      <c r="G1776" s="7">
        <f t="shared" si="132"/>
        <v>3669.3966459150006</v>
      </c>
      <c r="H1776" s="8">
        <f t="shared" si="133"/>
        <v>3931.496406337501</v>
      </c>
      <c r="I1776" s="9">
        <f t="shared" si="134"/>
        <v>4193.5961667600013</v>
      </c>
    </row>
    <row r="1777" spans="1:9" x14ac:dyDescent="0.35">
      <c r="A1777" s="18" t="s">
        <v>5570</v>
      </c>
      <c r="B1777" s="18" t="s">
        <v>5574</v>
      </c>
      <c r="C1777" s="20">
        <v>45677</v>
      </c>
      <c r="D1777" s="11">
        <v>2705.5460250000001</v>
      </c>
      <c r="E1777" s="27">
        <f t="shared" si="135"/>
        <v>3011.8138350300001</v>
      </c>
      <c r="F1777" s="6">
        <f t="shared" si="131"/>
        <v>3915.3579855390003</v>
      </c>
      <c r="G1777" s="7">
        <f t="shared" si="132"/>
        <v>4216.5393690419996</v>
      </c>
      <c r="H1777" s="8">
        <f t="shared" si="133"/>
        <v>4517.7207525450003</v>
      </c>
      <c r="I1777" s="9">
        <f t="shared" si="134"/>
        <v>4818.9021360480001</v>
      </c>
    </row>
    <row r="1778" spans="1:9" x14ac:dyDescent="0.35">
      <c r="A1778" s="18" t="s">
        <v>5571</v>
      </c>
      <c r="B1778" s="18" t="s">
        <v>5575</v>
      </c>
      <c r="C1778" s="20">
        <v>45677</v>
      </c>
      <c r="D1778" s="11">
        <v>3043.9363500000009</v>
      </c>
      <c r="E1778" s="27">
        <f t="shared" si="135"/>
        <v>3388.5099448200008</v>
      </c>
      <c r="F1778" s="6">
        <f t="shared" si="131"/>
        <v>4405.0629282660011</v>
      </c>
      <c r="G1778" s="7">
        <f t="shared" si="132"/>
        <v>4743.9139227480009</v>
      </c>
      <c r="H1778" s="8">
        <f t="shared" si="133"/>
        <v>5082.7649172300007</v>
      </c>
      <c r="I1778" s="9">
        <f t="shared" si="134"/>
        <v>5421.6159117120014</v>
      </c>
    </row>
    <row r="1779" spans="1:9" ht="18" x14ac:dyDescent="0.4">
      <c r="B1779" s="19" t="s">
        <v>6484</v>
      </c>
      <c r="D1779" s="11">
        <v>0</v>
      </c>
      <c r="E1779" s="27">
        <f t="shared" si="135"/>
        <v>0</v>
      </c>
      <c r="F1779" s="6">
        <f t="shared" si="131"/>
        <v>0</v>
      </c>
      <c r="G1779" s="7">
        <f t="shared" si="132"/>
        <v>0</v>
      </c>
      <c r="H1779" s="8">
        <f t="shared" si="133"/>
        <v>0</v>
      </c>
      <c r="I1779" s="9">
        <f t="shared" si="134"/>
        <v>0</v>
      </c>
    </row>
    <row r="1780" spans="1:9" x14ac:dyDescent="0.35">
      <c r="A1780" s="18" t="s">
        <v>3460</v>
      </c>
      <c r="B1780" s="18" t="s">
        <v>6485</v>
      </c>
      <c r="C1780" s="20">
        <v>45726</v>
      </c>
      <c r="D1780" s="11">
        <v>1039.1669999999999</v>
      </c>
      <c r="E1780" s="27">
        <f t="shared" si="135"/>
        <v>1156.8007043999999</v>
      </c>
      <c r="F1780" s="6">
        <f t="shared" si="131"/>
        <v>1503.8409157199999</v>
      </c>
      <c r="G1780" s="7">
        <f t="shared" si="132"/>
        <v>1619.5209861599997</v>
      </c>
      <c r="H1780" s="8">
        <f t="shared" si="133"/>
        <v>1735.2010565999999</v>
      </c>
      <c r="I1780" s="9">
        <f t="shared" si="134"/>
        <v>1850.8811270399999</v>
      </c>
    </row>
    <row r="1781" spans="1:9" x14ac:dyDescent="0.35">
      <c r="A1781" s="18" t="s">
        <v>3461</v>
      </c>
      <c r="B1781" s="18" t="s">
        <v>6486</v>
      </c>
      <c r="C1781" s="20">
        <v>45726</v>
      </c>
      <c r="D1781" s="11">
        <v>1237.03</v>
      </c>
      <c r="E1781" s="27">
        <f t="shared" si="135"/>
        <v>1377.061796</v>
      </c>
      <c r="F1781" s="6">
        <f t="shared" si="131"/>
        <v>1790.1803348000001</v>
      </c>
      <c r="G1781" s="7">
        <f t="shared" si="132"/>
        <v>1927.8865143999999</v>
      </c>
      <c r="H1781" s="8">
        <f t="shared" si="133"/>
        <v>2065.5926939999999</v>
      </c>
      <c r="I1781" s="9">
        <f t="shared" si="134"/>
        <v>2203.2988736000002</v>
      </c>
    </row>
    <row r="1782" spans="1:9" ht="15.75" customHeight="1" x14ac:dyDescent="0.4">
      <c r="B1782" s="19" t="s">
        <v>201</v>
      </c>
      <c r="D1782" s="11">
        <v>0</v>
      </c>
      <c r="E1782" s="27">
        <f t="shared" si="135"/>
        <v>0</v>
      </c>
      <c r="F1782" s="6">
        <f t="shared" si="131"/>
        <v>0</v>
      </c>
      <c r="G1782" s="7">
        <f t="shared" si="132"/>
        <v>0</v>
      </c>
      <c r="H1782" s="8">
        <f t="shared" si="133"/>
        <v>0</v>
      </c>
      <c r="I1782" s="9">
        <f t="shared" si="134"/>
        <v>0</v>
      </c>
    </row>
    <row r="1783" spans="1:9" x14ac:dyDescent="0.35">
      <c r="A1783" s="24" t="s">
        <v>904</v>
      </c>
      <c r="B1783" s="18" t="s">
        <v>731</v>
      </c>
      <c r="C1783" s="20">
        <v>45710</v>
      </c>
      <c r="D1783" s="11">
        <v>1185.2818057515642</v>
      </c>
      <c r="E1783" s="27">
        <f t="shared" si="135"/>
        <v>1319.4557061626413</v>
      </c>
      <c r="F1783" s="6">
        <f t="shared" si="131"/>
        <v>1715.2924180114337</v>
      </c>
      <c r="G1783" s="7">
        <f t="shared" si="132"/>
        <v>1847.2379886276976</v>
      </c>
      <c r="H1783" s="8">
        <f t="shared" si="133"/>
        <v>1979.183559243962</v>
      </c>
      <c r="I1783" s="9">
        <f t="shared" si="134"/>
        <v>2111.1291298602259</v>
      </c>
    </row>
    <row r="1784" spans="1:9" x14ac:dyDescent="0.35">
      <c r="A1784" s="24" t="s">
        <v>905</v>
      </c>
      <c r="B1784" s="18" t="s">
        <v>553</v>
      </c>
      <c r="C1784" s="20">
        <v>45710</v>
      </c>
      <c r="D1784" s="11">
        <v>1318.6736488425761</v>
      </c>
      <c r="E1784" s="27">
        <f t="shared" si="135"/>
        <v>1467.9475058915557</v>
      </c>
      <c r="F1784" s="6">
        <f t="shared" si="131"/>
        <v>1908.3317576590225</v>
      </c>
      <c r="G1784" s="7">
        <f t="shared" si="132"/>
        <v>2055.1265082481777</v>
      </c>
      <c r="H1784" s="8">
        <f t="shared" si="133"/>
        <v>2201.9212588373334</v>
      </c>
      <c r="I1784" s="9">
        <f t="shared" si="134"/>
        <v>2348.7160094264891</v>
      </c>
    </row>
    <row r="1785" spans="1:9" x14ac:dyDescent="0.35">
      <c r="A1785" s="24" t="s">
        <v>906</v>
      </c>
      <c r="B1785" s="18" t="s">
        <v>554</v>
      </c>
      <c r="C1785" s="20">
        <v>45710</v>
      </c>
      <c r="D1785" s="11">
        <v>1689.8697103174025</v>
      </c>
      <c r="E1785" s="27">
        <f t="shared" si="135"/>
        <v>1881.1629615253323</v>
      </c>
      <c r="F1785" s="6">
        <f t="shared" si="131"/>
        <v>2445.5118499829323</v>
      </c>
      <c r="G1785" s="7">
        <f t="shared" si="132"/>
        <v>2633.6281461354652</v>
      </c>
      <c r="H1785" s="8">
        <f t="shared" si="133"/>
        <v>2821.7444422879985</v>
      </c>
      <c r="I1785" s="9">
        <f t="shared" si="134"/>
        <v>3009.8607384405318</v>
      </c>
    </row>
    <row r="1786" spans="1:9" x14ac:dyDescent="0.35">
      <c r="A1786" s="24" t="s">
        <v>907</v>
      </c>
      <c r="B1786" s="18" t="s">
        <v>1357</v>
      </c>
      <c r="C1786" s="20">
        <v>45710</v>
      </c>
      <c r="D1786" s="11">
        <v>2088.5351432535599</v>
      </c>
      <c r="E1786" s="27">
        <f t="shared" si="135"/>
        <v>2324.957321469863</v>
      </c>
      <c r="F1786" s="6">
        <f t="shared" si="131"/>
        <v>3022.444517910822</v>
      </c>
      <c r="G1786" s="7">
        <f t="shared" si="132"/>
        <v>3254.940250057808</v>
      </c>
      <c r="H1786" s="8">
        <f t="shared" si="133"/>
        <v>3487.4359822047945</v>
      </c>
      <c r="I1786" s="9">
        <f t="shared" si="134"/>
        <v>3719.931714351781</v>
      </c>
    </row>
    <row r="1787" spans="1:9" x14ac:dyDescent="0.35">
      <c r="A1787" s="24" t="s">
        <v>908</v>
      </c>
      <c r="B1787" s="18" t="s">
        <v>1358</v>
      </c>
      <c r="C1787" s="20">
        <v>45710</v>
      </c>
      <c r="D1787" s="11">
        <v>2369.2484453408815</v>
      </c>
      <c r="E1787" s="27">
        <f t="shared" si="135"/>
        <v>2637.4473693534692</v>
      </c>
      <c r="F1787" s="6">
        <f t="shared" si="131"/>
        <v>3428.6815801595098</v>
      </c>
      <c r="G1787" s="7">
        <f t="shared" si="132"/>
        <v>3692.4263170948566</v>
      </c>
      <c r="H1787" s="8">
        <f t="shared" si="133"/>
        <v>3956.1710540302038</v>
      </c>
      <c r="I1787" s="9">
        <f t="shared" si="134"/>
        <v>4219.9157909655505</v>
      </c>
    </row>
    <row r="1788" spans="1:9" x14ac:dyDescent="0.35">
      <c r="A1788" s="24" t="s">
        <v>909</v>
      </c>
      <c r="B1788" s="18" t="s">
        <v>1359</v>
      </c>
      <c r="C1788" s="20">
        <v>45710</v>
      </c>
      <c r="D1788" s="11">
        <v>2633.3716960490874</v>
      </c>
      <c r="E1788" s="27">
        <f t="shared" si="135"/>
        <v>2931.4693720418445</v>
      </c>
      <c r="F1788" s="6">
        <f t="shared" si="131"/>
        <v>3810.9101836543978</v>
      </c>
      <c r="G1788" s="7">
        <f t="shared" si="132"/>
        <v>4104.0571208585825</v>
      </c>
      <c r="H1788" s="8">
        <f t="shared" si="133"/>
        <v>4397.2040580627672</v>
      </c>
      <c r="I1788" s="9">
        <f t="shared" si="134"/>
        <v>4690.350995266951</v>
      </c>
    </row>
    <row r="1789" spans="1:9" x14ac:dyDescent="0.35">
      <c r="A1789" s="24" t="s">
        <v>1495</v>
      </c>
      <c r="B1789" s="18" t="s">
        <v>1498</v>
      </c>
      <c r="C1789" s="20">
        <v>45710</v>
      </c>
      <c r="D1789" s="11">
        <v>4648.8</v>
      </c>
      <c r="E1789" s="27">
        <f t="shared" si="135"/>
        <v>5175.0441600000004</v>
      </c>
      <c r="F1789" s="6">
        <f t="shared" ref="F1789:F1852" si="136">E1789*1.3</f>
        <v>6727.5574080000006</v>
      </c>
      <c r="G1789" s="7">
        <f t="shared" ref="G1789:G1852" si="137">E1789*1.4</f>
        <v>7245.0618240000003</v>
      </c>
      <c r="H1789" s="8">
        <f t="shared" ref="H1789:H1852" si="138">E1789*1.5</f>
        <v>7762.5662400000001</v>
      </c>
      <c r="I1789" s="9">
        <f t="shared" ref="I1789:I1852" si="139">E1789*1.6</f>
        <v>8280.0706560000017</v>
      </c>
    </row>
    <row r="1790" spans="1:9" x14ac:dyDescent="0.35">
      <c r="A1790" s="24" t="s">
        <v>1496</v>
      </c>
      <c r="B1790" s="18" t="s">
        <v>1497</v>
      </c>
      <c r="C1790" s="20">
        <v>45710</v>
      </c>
      <c r="D1790" s="11">
        <v>6167.2</v>
      </c>
      <c r="E1790" s="27">
        <f t="shared" si="135"/>
        <v>6865.3270400000001</v>
      </c>
      <c r="F1790" s="6">
        <f t="shared" si="136"/>
        <v>8924.9251519999998</v>
      </c>
      <c r="G1790" s="7">
        <f t="shared" si="137"/>
        <v>9611.4578559999991</v>
      </c>
      <c r="H1790" s="8">
        <f t="shared" si="138"/>
        <v>10297.99056</v>
      </c>
      <c r="I1790" s="9">
        <f t="shared" si="139"/>
        <v>10984.523264000001</v>
      </c>
    </row>
    <row r="1791" spans="1:9" x14ac:dyDescent="0.35">
      <c r="A1791" s="24" t="s">
        <v>910</v>
      </c>
      <c r="B1791" s="18" t="s">
        <v>1360</v>
      </c>
      <c r="C1791" s="20">
        <v>45710</v>
      </c>
      <c r="D1791" s="11">
        <v>3551.6</v>
      </c>
      <c r="E1791" s="27">
        <f t="shared" si="135"/>
        <v>3953.6411199999998</v>
      </c>
      <c r="F1791" s="6">
        <f t="shared" si="136"/>
        <v>5139.7334559999999</v>
      </c>
      <c r="G1791" s="7">
        <f t="shared" si="137"/>
        <v>5535.0975679999992</v>
      </c>
      <c r="H1791" s="8">
        <f t="shared" si="138"/>
        <v>5930.4616799999994</v>
      </c>
      <c r="I1791" s="9">
        <f t="shared" si="139"/>
        <v>6325.8257919999996</v>
      </c>
    </row>
    <row r="1792" spans="1:9" x14ac:dyDescent="0.35">
      <c r="A1792" s="24" t="s">
        <v>1876</v>
      </c>
      <c r="B1792" s="18" t="s">
        <v>1877</v>
      </c>
      <c r="C1792" s="20">
        <v>45710</v>
      </c>
      <c r="D1792" s="11">
        <v>2811.328</v>
      </c>
      <c r="E1792" s="27">
        <f t="shared" si="135"/>
        <v>3129.5703295999997</v>
      </c>
      <c r="F1792" s="6">
        <f t="shared" si="136"/>
        <v>4068.4414284799996</v>
      </c>
      <c r="G1792" s="7">
        <f t="shared" si="137"/>
        <v>4381.3984614399997</v>
      </c>
      <c r="H1792" s="8">
        <f t="shared" si="138"/>
        <v>4694.3554943999998</v>
      </c>
      <c r="I1792" s="9">
        <f t="shared" si="139"/>
        <v>5007.3125273599999</v>
      </c>
    </row>
    <row r="1793" spans="1:9" ht="15.75" customHeight="1" x14ac:dyDescent="0.4">
      <c r="A1793" s="21"/>
      <c r="B1793" s="19" t="s">
        <v>202</v>
      </c>
      <c r="D1793" s="11">
        <v>0</v>
      </c>
      <c r="E1793" s="27">
        <f t="shared" si="135"/>
        <v>0</v>
      </c>
      <c r="F1793" s="6">
        <f t="shared" si="136"/>
        <v>0</v>
      </c>
      <c r="G1793" s="7">
        <f t="shared" si="137"/>
        <v>0</v>
      </c>
      <c r="H1793" s="8">
        <f t="shared" si="138"/>
        <v>0</v>
      </c>
      <c r="I1793" s="9">
        <f t="shared" si="139"/>
        <v>0</v>
      </c>
    </row>
    <row r="1794" spans="1:9" x14ac:dyDescent="0.35">
      <c r="A1794" s="18" t="s">
        <v>911</v>
      </c>
      <c r="B1794" s="18" t="s">
        <v>1361</v>
      </c>
      <c r="C1794" s="20">
        <v>45726</v>
      </c>
      <c r="D1794" s="11">
        <v>1629.72</v>
      </c>
      <c r="E1794" s="27">
        <f t="shared" si="135"/>
        <v>1814.2043040000001</v>
      </c>
      <c r="F1794" s="6">
        <f t="shared" si="136"/>
        <v>2358.4655952000003</v>
      </c>
      <c r="G1794" s="7">
        <f t="shared" si="137"/>
        <v>2539.8860255999998</v>
      </c>
      <c r="H1794" s="8">
        <f t="shared" si="138"/>
        <v>2721.3064560000003</v>
      </c>
      <c r="I1794" s="9">
        <f t="shared" si="139"/>
        <v>2902.7268864000002</v>
      </c>
    </row>
    <row r="1795" spans="1:9" x14ac:dyDescent="0.35">
      <c r="A1795" s="18" t="s">
        <v>6252</v>
      </c>
      <c r="B1795" s="18" t="s">
        <v>6254</v>
      </c>
      <c r="C1795" s="20">
        <v>45503</v>
      </c>
      <c r="D1795" s="11">
        <v>10420.987500000001</v>
      </c>
      <c r="E1795" s="27">
        <f t="shared" si="135"/>
        <v>11600.643285000002</v>
      </c>
      <c r="F1795" s="6">
        <f t="shared" si="136"/>
        <v>15080.836270500004</v>
      </c>
      <c r="G1795" s="7">
        <f t="shared" si="137"/>
        <v>16240.900599000002</v>
      </c>
      <c r="H1795" s="8">
        <f t="shared" si="138"/>
        <v>17400.964927500005</v>
      </c>
      <c r="I1795" s="9">
        <f t="shared" si="139"/>
        <v>18561.029256000005</v>
      </c>
    </row>
    <row r="1796" spans="1:9" x14ac:dyDescent="0.35">
      <c r="A1796" s="18" t="s">
        <v>6253</v>
      </c>
      <c r="B1796" s="18" t="s">
        <v>6255</v>
      </c>
      <c r="C1796" s="20">
        <v>45503</v>
      </c>
      <c r="D1796" s="11">
        <v>15093.540000000003</v>
      </c>
      <c r="E1796" s="27">
        <f t="shared" si="135"/>
        <v>16802.128728000003</v>
      </c>
      <c r="F1796" s="6">
        <f t="shared" si="136"/>
        <v>21842.767346400004</v>
      </c>
      <c r="G1796" s="7">
        <f t="shared" si="137"/>
        <v>23522.980219200002</v>
      </c>
      <c r="H1796" s="8">
        <f t="shared" si="138"/>
        <v>25203.193092000005</v>
      </c>
      <c r="I1796" s="9">
        <f t="shared" si="139"/>
        <v>26883.405964800007</v>
      </c>
    </row>
    <row r="1797" spans="1:9" ht="15.75" customHeight="1" x14ac:dyDescent="0.4">
      <c r="B1797" s="19" t="s">
        <v>203</v>
      </c>
      <c r="D1797" s="11">
        <v>0</v>
      </c>
      <c r="E1797" s="27">
        <f t="shared" si="135"/>
        <v>0</v>
      </c>
      <c r="F1797" s="6">
        <f t="shared" si="136"/>
        <v>0</v>
      </c>
      <c r="G1797" s="7">
        <f t="shared" si="137"/>
        <v>0</v>
      </c>
      <c r="H1797" s="8">
        <f t="shared" si="138"/>
        <v>0</v>
      </c>
      <c r="I1797" s="9">
        <f t="shared" si="139"/>
        <v>0</v>
      </c>
    </row>
    <row r="1798" spans="1:9" x14ac:dyDescent="0.35">
      <c r="A1798" s="18" t="s">
        <v>912</v>
      </c>
      <c r="B1798" s="18" t="s">
        <v>1763</v>
      </c>
      <c r="C1798" s="20">
        <v>45729</v>
      </c>
      <c r="D1798" s="11">
        <v>302.89999999999998</v>
      </c>
      <c r="E1798" s="27">
        <f t="shared" si="135"/>
        <v>337.18827999999996</v>
      </c>
      <c r="F1798" s="6">
        <f t="shared" si="136"/>
        <v>438.34476399999994</v>
      </c>
      <c r="G1798" s="7">
        <f t="shared" si="137"/>
        <v>472.06359199999991</v>
      </c>
      <c r="H1798" s="8">
        <f t="shared" si="138"/>
        <v>505.78241999999995</v>
      </c>
      <c r="I1798" s="9">
        <f t="shared" si="139"/>
        <v>539.50124799999992</v>
      </c>
    </row>
    <row r="1799" spans="1:9" x14ac:dyDescent="0.35">
      <c r="A1799" s="18" t="s">
        <v>913</v>
      </c>
      <c r="B1799" s="18" t="s">
        <v>1362</v>
      </c>
      <c r="C1799" s="20">
        <v>45729</v>
      </c>
      <c r="D1799" s="11">
        <v>610</v>
      </c>
      <c r="E1799" s="27">
        <f t="shared" si="135"/>
        <v>679.05200000000002</v>
      </c>
      <c r="F1799" s="6">
        <f t="shared" si="136"/>
        <v>882.76760000000002</v>
      </c>
      <c r="G1799" s="7">
        <f t="shared" si="137"/>
        <v>950.67279999999994</v>
      </c>
      <c r="H1799" s="8">
        <f t="shared" si="138"/>
        <v>1018.578</v>
      </c>
      <c r="I1799" s="9">
        <f t="shared" si="139"/>
        <v>1086.4832000000001</v>
      </c>
    </row>
    <row r="1800" spans="1:9" x14ac:dyDescent="0.35">
      <c r="A1800" s="18" t="s">
        <v>297</v>
      </c>
      <c r="B1800" s="18" t="s">
        <v>1761</v>
      </c>
      <c r="C1800" s="20">
        <v>45729</v>
      </c>
      <c r="D1800" s="11">
        <v>610</v>
      </c>
      <c r="E1800" s="27">
        <f t="shared" si="135"/>
        <v>679.05200000000002</v>
      </c>
      <c r="F1800" s="6">
        <f t="shared" si="136"/>
        <v>882.76760000000002</v>
      </c>
      <c r="G1800" s="7">
        <f t="shared" si="137"/>
        <v>950.67279999999994</v>
      </c>
      <c r="H1800" s="8">
        <f t="shared" si="138"/>
        <v>1018.578</v>
      </c>
      <c r="I1800" s="9">
        <f t="shared" si="139"/>
        <v>1086.4832000000001</v>
      </c>
    </row>
    <row r="1801" spans="1:9" x14ac:dyDescent="0.35">
      <c r="A1801" s="18" t="s">
        <v>1105</v>
      </c>
      <c r="B1801" s="18" t="s">
        <v>1762</v>
      </c>
      <c r="C1801" s="20">
        <v>45729</v>
      </c>
      <c r="D1801" s="11">
        <v>302.89999999999998</v>
      </c>
      <c r="E1801" s="27">
        <f t="shared" si="135"/>
        <v>337.18827999999996</v>
      </c>
      <c r="F1801" s="6">
        <f t="shared" si="136"/>
        <v>438.34476399999994</v>
      </c>
      <c r="G1801" s="7">
        <f t="shared" si="137"/>
        <v>472.06359199999991</v>
      </c>
      <c r="H1801" s="8">
        <f t="shared" si="138"/>
        <v>505.78241999999995</v>
      </c>
      <c r="I1801" s="9">
        <f t="shared" si="139"/>
        <v>539.50124799999992</v>
      </c>
    </row>
    <row r="1802" spans="1:9" x14ac:dyDescent="0.35">
      <c r="A1802" s="18" t="s">
        <v>1764</v>
      </c>
      <c r="B1802" s="18" t="s">
        <v>1106</v>
      </c>
      <c r="C1802" s="20">
        <v>45729</v>
      </c>
      <c r="D1802" s="11">
        <v>787.5</v>
      </c>
      <c r="E1802" s="27">
        <f t="shared" si="135"/>
        <v>876.64499999999998</v>
      </c>
      <c r="F1802" s="6">
        <f t="shared" si="136"/>
        <v>1139.6385</v>
      </c>
      <c r="G1802" s="7">
        <f t="shared" si="137"/>
        <v>1227.3029999999999</v>
      </c>
      <c r="H1802" s="8">
        <f t="shared" si="138"/>
        <v>1314.9675</v>
      </c>
      <c r="I1802" s="9">
        <f t="shared" si="139"/>
        <v>1402.6320000000001</v>
      </c>
    </row>
    <row r="1803" spans="1:9" ht="15.75" customHeight="1" x14ac:dyDescent="0.4">
      <c r="B1803" s="19" t="s">
        <v>5543</v>
      </c>
      <c r="D1803" s="11">
        <v>0</v>
      </c>
      <c r="E1803" s="27">
        <f t="shared" si="135"/>
        <v>0</v>
      </c>
      <c r="F1803" s="6">
        <f t="shared" si="136"/>
        <v>0</v>
      </c>
      <c r="G1803" s="7">
        <f t="shared" si="137"/>
        <v>0</v>
      </c>
      <c r="H1803" s="8">
        <f t="shared" si="138"/>
        <v>0</v>
      </c>
      <c r="I1803" s="9">
        <f t="shared" si="139"/>
        <v>0</v>
      </c>
    </row>
    <row r="1804" spans="1:9" x14ac:dyDescent="0.35">
      <c r="A1804" s="18" t="s">
        <v>298</v>
      </c>
      <c r="B1804" s="18" t="s">
        <v>1878</v>
      </c>
      <c r="C1804" s="20">
        <v>45567</v>
      </c>
      <c r="D1804" s="11">
        <v>38.677268795524384</v>
      </c>
      <c r="E1804" s="27">
        <f t="shared" ref="E1804:E1867" si="140">D1804*1.21*0.92</f>
        <v>43.055535623177747</v>
      </c>
      <c r="F1804" s="6">
        <f t="shared" si="136"/>
        <v>55.972196310131075</v>
      </c>
      <c r="G1804" s="7">
        <f t="shared" si="137"/>
        <v>60.277749872448844</v>
      </c>
      <c r="H1804" s="8">
        <f t="shared" si="138"/>
        <v>64.58330343476662</v>
      </c>
      <c r="I1804" s="9">
        <f t="shared" si="139"/>
        <v>68.888856997084403</v>
      </c>
    </row>
    <row r="1805" spans="1:9" x14ac:dyDescent="0.35">
      <c r="A1805" s="18" t="s">
        <v>299</v>
      </c>
      <c r="B1805" s="18" t="s">
        <v>1363</v>
      </c>
      <c r="C1805" s="20">
        <v>45567</v>
      </c>
      <c r="D1805" s="11">
        <v>46.181813487193281</v>
      </c>
      <c r="E1805" s="27">
        <f t="shared" si="140"/>
        <v>51.409594773943567</v>
      </c>
      <c r="F1805" s="6">
        <f t="shared" si="136"/>
        <v>66.832473206126636</v>
      </c>
      <c r="G1805" s="7">
        <f t="shared" si="137"/>
        <v>71.973432683520983</v>
      </c>
      <c r="H1805" s="8">
        <f t="shared" si="138"/>
        <v>77.114392160915344</v>
      </c>
      <c r="I1805" s="9">
        <f t="shared" si="139"/>
        <v>82.255351638309719</v>
      </c>
    </row>
    <row r="1806" spans="1:9" x14ac:dyDescent="0.35">
      <c r="A1806" s="18" t="s">
        <v>300</v>
      </c>
      <c r="B1806" s="18" t="s">
        <v>1364</v>
      </c>
      <c r="C1806" s="20">
        <v>45567</v>
      </c>
      <c r="D1806" s="11">
        <v>46.181813487193281</v>
      </c>
      <c r="E1806" s="27">
        <f t="shared" si="140"/>
        <v>51.409594773943567</v>
      </c>
      <c r="F1806" s="6">
        <f t="shared" si="136"/>
        <v>66.832473206126636</v>
      </c>
      <c r="G1806" s="7">
        <f t="shared" si="137"/>
        <v>71.973432683520983</v>
      </c>
      <c r="H1806" s="8">
        <f t="shared" si="138"/>
        <v>77.114392160915344</v>
      </c>
      <c r="I1806" s="9">
        <f t="shared" si="139"/>
        <v>82.255351638309719</v>
      </c>
    </row>
    <row r="1807" spans="1:9" x14ac:dyDescent="0.35">
      <c r="A1807" s="18" t="s">
        <v>301</v>
      </c>
      <c r="B1807" s="18" t="s">
        <v>1365</v>
      </c>
      <c r="C1807" s="20">
        <v>45567</v>
      </c>
      <c r="D1807" s="11">
        <v>75.622719585279</v>
      </c>
      <c r="E1807" s="27">
        <f t="shared" si="140"/>
        <v>84.183211442332592</v>
      </c>
      <c r="F1807" s="6">
        <f t="shared" si="136"/>
        <v>109.43817487503237</v>
      </c>
      <c r="G1807" s="7">
        <f t="shared" si="137"/>
        <v>117.85649601926562</v>
      </c>
      <c r="H1807" s="8">
        <f t="shared" si="138"/>
        <v>126.27481716349888</v>
      </c>
      <c r="I1807" s="9">
        <f t="shared" si="139"/>
        <v>134.69313830773214</v>
      </c>
    </row>
    <row r="1808" spans="1:9" x14ac:dyDescent="0.35">
      <c r="A1808" s="18" t="s">
        <v>302</v>
      </c>
      <c r="B1808" s="18" t="s">
        <v>1366</v>
      </c>
      <c r="C1808" s="20">
        <v>45567</v>
      </c>
      <c r="D1808" s="11">
        <v>75.622719585279</v>
      </c>
      <c r="E1808" s="27">
        <f t="shared" si="140"/>
        <v>84.183211442332592</v>
      </c>
      <c r="F1808" s="6">
        <f t="shared" si="136"/>
        <v>109.43817487503237</v>
      </c>
      <c r="G1808" s="7">
        <f t="shared" si="137"/>
        <v>117.85649601926562</v>
      </c>
      <c r="H1808" s="8">
        <f t="shared" si="138"/>
        <v>126.27481716349888</v>
      </c>
      <c r="I1808" s="9">
        <f t="shared" si="139"/>
        <v>134.69313830773214</v>
      </c>
    </row>
    <row r="1809" spans="1:9" x14ac:dyDescent="0.35">
      <c r="A1809" s="18" t="s">
        <v>303</v>
      </c>
      <c r="B1809" s="18" t="s">
        <v>2774</v>
      </c>
      <c r="C1809" s="20">
        <v>45567</v>
      </c>
      <c r="D1809" s="11">
        <v>99.290898997465533</v>
      </c>
      <c r="E1809" s="27">
        <f t="shared" si="140"/>
        <v>110.53062876397863</v>
      </c>
      <c r="F1809" s="6">
        <f t="shared" si="136"/>
        <v>143.68981739317221</v>
      </c>
      <c r="G1809" s="7">
        <f t="shared" si="137"/>
        <v>154.74288026957007</v>
      </c>
      <c r="H1809" s="8">
        <f t="shared" si="138"/>
        <v>165.79594314596795</v>
      </c>
      <c r="I1809" s="9">
        <f t="shared" si="139"/>
        <v>176.84900602236581</v>
      </c>
    </row>
    <row r="1810" spans="1:9" x14ac:dyDescent="0.35">
      <c r="A1810" s="18" t="s">
        <v>304</v>
      </c>
      <c r="B1810" s="18" t="s">
        <v>2775</v>
      </c>
      <c r="C1810" s="20">
        <v>45567</v>
      </c>
      <c r="D1810" s="11">
        <v>99.290898997465533</v>
      </c>
      <c r="E1810" s="27">
        <f t="shared" si="140"/>
        <v>110.53062876397863</v>
      </c>
      <c r="F1810" s="6">
        <f t="shared" si="136"/>
        <v>143.68981739317221</v>
      </c>
      <c r="G1810" s="7">
        <f t="shared" si="137"/>
        <v>154.74288026957007</v>
      </c>
      <c r="H1810" s="8">
        <f t="shared" si="138"/>
        <v>165.79594314596795</v>
      </c>
      <c r="I1810" s="9">
        <f t="shared" si="139"/>
        <v>176.84900602236581</v>
      </c>
    </row>
    <row r="1811" spans="1:9" x14ac:dyDescent="0.35">
      <c r="A1811" s="18" t="s">
        <v>3422</v>
      </c>
      <c r="B1811" s="18" t="s">
        <v>4655</v>
      </c>
      <c r="C1811" s="20">
        <v>45567</v>
      </c>
      <c r="D1811" s="11">
        <v>30</v>
      </c>
      <c r="E1811" s="27">
        <f t="shared" si="140"/>
        <v>33.396000000000001</v>
      </c>
      <c r="F1811" s="6">
        <f t="shared" si="136"/>
        <v>43.4148</v>
      </c>
      <c r="G1811" s="7">
        <f t="shared" si="137"/>
        <v>46.754399999999997</v>
      </c>
      <c r="H1811" s="8">
        <f t="shared" si="138"/>
        <v>50.094000000000001</v>
      </c>
      <c r="I1811" s="9">
        <f t="shared" si="139"/>
        <v>53.433600000000006</v>
      </c>
    </row>
    <row r="1812" spans="1:9" ht="15.75" customHeight="1" x14ac:dyDescent="0.4">
      <c r="B1812" s="19" t="s">
        <v>204</v>
      </c>
      <c r="D1812" s="11">
        <v>0</v>
      </c>
      <c r="E1812" s="27">
        <f t="shared" si="140"/>
        <v>0</v>
      </c>
      <c r="F1812" s="6">
        <f t="shared" si="136"/>
        <v>0</v>
      </c>
      <c r="G1812" s="7">
        <f t="shared" si="137"/>
        <v>0</v>
      </c>
      <c r="H1812" s="8">
        <f t="shared" si="138"/>
        <v>0</v>
      </c>
      <c r="I1812" s="9">
        <f t="shared" si="139"/>
        <v>0</v>
      </c>
    </row>
    <row r="1813" spans="1:9" x14ac:dyDescent="0.35">
      <c r="A1813" s="24" t="s">
        <v>305</v>
      </c>
      <c r="B1813" s="18" t="s">
        <v>2570</v>
      </c>
      <c r="C1813" s="20">
        <v>45649</v>
      </c>
      <c r="D1813" s="11">
        <v>285.18270128210202</v>
      </c>
      <c r="E1813" s="27">
        <f t="shared" si="140"/>
        <v>317.46538306723596</v>
      </c>
      <c r="F1813" s="6">
        <f t="shared" si="136"/>
        <v>412.70499798740678</v>
      </c>
      <c r="G1813" s="7">
        <f t="shared" si="137"/>
        <v>444.45153629413034</v>
      </c>
      <c r="H1813" s="8">
        <f t="shared" si="138"/>
        <v>476.19807460085394</v>
      </c>
      <c r="I1813" s="9">
        <f t="shared" si="139"/>
        <v>507.94461290757755</v>
      </c>
    </row>
    <row r="1814" spans="1:9" x14ac:dyDescent="0.35">
      <c r="A1814" s="24" t="s">
        <v>306</v>
      </c>
      <c r="B1814" s="18" t="s">
        <v>2571</v>
      </c>
      <c r="C1814" s="20">
        <v>45649</v>
      </c>
      <c r="D1814" s="11">
        <v>304.1948813675757</v>
      </c>
      <c r="E1814" s="27">
        <f t="shared" si="140"/>
        <v>338.62974193838528</v>
      </c>
      <c r="F1814" s="6">
        <f t="shared" si="136"/>
        <v>440.21866451990087</v>
      </c>
      <c r="G1814" s="7">
        <f t="shared" si="137"/>
        <v>474.08163871373938</v>
      </c>
      <c r="H1814" s="8">
        <f t="shared" si="138"/>
        <v>507.94461290757795</v>
      </c>
      <c r="I1814" s="9">
        <f t="shared" si="139"/>
        <v>541.80758710141652</v>
      </c>
    </row>
    <row r="1815" spans="1:9" x14ac:dyDescent="0.35">
      <c r="A1815" s="24" t="s">
        <v>958</v>
      </c>
      <c r="B1815" s="18" t="s">
        <v>2572</v>
      </c>
      <c r="C1815" s="20">
        <v>45649</v>
      </c>
      <c r="D1815" s="11">
        <v>323.20706145304911</v>
      </c>
      <c r="E1815" s="27">
        <f t="shared" si="140"/>
        <v>359.79410080953426</v>
      </c>
      <c r="F1815" s="6">
        <f t="shared" si="136"/>
        <v>467.73233105239456</v>
      </c>
      <c r="G1815" s="7">
        <f t="shared" si="137"/>
        <v>503.71174113334791</v>
      </c>
      <c r="H1815" s="8">
        <f t="shared" si="138"/>
        <v>539.69115121430139</v>
      </c>
      <c r="I1815" s="9">
        <f t="shared" si="139"/>
        <v>575.67056129525486</v>
      </c>
    </row>
    <row r="1816" spans="1:9" x14ac:dyDescent="0.35">
      <c r="A1816" s="24" t="s">
        <v>959</v>
      </c>
      <c r="B1816" s="18" t="s">
        <v>2573</v>
      </c>
      <c r="C1816" s="20">
        <v>45649</v>
      </c>
      <c r="D1816" s="11">
        <v>192.39000000000001</v>
      </c>
      <c r="E1816" s="27">
        <f t="shared" si="140"/>
        <v>214.16854800000002</v>
      </c>
      <c r="F1816" s="6">
        <f t="shared" si="136"/>
        <v>278.41911240000002</v>
      </c>
      <c r="G1816" s="7">
        <f t="shared" si="137"/>
        <v>299.83596720000003</v>
      </c>
      <c r="H1816" s="8">
        <f t="shared" si="138"/>
        <v>321.25282200000004</v>
      </c>
      <c r="I1816" s="9">
        <f t="shared" si="139"/>
        <v>342.66967680000005</v>
      </c>
    </row>
    <row r="1817" spans="1:9" x14ac:dyDescent="0.35">
      <c r="A1817" s="24" t="s">
        <v>960</v>
      </c>
      <c r="B1817" s="18" t="s">
        <v>537</v>
      </c>
      <c r="C1817" s="20">
        <v>45649</v>
      </c>
      <c r="D1817" s="11">
        <v>204.05</v>
      </c>
      <c r="E1817" s="27">
        <f t="shared" si="140"/>
        <v>227.14846</v>
      </c>
      <c r="F1817" s="6">
        <f t="shared" si="136"/>
        <v>295.29299800000001</v>
      </c>
      <c r="G1817" s="7">
        <f t="shared" si="137"/>
        <v>318.00784399999998</v>
      </c>
      <c r="H1817" s="8">
        <f t="shared" si="138"/>
        <v>340.72269</v>
      </c>
      <c r="I1817" s="9">
        <f t="shared" si="139"/>
        <v>363.43753600000002</v>
      </c>
    </row>
    <row r="1818" spans="1:9" x14ac:dyDescent="0.35">
      <c r="A1818" s="24" t="s">
        <v>961</v>
      </c>
      <c r="B1818" s="18" t="s">
        <v>538</v>
      </c>
      <c r="C1818" s="20">
        <v>45649</v>
      </c>
      <c r="D1818" s="11">
        <v>221.54000000000002</v>
      </c>
      <c r="E1818" s="27">
        <f t="shared" si="140"/>
        <v>246.61832800000002</v>
      </c>
      <c r="F1818" s="6">
        <f t="shared" si="136"/>
        <v>320.60382640000006</v>
      </c>
      <c r="G1818" s="7">
        <f t="shared" si="137"/>
        <v>345.26565920000002</v>
      </c>
      <c r="H1818" s="8">
        <f t="shared" si="138"/>
        <v>369.92749200000003</v>
      </c>
      <c r="I1818" s="9">
        <f t="shared" si="139"/>
        <v>394.58932480000004</v>
      </c>
    </row>
    <row r="1819" spans="1:9" ht="15.75" customHeight="1" x14ac:dyDescent="0.4">
      <c r="B1819" s="19" t="s">
        <v>205</v>
      </c>
      <c r="D1819" s="11">
        <v>0</v>
      </c>
      <c r="E1819" s="27">
        <f t="shared" si="140"/>
        <v>0</v>
      </c>
      <c r="F1819" s="6">
        <f t="shared" si="136"/>
        <v>0</v>
      </c>
      <c r="G1819" s="7">
        <f t="shared" si="137"/>
        <v>0</v>
      </c>
      <c r="H1819" s="8">
        <f t="shared" si="138"/>
        <v>0</v>
      </c>
      <c r="I1819" s="9">
        <f t="shared" si="139"/>
        <v>0</v>
      </c>
    </row>
    <row r="1820" spans="1:9" x14ac:dyDescent="0.35">
      <c r="A1820" s="18" t="s">
        <v>962</v>
      </c>
      <c r="B1820" s="18" t="s">
        <v>1879</v>
      </c>
      <c r="C1820" s="20">
        <v>45635</v>
      </c>
      <c r="D1820" s="11">
        <v>14.628000000000002</v>
      </c>
      <c r="E1820" s="27">
        <f t="shared" si="140"/>
        <v>16.283889600000002</v>
      </c>
      <c r="F1820" s="6">
        <f t="shared" si="136"/>
        <v>21.169056480000002</v>
      </c>
      <c r="G1820" s="7">
        <f t="shared" si="137"/>
        <v>22.797445440000001</v>
      </c>
      <c r="H1820" s="8">
        <f t="shared" si="138"/>
        <v>24.425834400000003</v>
      </c>
      <c r="I1820" s="9">
        <f t="shared" si="139"/>
        <v>26.054223360000005</v>
      </c>
    </row>
    <row r="1821" spans="1:9" x14ac:dyDescent="0.35">
      <c r="A1821" s="18" t="s">
        <v>963</v>
      </c>
      <c r="B1821" s="18" t="s">
        <v>1880</v>
      </c>
      <c r="C1821" s="20">
        <v>45635</v>
      </c>
      <c r="D1821" s="11">
        <v>17.596000000000004</v>
      </c>
      <c r="E1821" s="27">
        <f t="shared" si="140"/>
        <v>19.587867200000005</v>
      </c>
      <c r="F1821" s="6">
        <f t="shared" si="136"/>
        <v>25.464227360000006</v>
      </c>
      <c r="G1821" s="7">
        <f t="shared" si="137"/>
        <v>27.423014080000005</v>
      </c>
      <c r="H1821" s="8">
        <f t="shared" si="138"/>
        <v>29.381800800000008</v>
      </c>
      <c r="I1821" s="9">
        <f t="shared" si="139"/>
        <v>31.34058752000001</v>
      </c>
    </row>
    <row r="1822" spans="1:9" x14ac:dyDescent="0.35">
      <c r="A1822" s="18" t="s">
        <v>1881</v>
      </c>
      <c r="B1822" s="18" t="s">
        <v>1882</v>
      </c>
      <c r="C1822" s="20">
        <v>45635</v>
      </c>
      <c r="D1822" s="11">
        <v>11.786691106959275</v>
      </c>
      <c r="E1822" s="27">
        <f t="shared" si="140"/>
        <v>13.120944540267065</v>
      </c>
      <c r="F1822" s="6">
        <f t="shared" si="136"/>
        <v>17.057227902347183</v>
      </c>
      <c r="G1822" s="7">
        <f t="shared" si="137"/>
        <v>18.369322356373889</v>
      </c>
      <c r="H1822" s="8">
        <f t="shared" si="138"/>
        <v>19.681416810400599</v>
      </c>
      <c r="I1822" s="9">
        <f t="shared" si="139"/>
        <v>20.993511264427305</v>
      </c>
    </row>
    <row r="1823" spans="1:9" x14ac:dyDescent="0.35">
      <c r="A1823" s="18" t="s">
        <v>3408</v>
      </c>
      <c r="B1823" s="18" t="s">
        <v>6272</v>
      </c>
      <c r="C1823" s="20">
        <v>45635</v>
      </c>
      <c r="D1823" s="11">
        <v>15.9</v>
      </c>
      <c r="E1823" s="27">
        <f t="shared" si="140"/>
        <v>17.69988</v>
      </c>
      <c r="F1823" s="6">
        <f t="shared" si="136"/>
        <v>23.009844000000001</v>
      </c>
      <c r="G1823" s="7">
        <f t="shared" si="137"/>
        <v>24.779831999999999</v>
      </c>
      <c r="H1823" s="8">
        <f t="shared" si="138"/>
        <v>26.54982</v>
      </c>
      <c r="I1823" s="9">
        <f t="shared" si="139"/>
        <v>28.319808000000002</v>
      </c>
    </row>
    <row r="1824" spans="1:9" x14ac:dyDescent="0.35">
      <c r="A1824" s="18" t="s">
        <v>3409</v>
      </c>
      <c r="B1824" s="18" t="s">
        <v>6273</v>
      </c>
      <c r="C1824" s="20">
        <v>45635</v>
      </c>
      <c r="D1824" s="11">
        <v>19.080000000000002</v>
      </c>
      <c r="E1824" s="27">
        <f t="shared" si="140"/>
        <v>21.239856</v>
      </c>
      <c r="F1824" s="6">
        <f t="shared" si="136"/>
        <v>27.611812799999999</v>
      </c>
      <c r="G1824" s="7">
        <f t="shared" si="137"/>
        <v>29.735798399999997</v>
      </c>
      <c r="H1824" s="8">
        <f t="shared" si="138"/>
        <v>31.859783999999998</v>
      </c>
      <c r="I1824" s="9">
        <f t="shared" si="139"/>
        <v>33.983769600000002</v>
      </c>
    </row>
    <row r="1825" spans="1:9" x14ac:dyDescent="0.35">
      <c r="A1825" s="18" t="s">
        <v>964</v>
      </c>
      <c r="B1825" s="18" t="s">
        <v>539</v>
      </c>
      <c r="C1825" s="20">
        <v>45635</v>
      </c>
      <c r="D1825" s="11">
        <v>69.218000000000004</v>
      </c>
      <c r="E1825" s="27">
        <f t="shared" si="140"/>
        <v>77.053477600000008</v>
      </c>
      <c r="F1825" s="6">
        <f t="shared" si="136"/>
        <v>100.16952088000001</v>
      </c>
      <c r="G1825" s="7">
        <f t="shared" si="137"/>
        <v>107.87486864</v>
      </c>
      <c r="H1825" s="8">
        <f t="shared" si="138"/>
        <v>115.58021640000001</v>
      </c>
      <c r="I1825" s="9">
        <f t="shared" si="139"/>
        <v>123.28556416000002</v>
      </c>
    </row>
    <row r="1826" spans="1:9" x14ac:dyDescent="0.35">
      <c r="A1826" s="18" t="s">
        <v>965</v>
      </c>
      <c r="B1826" s="18" t="s">
        <v>540</v>
      </c>
      <c r="C1826" s="20">
        <v>45635</v>
      </c>
      <c r="D1826" s="11">
        <v>69.218000000000004</v>
      </c>
      <c r="E1826" s="27">
        <f t="shared" si="140"/>
        <v>77.053477600000008</v>
      </c>
      <c r="F1826" s="6">
        <f t="shared" si="136"/>
        <v>100.16952088000001</v>
      </c>
      <c r="G1826" s="7">
        <f t="shared" si="137"/>
        <v>107.87486864</v>
      </c>
      <c r="H1826" s="8">
        <f t="shared" si="138"/>
        <v>115.58021640000001</v>
      </c>
      <c r="I1826" s="9">
        <f t="shared" si="139"/>
        <v>123.28556416000002</v>
      </c>
    </row>
    <row r="1827" spans="1:9" x14ac:dyDescent="0.35">
      <c r="A1827" s="18" t="s">
        <v>966</v>
      </c>
      <c r="B1827" s="18" t="s">
        <v>541</v>
      </c>
      <c r="C1827" s="20">
        <v>45635</v>
      </c>
      <c r="D1827" s="11">
        <v>90.100000000000009</v>
      </c>
      <c r="E1827" s="27">
        <f t="shared" si="140"/>
        <v>100.29932000000001</v>
      </c>
      <c r="F1827" s="6">
        <f t="shared" si="136"/>
        <v>130.38911600000003</v>
      </c>
      <c r="G1827" s="7">
        <f t="shared" si="137"/>
        <v>140.419048</v>
      </c>
      <c r="H1827" s="8">
        <f t="shared" si="138"/>
        <v>150.44898000000001</v>
      </c>
      <c r="I1827" s="9">
        <f t="shared" si="139"/>
        <v>160.47891200000004</v>
      </c>
    </row>
    <row r="1828" spans="1:9" x14ac:dyDescent="0.35">
      <c r="A1828" s="18" t="s">
        <v>967</v>
      </c>
      <c r="B1828" s="18" t="s">
        <v>542</v>
      </c>
      <c r="C1828" s="20">
        <v>45635</v>
      </c>
      <c r="D1828" s="11">
        <v>90.100000000000009</v>
      </c>
      <c r="E1828" s="27">
        <f t="shared" si="140"/>
        <v>100.29932000000001</v>
      </c>
      <c r="F1828" s="6">
        <f t="shared" si="136"/>
        <v>130.38911600000003</v>
      </c>
      <c r="G1828" s="7">
        <f t="shared" si="137"/>
        <v>140.419048</v>
      </c>
      <c r="H1828" s="8">
        <f t="shared" si="138"/>
        <v>150.44898000000001</v>
      </c>
      <c r="I1828" s="9">
        <f t="shared" si="139"/>
        <v>160.47891200000004</v>
      </c>
    </row>
    <row r="1829" spans="1:9" x14ac:dyDescent="0.35">
      <c r="A1829" s="18" t="s">
        <v>6740</v>
      </c>
      <c r="B1829" s="18" t="s">
        <v>6741</v>
      </c>
      <c r="C1829" s="20">
        <v>45673</v>
      </c>
      <c r="D1829" s="11">
        <v>90.25</v>
      </c>
      <c r="E1829" s="27">
        <f t="shared" si="140"/>
        <v>100.4663</v>
      </c>
      <c r="F1829" s="6">
        <f t="shared" si="136"/>
        <v>130.60619</v>
      </c>
      <c r="G1829" s="7">
        <f t="shared" si="137"/>
        <v>140.65281999999999</v>
      </c>
      <c r="H1829" s="8">
        <f t="shared" si="138"/>
        <v>150.69945000000001</v>
      </c>
      <c r="I1829" s="9">
        <f t="shared" si="139"/>
        <v>160.74608000000001</v>
      </c>
    </row>
    <row r="1830" spans="1:9" x14ac:dyDescent="0.35">
      <c r="A1830" s="18" t="s">
        <v>6742</v>
      </c>
      <c r="B1830" s="18" t="s">
        <v>6743</v>
      </c>
      <c r="C1830" s="20">
        <v>45673</v>
      </c>
      <c r="D1830" s="11">
        <v>98.55</v>
      </c>
      <c r="E1830" s="27">
        <f t="shared" si="140"/>
        <v>109.70586</v>
      </c>
      <c r="F1830" s="6">
        <f t="shared" si="136"/>
        <v>142.61761799999999</v>
      </c>
      <c r="G1830" s="7">
        <f t="shared" si="137"/>
        <v>153.58820399999999</v>
      </c>
      <c r="H1830" s="8">
        <f t="shared" si="138"/>
        <v>164.55878999999999</v>
      </c>
      <c r="I1830" s="9">
        <f t="shared" si="139"/>
        <v>175.52937600000001</v>
      </c>
    </row>
    <row r="1831" spans="1:9" ht="15.75" customHeight="1" x14ac:dyDescent="0.4">
      <c r="B1831" s="19" t="s">
        <v>4819</v>
      </c>
      <c r="D1831" s="11">
        <v>0</v>
      </c>
      <c r="E1831" s="27">
        <f t="shared" si="140"/>
        <v>0</v>
      </c>
      <c r="F1831" s="6">
        <f t="shared" si="136"/>
        <v>0</v>
      </c>
      <c r="G1831" s="7">
        <f t="shared" si="137"/>
        <v>0</v>
      </c>
      <c r="H1831" s="8">
        <f t="shared" si="138"/>
        <v>0</v>
      </c>
      <c r="I1831" s="9">
        <f t="shared" si="139"/>
        <v>0</v>
      </c>
    </row>
    <row r="1832" spans="1:9" x14ac:dyDescent="0.35">
      <c r="A1832" s="24" t="s">
        <v>968</v>
      </c>
      <c r="B1832" s="18" t="s">
        <v>546</v>
      </c>
      <c r="C1832" s="20">
        <v>45363</v>
      </c>
      <c r="D1832" s="11">
        <v>4.8014191046249994</v>
      </c>
      <c r="E1832" s="27">
        <f t="shared" si="140"/>
        <v>5.3449397472685494</v>
      </c>
      <c r="F1832" s="6">
        <f t="shared" si="136"/>
        <v>6.9484216714491147</v>
      </c>
      <c r="G1832" s="7">
        <f t="shared" si="137"/>
        <v>7.4829156461759689</v>
      </c>
      <c r="H1832" s="8">
        <f t="shared" si="138"/>
        <v>8.0174096209028249</v>
      </c>
      <c r="I1832" s="9">
        <f t="shared" si="139"/>
        <v>8.5519035956296801</v>
      </c>
    </row>
    <row r="1833" spans="1:9" x14ac:dyDescent="0.35">
      <c r="A1833" s="24" t="s">
        <v>969</v>
      </c>
      <c r="B1833" s="18" t="s">
        <v>543</v>
      </c>
      <c r="C1833" s="20">
        <v>45363</v>
      </c>
      <c r="D1833" s="11">
        <v>4.8014191046249994</v>
      </c>
      <c r="E1833" s="27">
        <f t="shared" si="140"/>
        <v>5.3449397472685494</v>
      </c>
      <c r="F1833" s="6">
        <f t="shared" si="136"/>
        <v>6.9484216714491147</v>
      </c>
      <c r="G1833" s="7">
        <f t="shared" si="137"/>
        <v>7.4829156461759689</v>
      </c>
      <c r="H1833" s="8">
        <f t="shared" si="138"/>
        <v>8.0174096209028249</v>
      </c>
      <c r="I1833" s="9">
        <f t="shared" si="139"/>
        <v>8.5519035956296801</v>
      </c>
    </row>
    <row r="1834" spans="1:9" x14ac:dyDescent="0.35">
      <c r="A1834" s="24" t="s">
        <v>970</v>
      </c>
      <c r="B1834" s="18" t="s">
        <v>544</v>
      </c>
      <c r="C1834" s="20">
        <v>45363</v>
      </c>
      <c r="D1834" s="11">
        <v>5.8133773912500004</v>
      </c>
      <c r="E1834" s="27">
        <f t="shared" si="140"/>
        <v>6.4714517119395003</v>
      </c>
      <c r="F1834" s="6">
        <f t="shared" si="136"/>
        <v>8.4128872255213505</v>
      </c>
      <c r="G1834" s="7">
        <f t="shared" si="137"/>
        <v>9.0600323967153003</v>
      </c>
      <c r="H1834" s="8">
        <f t="shared" si="138"/>
        <v>9.70717756790925</v>
      </c>
      <c r="I1834" s="9">
        <f t="shared" si="139"/>
        <v>10.354322739103202</v>
      </c>
    </row>
    <row r="1835" spans="1:9" x14ac:dyDescent="0.35">
      <c r="A1835" s="24" t="s">
        <v>971</v>
      </c>
      <c r="B1835" s="18" t="s">
        <v>545</v>
      </c>
      <c r="C1835" s="20">
        <v>45363</v>
      </c>
      <c r="D1835" s="11">
        <v>6.0932807471249992</v>
      </c>
      <c r="E1835" s="27">
        <f t="shared" si="140"/>
        <v>6.7830401276995493</v>
      </c>
      <c r="F1835" s="6">
        <f t="shared" si="136"/>
        <v>8.8179521660094142</v>
      </c>
      <c r="G1835" s="7">
        <f t="shared" si="137"/>
        <v>9.4962561787793689</v>
      </c>
      <c r="H1835" s="8">
        <f t="shared" si="138"/>
        <v>10.174560191549324</v>
      </c>
      <c r="I1835" s="9">
        <f t="shared" si="139"/>
        <v>10.85286420431928</v>
      </c>
    </row>
    <row r="1836" spans="1:9" x14ac:dyDescent="0.35">
      <c r="A1836" s="24" t="s">
        <v>972</v>
      </c>
      <c r="B1836" s="18" t="s">
        <v>547</v>
      </c>
      <c r="C1836" s="20">
        <v>45363</v>
      </c>
      <c r="D1836" s="11">
        <v>6.0116792540398691</v>
      </c>
      <c r="E1836" s="27">
        <f t="shared" si="140"/>
        <v>6.6922013455971827</v>
      </c>
      <c r="F1836" s="6">
        <f t="shared" si="136"/>
        <v>8.6998617492763373</v>
      </c>
      <c r="G1836" s="7">
        <f t="shared" si="137"/>
        <v>9.3690818838360546</v>
      </c>
      <c r="H1836" s="8">
        <f t="shared" si="138"/>
        <v>10.038302018395774</v>
      </c>
      <c r="I1836" s="9">
        <f t="shared" si="139"/>
        <v>10.707522152955493</v>
      </c>
    </row>
    <row r="1837" spans="1:9" x14ac:dyDescent="0.35">
      <c r="A1837" s="24" t="s">
        <v>973</v>
      </c>
      <c r="B1837" s="18" t="s">
        <v>548</v>
      </c>
      <c r="C1837" s="20">
        <v>45363</v>
      </c>
      <c r="D1837" s="11">
        <v>6.9365529854306196</v>
      </c>
      <c r="E1837" s="27">
        <f t="shared" si="140"/>
        <v>7.7217707833813654</v>
      </c>
      <c r="F1837" s="6">
        <f t="shared" si="136"/>
        <v>10.038302018395775</v>
      </c>
      <c r="G1837" s="7">
        <f t="shared" si="137"/>
        <v>10.810479096733911</v>
      </c>
      <c r="H1837" s="8">
        <f t="shared" si="138"/>
        <v>11.582656175072048</v>
      </c>
      <c r="I1837" s="9">
        <f t="shared" si="139"/>
        <v>12.354833253410185</v>
      </c>
    </row>
    <row r="1838" spans="1:9" x14ac:dyDescent="0.35">
      <c r="A1838" s="24" t="s">
        <v>974</v>
      </c>
      <c r="B1838" s="18" t="s">
        <v>549</v>
      </c>
      <c r="C1838" s="20">
        <v>45363</v>
      </c>
      <c r="D1838" s="11">
        <v>6.0116792540398691</v>
      </c>
      <c r="E1838" s="27">
        <f t="shared" si="140"/>
        <v>6.6922013455971827</v>
      </c>
      <c r="F1838" s="6">
        <f t="shared" si="136"/>
        <v>8.6998617492763373</v>
      </c>
      <c r="G1838" s="7">
        <f t="shared" si="137"/>
        <v>9.3690818838360546</v>
      </c>
      <c r="H1838" s="8">
        <f t="shared" si="138"/>
        <v>10.038302018395774</v>
      </c>
      <c r="I1838" s="9">
        <f t="shared" si="139"/>
        <v>10.707522152955493</v>
      </c>
    </row>
    <row r="1839" spans="1:9" ht="15.75" customHeight="1" x14ac:dyDescent="0.4">
      <c r="B1839" s="19" t="s">
        <v>206</v>
      </c>
      <c r="D1839" s="11">
        <v>0</v>
      </c>
      <c r="E1839" s="27">
        <f t="shared" si="140"/>
        <v>0</v>
      </c>
      <c r="F1839" s="6">
        <f t="shared" si="136"/>
        <v>0</v>
      </c>
      <c r="G1839" s="7">
        <f t="shared" si="137"/>
        <v>0</v>
      </c>
      <c r="H1839" s="8">
        <f t="shared" si="138"/>
        <v>0</v>
      </c>
      <c r="I1839" s="9">
        <f t="shared" si="139"/>
        <v>0</v>
      </c>
    </row>
    <row r="1840" spans="1:9" x14ac:dyDescent="0.35">
      <c r="A1840" s="18" t="s">
        <v>975</v>
      </c>
      <c r="B1840" s="18" t="s">
        <v>3282</v>
      </c>
      <c r="C1840" s="20">
        <v>45698</v>
      </c>
      <c r="D1840" s="11">
        <v>58.529785709575023</v>
      </c>
      <c r="E1840" s="27">
        <f t="shared" si="140"/>
        <v>65.155357451898908</v>
      </c>
      <c r="F1840" s="6">
        <f t="shared" si="136"/>
        <v>84.701964687468589</v>
      </c>
      <c r="G1840" s="7">
        <f t="shared" si="137"/>
        <v>91.217500432658468</v>
      </c>
      <c r="H1840" s="8">
        <f t="shared" si="138"/>
        <v>97.733036177848362</v>
      </c>
      <c r="I1840" s="9">
        <f t="shared" si="139"/>
        <v>104.24857192303826</v>
      </c>
    </row>
    <row r="1841" spans="1:9" x14ac:dyDescent="0.35">
      <c r="A1841" s="18" t="s">
        <v>3281</v>
      </c>
      <c r="B1841" s="18" t="s">
        <v>3283</v>
      </c>
      <c r="C1841" s="20">
        <v>45698</v>
      </c>
      <c r="D1841" s="11">
        <v>84.282891421788037</v>
      </c>
      <c r="E1841" s="27">
        <f t="shared" si="140"/>
        <v>93.823714730734451</v>
      </c>
      <c r="F1841" s="6">
        <f t="shared" si="136"/>
        <v>121.9708291499548</v>
      </c>
      <c r="G1841" s="7">
        <f t="shared" si="137"/>
        <v>131.35320062302821</v>
      </c>
      <c r="H1841" s="8">
        <f t="shared" si="138"/>
        <v>140.73557209610169</v>
      </c>
      <c r="I1841" s="9">
        <f t="shared" si="139"/>
        <v>150.11794356917514</v>
      </c>
    </row>
    <row r="1842" spans="1:9" x14ac:dyDescent="0.35">
      <c r="A1842" s="18" t="s">
        <v>976</v>
      </c>
      <c r="B1842" s="18" t="s">
        <v>1883</v>
      </c>
      <c r="C1842" s="20">
        <v>45698</v>
      </c>
      <c r="D1842" s="11">
        <v>1579.0750886586245</v>
      </c>
      <c r="E1842" s="27">
        <f t="shared" si="140"/>
        <v>1757.8263886947807</v>
      </c>
      <c r="F1842" s="6">
        <f t="shared" si="136"/>
        <v>2285.1743053032151</v>
      </c>
      <c r="G1842" s="7">
        <f t="shared" si="137"/>
        <v>2460.9569441726926</v>
      </c>
      <c r="H1842" s="8">
        <f t="shared" si="138"/>
        <v>2636.739583042171</v>
      </c>
      <c r="I1842" s="9">
        <f t="shared" si="139"/>
        <v>2812.5222219116495</v>
      </c>
    </row>
    <row r="1843" spans="1:9" x14ac:dyDescent="0.35">
      <c r="A1843" s="18" t="s">
        <v>977</v>
      </c>
      <c r="B1843" s="18" t="s">
        <v>1884</v>
      </c>
      <c r="C1843" s="20">
        <v>45698</v>
      </c>
      <c r="D1843" s="11">
        <v>45.653232853468538</v>
      </c>
      <c r="E1843" s="27">
        <f t="shared" si="140"/>
        <v>50.821178812481179</v>
      </c>
      <c r="F1843" s="6">
        <f t="shared" si="136"/>
        <v>66.067532456225535</v>
      </c>
      <c r="G1843" s="7">
        <f t="shared" si="137"/>
        <v>71.149650337473645</v>
      </c>
      <c r="H1843" s="8">
        <f t="shared" si="138"/>
        <v>76.231768218721768</v>
      </c>
      <c r="I1843" s="9">
        <f t="shared" si="139"/>
        <v>81.313886099969892</v>
      </c>
    </row>
    <row r="1844" spans="1:9" x14ac:dyDescent="0.35">
      <c r="A1844" s="18" t="s">
        <v>978</v>
      </c>
      <c r="B1844" s="18" t="s">
        <v>550</v>
      </c>
      <c r="C1844" s="20">
        <v>45698</v>
      </c>
      <c r="D1844" s="11">
        <v>290.2303423615291</v>
      </c>
      <c r="E1844" s="27">
        <f t="shared" si="140"/>
        <v>323.08441711685424</v>
      </c>
      <c r="F1844" s="6">
        <f t="shared" si="136"/>
        <v>420.00974225191055</v>
      </c>
      <c r="G1844" s="7">
        <f t="shared" si="137"/>
        <v>452.31818396359591</v>
      </c>
      <c r="H1844" s="8">
        <f t="shared" si="138"/>
        <v>484.62662567528139</v>
      </c>
      <c r="I1844" s="9">
        <f t="shared" si="139"/>
        <v>516.93506738696681</v>
      </c>
    </row>
    <row r="1845" spans="1:9" x14ac:dyDescent="0.35">
      <c r="A1845" s="18" t="s">
        <v>979</v>
      </c>
      <c r="B1845" s="18" t="s">
        <v>551</v>
      </c>
      <c r="C1845" s="20">
        <v>45698</v>
      </c>
      <c r="D1845" s="11">
        <v>219.93010387840314</v>
      </c>
      <c r="E1845" s="27">
        <f t="shared" si="140"/>
        <v>244.8261916374384</v>
      </c>
      <c r="F1845" s="6">
        <f t="shared" si="136"/>
        <v>318.2740491286699</v>
      </c>
      <c r="G1845" s="7">
        <f t="shared" si="137"/>
        <v>342.75666829241374</v>
      </c>
      <c r="H1845" s="8">
        <f t="shared" si="138"/>
        <v>367.23928745615763</v>
      </c>
      <c r="I1845" s="9">
        <f t="shared" si="139"/>
        <v>391.72190661990146</v>
      </c>
    </row>
    <row r="1846" spans="1:9" x14ac:dyDescent="0.35">
      <c r="A1846" s="18" t="s">
        <v>980</v>
      </c>
      <c r="B1846" s="18" t="s">
        <v>552</v>
      </c>
      <c r="C1846" s="20">
        <v>45698</v>
      </c>
      <c r="D1846" s="11">
        <v>244.76092205822289</v>
      </c>
      <c r="E1846" s="27">
        <f t="shared" si="140"/>
        <v>272.46785843521371</v>
      </c>
      <c r="F1846" s="6">
        <f t="shared" si="136"/>
        <v>354.20821596577787</v>
      </c>
      <c r="G1846" s="7">
        <f t="shared" si="137"/>
        <v>381.45500180929918</v>
      </c>
      <c r="H1846" s="8">
        <f t="shared" si="138"/>
        <v>408.7017876528206</v>
      </c>
      <c r="I1846" s="9">
        <f t="shared" si="139"/>
        <v>435.94857349634196</v>
      </c>
    </row>
    <row r="1847" spans="1:9" x14ac:dyDescent="0.35">
      <c r="A1847" s="18" t="s">
        <v>1765</v>
      </c>
      <c r="B1847" s="18" t="s">
        <v>1885</v>
      </c>
      <c r="C1847" s="20">
        <v>45698</v>
      </c>
      <c r="D1847" s="11">
        <v>41.874324800000004</v>
      </c>
      <c r="E1847" s="27">
        <f t="shared" si="140"/>
        <v>46.614498367360007</v>
      </c>
      <c r="F1847" s="6">
        <f t="shared" si="136"/>
        <v>60.598847877568012</v>
      </c>
      <c r="G1847" s="7">
        <f t="shared" si="137"/>
        <v>65.260297714304002</v>
      </c>
      <c r="H1847" s="8">
        <f t="shared" si="138"/>
        <v>69.921747551040013</v>
      </c>
      <c r="I1847" s="9">
        <f t="shared" si="139"/>
        <v>74.583197387776011</v>
      </c>
    </row>
    <row r="1848" spans="1:9" x14ac:dyDescent="0.35">
      <c r="A1848" s="18" t="s">
        <v>1766</v>
      </c>
      <c r="B1848" s="18" t="s">
        <v>1886</v>
      </c>
      <c r="C1848" s="20">
        <v>45698</v>
      </c>
      <c r="D1848" s="11">
        <v>50.999767280000007</v>
      </c>
      <c r="E1848" s="27">
        <f t="shared" si="140"/>
        <v>56.772940936096006</v>
      </c>
      <c r="F1848" s="6">
        <f t="shared" si="136"/>
        <v>73.804823216924817</v>
      </c>
      <c r="G1848" s="7">
        <f t="shared" si="137"/>
        <v>79.482117310534406</v>
      </c>
      <c r="H1848" s="8">
        <f t="shared" si="138"/>
        <v>85.159411404144009</v>
      </c>
      <c r="I1848" s="9">
        <f t="shared" si="139"/>
        <v>90.836705497753613</v>
      </c>
    </row>
    <row r="1849" spans="1:9" x14ac:dyDescent="0.35">
      <c r="A1849" s="18" t="s">
        <v>4543</v>
      </c>
      <c r="B1849" s="18" t="s">
        <v>4544</v>
      </c>
      <c r="C1849" s="20">
        <v>45698</v>
      </c>
      <c r="D1849" s="11">
        <v>82.818254259729272</v>
      </c>
      <c r="E1849" s="27">
        <f t="shared" si="140"/>
        <v>92.193280641930627</v>
      </c>
      <c r="F1849" s="6">
        <f t="shared" si="136"/>
        <v>119.85126483450982</v>
      </c>
      <c r="G1849" s="7">
        <f t="shared" si="137"/>
        <v>129.07059289870287</v>
      </c>
      <c r="H1849" s="8">
        <f t="shared" si="138"/>
        <v>138.28992096289593</v>
      </c>
      <c r="I1849" s="9">
        <f t="shared" si="139"/>
        <v>147.509249027089</v>
      </c>
    </row>
    <row r="1850" spans="1:9" ht="15.75" customHeight="1" x14ac:dyDescent="0.4">
      <c r="B1850" s="19" t="s">
        <v>207</v>
      </c>
      <c r="D1850" s="11">
        <v>0</v>
      </c>
      <c r="E1850" s="27">
        <f t="shared" si="140"/>
        <v>0</v>
      </c>
      <c r="F1850" s="6">
        <f t="shared" si="136"/>
        <v>0</v>
      </c>
      <c r="G1850" s="7">
        <f t="shared" si="137"/>
        <v>0</v>
      </c>
      <c r="H1850" s="8">
        <f t="shared" si="138"/>
        <v>0</v>
      </c>
      <c r="I1850" s="9">
        <f t="shared" si="139"/>
        <v>0</v>
      </c>
    </row>
    <row r="1851" spans="1:9" x14ac:dyDescent="0.35">
      <c r="A1851" s="18" t="s">
        <v>981</v>
      </c>
      <c r="B1851" s="18" t="s">
        <v>1107</v>
      </c>
      <c r="C1851" s="20">
        <v>45545</v>
      </c>
      <c r="D1851" s="11">
        <v>457.7</v>
      </c>
      <c r="E1851" s="27">
        <f t="shared" si="140"/>
        <v>509.51164000000006</v>
      </c>
      <c r="F1851" s="6">
        <f t="shared" si="136"/>
        <v>662.36513200000013</v>
      </c>
      <c r="G1851" s="7">
        <f t="shared" si="137"/>
        <v>713.31629600000008</v>
      </c>
      <c r="H1851" s="8">
        <f t="shared" si="138"/>
        <v>764.26746000000003</v>
      </c>
      <c r="I1851" s="9">
        <f t="shared" si="139"/>
        <v>815.21862400000009</v>
      </c>
    </row>
    <row r="1852" spans="1:9" x14ac:dyDescent="0.35">
      <c r="A1852" s="18" t="s">
        <v>982</v>
      </c>
      <c r="B1852" s="18" t="s">
        <v>1153</v>
      </c>
      <c r="C1852" s="20">
        <v>45635</v>
      </c>
      <c r="D1852" s="11">
        <v>918</v>
      </c>
      <c r="E1852" s="27">
        <f t="shared" si="140"/>
        <v>1021.9176</v>
      </c>
      <c r="F1852" s="6">
        <f t="shared" si="136"/>
        <v>1328.49288</v>
      </c>
      <c r="G1852" s="7">
        <f t="shared" si="137"/>
        <v>1430.6846399999999</v>
      </c>
      <c r="H1852" s="8">
        <f t="shared" si="138"/>
        <v>1532.8764000000001</v>
      </c>
      <c r="I1852" s="9">
        <f t="shared" si="139"/>
        <v>1635.06816</v>
      </c>
    </row>
    <row r="1853" spans="1:9" x14ac:dyDescent="0.35">
      <c r="A1853" s="18" t="s">
        <v>3412</v>
      </c>
      <c r="B1853" s="18" t="s">
        <v>6592</v>
      </c>
      <c r="C1853" s="20">
        <v>45580</v>
      </c>
      <c r="D1853" s="11">
        <v>384.65</v>
      </c>
      <c r="E1853" s="27">
        <f t="shared" si="140"/>
        <v>428.19238000000001</v>
      </c>
      <c r="F1853" s="6">
        <f t="shared" ref="F1853:F1919" si="141">E1853*1.3</f>
        <v>556.65009400000008</v>
      </c>
      <c r="G1853" s="7">
        <f t="shared" ref="G1853:G1919" si="142">E1853*1.4</f>
        <v>599.46933200000001</v>
      </c>
      <c r="H1853" s="8">
        <f t="shared" ref="H1853:H1919" si="143">E1853*1.5</f>
        <v>642.28857000000005</v>
      </c>
      <c r="I1853" s="9">
        <f t="shared" ref="I1853:I1919" si="144">E1853*1.6</f>
        <v>685.10780800000009</v>
      </c>
    </row>
    <row r="1854" spans="1:9" ht="15.75" customHeight="1" x14ac:dyDescent="0.4">
      <c r="B1854" s="19" t="s">
        <v>1767</v>
      </c>
      <c r="D1854" s="11">
        <v>0</v>
      </c>
      <c r="E1854" s="27">
        <f t="shared" si="140"/>
        <v>0</v>
      </c>
      <c r="F1854" s="6">
        <f t="shared" si="141"/>
        <v>0</v>
      </c>
      <c r="G1854" s="7">
        <f t="shared" si="142"/>
        <v>0</v>
      </c>
      <c r="H1854" s="8">
        <f t="shared" si="143"/>
        <v>0</v>
      </c>
      <c r="I1854" s="9">
        <f t="shared" si="144"/>
        <v>0</v>
      </c>
    </row>
    <row r="1855" spans="1:9" x14ac:dyDescent="0.35">
      <c r="A1855" s="18" t="s">
        <v>1768</v>
      </c>
      <c r="B1855" s="18" t="s">
        <v>1770</v>
      </c>
      <c r="C1855" s="20">
        <v>45642</v>
      </c>
      <c r="D1855" s="11">
        <v>2148.09</v>
      </c>
      <c r="E1855" s="27">
        <f t="shared" si="140"/>
        <v>2391.253788</v>
      </c>
      <c r="F1855" s="6">
        <f t="shared" si="141"/>
        <v>3108.6299244000002</v>
      </c>
      <c r="G1855" s="7">
        <f t="shared" si="142"/>
        <v>3347.7553031999996</v>
      </c>
      <c r="H1855" s="8">
        <f t="shared" si="143"/>
        <v>3586.880682</v>
      </c>
      <c r="I1855" s="9">
        <f t="shared" si="144"/>
        <v>3826.0060608000003</v>
      </c>
    </row>
    <row r="1856" spans="1:9" x14ac:dyDescent="0.35">
      <c r="A1856" s="18" t="s">
        <v>1769</v>
      </c>
      <c r="B1856" s="18" t="s">
        <v>1771</v>
      </c>
      <c r="C1856" s="20">
        <v>45642</v>
      </c>
      <c r="D1856" s="11">
        <v>2733.6764000000003</v>
      </c>
      <c r="E1856" s="27">
        <f t="shared" si="140"/>
        <v>3043.1285684800005</v>
      </c>
      <c r="F1856" s="6">
        <f t="shared" si="141"/>
        <v>3956.0671390240009</v>
      </c>
      <c r="G1856" s="7">
        <f t="shared" si="142"/>
        <v>4260.3799958720001</v>
      </c>
      <c r="H1856" s="8">
        <f t="shared" si="143"/>
        <v>4564.6928527200007</v>
      </c>
      <c r="I1856" s="9">
        <f t="shared" si="144"/>
        <v>4869.0057095680013</v>
      </c>
    </row>
    <row r="1857" spans="1:9" ht="18" x14ac:dyDescent="0.4">
      <c r="B1857" s="19" t="s">
        <v>4863</v>
      </c>
      <c r="D1857" s="11">
        <v>0</v>
      </c>
      <c r="E1857" s="27">
        <f t="shared" si="140"/>
        <v>0</v>
      </c>
      <c r="F1857" s="6">
        <f t="shared" si="141"/>
        <v>0</v>
      </c>
      <c r="G1857" s="7">
        <f t="shared" si="142"/>
        <v>0</v>
      </c>
      <c r="H1857" s="8">
        <f t="shared" si="143"/>
        <v>0</v>
      </c>
      <c r="I1857" s="9">
        <f t="shared" si="144"/>
        <v>0</v>
      </c>
    </row>
    <row r="1858" spans="1:9" x14ac:dyDescent="0.35">
      <c r="A1858" s="18" t="s">
        <v>4864</v>
      </c>
      <c r="B1858" s="18" t="s">
        <v>4865</v>
      </c>
      <c r="C1858" s="20">
        <v>45363</v>
      </c>
      <c r="D1858" s="11">
        <v>1589</v>
      </c>
      <c r="E1858" s="27">
        <f t="shared" si="140"/>
        <v>1768.8748000000001</v>
      </c>
      <c r="F1858" s="6">
        <f t="shared" si="141"/>
        <v>2299.5372400000001</v>
      </c>
      <c r="G1858" s="7">
        <f t="shared" si="142"/>
        <v>2476.42472</v>
      </c>
      <c r="H1858" s="8">
        <f t="shared" si="143"/>
        <v>2653.3122000000003</v>
      </c>
      <c r="I1858" s="9">
        <f t="shared" si="144"/>
        <v>2830.1996800000002</v>
      </c>
    </row>
    <row r="1859" spans="1:9" ht="18" x14ac:dyDescent="0.4">
      <c r="B1859" s="19" t="s">
        <v>607</v>
      </c>
      <c r="D1859" s="11">
        <v>0</v>
      </c>
      <c r="E1859" s="27">
        <f t="shared" si="140"/>
        <v>0</v>
      </c>
      <c r="F1859" s="6">
        <f t="shared" si="141"/>
        <v>0</v>
      </c>
      <c r="G1859" s="7">
        <f t="shared" si="142"/>
        <v>0</v>
      </c>
      <c r="H1859" s="8">
        <f t="shared" si="143"/>
        <v>0</v>
      </c>
      <c r="I1859" s="9">
        <f t="shared" si="144"/>
        <v>0</v>
      </c>
    </row>
    <row r="1860" spans="1:9" x14ac:dyDescent="0.35">
      <c r="A1860" s="18" t="s">
        <v>608</v>
      </c>
      <c r="B1860" s="18" t="s">
        <v>609</v>
      </c>
      <c r="C1860" s="20">
        <v>45635</v>
      </c>
      <c r="D1860" s="11">
        <v>0</v>
      </c>
      <c r="E1860" s="27">
        <f t="shared" si="140"/>
        <v>0</v>
      </c>
      <c r="F1860" s="6">
        <f t="shared" si="141"/>
        <v>0</v>
      </c>
      <c r="G1860" s="7">
        <f t="shared" si="142"/>
        <v>0</v>
      </c>
      <c r="H1860" s="8">
        <f t="shared" si="143"/>
        <v>0</v>
      </c>
      <c r="I1860" s="9">
        <f t="shared" si="144"/>
        <v>0</v>
      </c>
    </row>
    <row r="1861" spans="1:9" x14ac:dyDescent="0.35">
      <c r="A1861" s="18" t="s">
        <v>610</v>
      </c>
      <c r="B1861" s="18" t="s">
        <v>611</v>
      </c>
      <c r="C1861" s="20">
        <v>45635</v>
      </c>
      <c r="D1861" s="11">
        <v>577.86959999999999</v>
      </c>
      <c r="E1861" s="27">
        <f t="shared" si="140"/>
        <v>643.28443872000003</v>
      </c>
      <c r="F1861" s="6">
        <f t="shared" si="141"/>
        <v>836.26977033600008</v>
      </c>
      <c r="G1861" s="7">
        <f t="shared" si="142"/>
        <v>900.59821420799994</v>
      </c>
      <c r="H1861" s="8">
        <f t="shared" si="143"/>
        <v>964.92665808000004</v>
      </c>
      <c r="I1861" s="9">
        <f t="shared" si="144"/>
        <v>1029.2551019520001</v>
      </c>
    </row>
    <row r="1862" spans="1:9" x14ac:dyDescent="0.35">
      <c r="A1862" s="18" t="s">
        <v>612</v>
      </c>
      <c r="B1862" s="18" t="s">
        <v>613</v>
      </c>
      <c r="C1862" s="20">
        <v>45635</v>
      </c>
      <c r="D1862" s="11">
        <v>46.226599999999998</v>
      </c>
      <c r="E1862" s="27">
        <f t="shared" si="140"/>
        <v>51.459451119999997</v>
      </c>
      <c r="F1862" s="6">
        <f t="shared" si="141"/>
        <v>66.897286456000003</v>
      </c>
      <c r="G1862" s="7">
        <f t="shared" si="142"/>
        <v>72.043231567999996</v>
      </c>
      <c r="H1862" s="8">
        <f t="shared" si="143"/>
        <v>77.189176680000003</v>
      </c>
      <c r="I1862" s="9">
        <f t="shared" si="144"/>
        <v>82.335121791999995</v>
      </c>
    </row>
    <row r="1863" spans="1:9" x14ac:dyDescent="0.35">
      <c r="A1863" s="18" t="s">
        <v>616</v>
      </c>
      <c r="B1863" s="18" t="s">
        <v>614</v>
      </c>
      <c r="C1863" s="20">
        <v>45635</v>
      </c>
      <c r="D1863" s="11">
        <v>52.0884</v>
      </c>
      <c r="E1863" s="27">
        <f t="shared" si="140"/>
        <v>57.984806880000001</v>
      </c>
      <c r="F1863" s="6">
        <f t="shared" si="141"/>
        <v>75.380248944000002</v>
      </c>
      <c r="G1863" s="7">
        <f t="shared" si="142"/>
        <v>81.178729632</v>
      </c>
      <c r="H1863" s="8">
        <f t="shared" si="143"/>
        <v>86.977210319999998</v>
      </c>
      <c r="I1863" s="9">
        <f t="shared" si="144"/>
        <v>92.77569100800001</v>
      </c>
    </row>
    <row r="1864" spans="1:9" x14ac:dyDescent="0.35">
      <c r="A1864" s="18" t="s">
        <v>617</v>
      </c>
      <c r="B1864" s="18" t="s">
        <v>615</v>
      </c>
      <c r="C1864" s="20">
        <v>45635</v>
      </c>
      <c r="D1864" s="11">
        <v>52.0884</v>
      </c>
      <c r="E1864" s="27">
        <f t="shared" si="140"/>
        <v>57.984806880000001</v>
      </c>
      <c r="F1864" s="6">
        <f t="shared" si="141"/>
        <v>75.380248944000002</v>
      </c>
      <c r="G1864" s="7">
        <f t="shared" si="142"/>
        <v>81.178729632</v>
      </c>
      <c r="H1864" s="8">
        <f t="shared" si="143"/>
        <v>86.977210319999998</v>
      </c>
      <c r="I1864" s="9">
        <f t="shared" si="144"/>
        <v>92.77569100800001</v>
      </c>
    </row>
    <row r="1865" spans="1:9" ht="15.75" customHeight="1" x14ac:dyDescent="0.4">
      <c r="A1865" s="21"/>
      <c r="B1865" s="19" t="s">
        <v>208</v>
      </c>
      <c r="D1865" s="11">
        <v>0</v>
      </c>
      <c r="E1865" s="27">
        <f t="shared" si="140"/>
        <v>0</v>
      </c>
      <c r="F1865" s="6">
        <f t="shared" si="141"/>
        <v>0</v>
      </c>
      <c r="G1865" s="7">
        <f t="shared" si="142"/>
        <v>0</v>
      </c>
      <c r="H1865" s="8">
        <f t="shared" si="143"/>
        <v>0</v>
      </c>
      <c r="I1865" s="9">
        <f t="shared" si="144"/>
        <v>0</v>
      </c>
    </row>
    <row r="1866" spans="1:9" x14ac:dyDescent="0.35">
      <c r="A1866" s="18" t="s">
        <v>983</v>
      </c>
      <c r="B1866" s="18" t="s">
        <v>4808</v>
      </c>
      <c r="C1866" s="20">
        <v>45544</v>
      </c>
      <c r="D1866" s="11">
        <v>912.6</v>
      </c>
      <c r="E1866" s="27">
        <f t="shared" si="140"/>
        <v>1015.9063200000002</v>
      </c>
      <c r="F1866" s="6">
        <f t="shared" si="141"/>
        <v>1320.6782160000002</v>
      </c>
      <c r="G1866" s="7">
        <f t="shared" si="142"/>
        <v>1422.2688480000002</v>
      </c>
      <c r="H1866" s="8">
        <f t="shared" si="143"/>
        <v>1523.8594800000003</v>
      </c>
      <c r="I1866" s="9">
        <f t="shared" si="144"/>
        <v>1625.4501120000004</v>
      </c>
    </row>
    <row r="1867" spans="1:9" x14ac:dyDescent="0.35">
      <c r="A1867" s="18" t="s">
        <v>1155</v>
      </c>
      <c r="B1867" s="18" t="s">
        <v>3438</v>
      </c>
      <c r="C1867" s="20">
        <v>45544</v>
      </c>
      <c r="D1867" s="11">
        <v>6177.6</v>
      </c>
      <c r="E1867" s="27">
        <f t="shared" si="140"/>
        <v>6876.9043200000006</v>
      </c>
      <c r="F1867" s="6">
        <f t="shared" si="141"/>
        <v>8939.9756160000015</v>
      </c>
      <c r="G1867" s="7">
        <f t="shared" si="142"/>
        <v>9627.666048000001</v>
      </c>
      <c r="H1867" s="8">
        <f t="shared" si="143"/>
        <v>10315.35648</v>
      </c>
      <c r="I1867" s="9">
        <f t="shared" si="144"/>
        <v>11003.046912000002</v>
      </c>
    </row>
    <row r="1868" spans="1:9" ht="18" x14ac:dyDescent="0.4">
      <c r="A1868" s="21"/>
      <c r="B1868" s="19" t="s">
        <v>1154</v>
      </c>
      <c r="D1868" s="11">
        <v>0</v>
      </c>
      <c r="E1868" s="27">
        <f t="shared" ref="E1868:E1931" si="145">D1868*1.21*0.92</f>
        <v>0</v>
      </c>
      <c r="F1868" s="6">
        <f t="shared" si="141"/>
        <v>0</v>
      </c>
      <c r="G1868" s="7">
        <f t="shared" si="142"/>
        <v>0</v>
      </c>
      <c r="H1868" s="8">
        <f t="shared" si="143"/>
        <v>0</v>
      </c>
      <c r="I1868" s="9">
        <f t="shared" si="144"/>
        <v>0</v>
      </c>
    </row>
    <row r="1869" spans="1:9" x14ac:dyDescent="0.35">
      <c r="A1869" s="18" t="s">
        <v>6737</v>
      </c>
      <c r="B1869" s="18" t="s">
        <v>6734</v>
      </c>
      <c r="C1869" s="20">
        <v>45657</v>
      </c>
      <c r="D1869" s="11">
        <v>26050.960000000003</v>
      </c>
      <c r="E1869" s="27">
        <f t="shared" si="145"/>
        <v>28999.928672000005</v>
      </c>
      <c r="F1869" s="6">
        <f t="shared" si="141"/>
        <v>37699.907273600009</v>
      </c>
      <c r="G1869" s="7">
        <f t="shared" si="142"/>
        <v>40599.900140800004</v>
      </c>
      <c r="H1869" s="8">
        <f t="shared" si="143"/>
        <v>43499.893008000006</v>
      </c>
      <c r="I1869" s="9">
        <f t="shared" si="144"/>
        <v>46399.885875200009</v>
      </c>
    </row>
    <row r="1870" spans="1:9" x14ac:dyDescent="0.35">
      <c r="A1870" s="18" t="s">
        <v>6736</v>
      </c>
      <c r="B1870" s="18" t="s">
        <v>6738</v>
      </c>
      <c r="C1870" s="20">
        <v>45657</v>
      </c>
      <c r="D1870" s="11">
        <v>29455.14</v>
      </c>
      <c r="E1870" s="27">
        <f t="shared" si="145"/>
        <v>32789.461848000006</v>
      </c>
      <c r="F1870" s="6">
        <f t="shared" si="141"/>
        <v>42626.300402400011</v>
      </c>
      <c r="G1870" s="7">
        <f t="shared" si="142"/>
        <v>45905.246587200003</v>
      </c>
      <c r="H1870" s="8">
        <f t="shared" si="143"/>
        <v>49184.192772000009</v>
      </c>
      <c r="I1870" s="9">
        <f t="shared" si="144"/>
        <v>52463.138956800016</v>
      </c>
    </row>
    <row r="1871" spans="1:9" x14ac:dyDescent="0.35">
      <c r="A1871" s="18" t="s">
        <v>6735</v>
      </c>
      <c r="B1871" s="18" t="s">
        <v>6739</v>
      </c>
      <c r="C1871" s="20">
        <v>45657</v>
      </c>
      <c r="D1871" s="11">
        <v>28806.960000000003</v>
      </c>
      <c r="E1871" s="27">
        <f t="shared" si="145"/>
        <v>32067.907872000003</v>
      </c>
      <c r="F1871" s="6">
        <f t="shared" si="141"/>
        <v>41688.280233600002</v>
      </c>
      <c r="G1871" s="7">
        <f t="shared" si="142"/>
        <v>44895.071020800002</v>
      </c>
      <c r="H1871" s="8">
        <f t="shared" si="143"/>
        <v>48101.861808000001</v>
      </c>
      <c r="I1871" s="9">
        <f t="shared" si="144"/>
        <v>51308.652595200008</v>
      </c>
    </row>
    <row r="1872" spans="1:9" x14ac:dyDescent="0.35">
      <c r="A1872" s="18" t="s">
        <v>4890</v>
      </c>
      <c r="B1872" s="18" t="s">
        <v>1156</v>
      </c>
      <c r="C1872" s="20">
        <v>45622</v>
      </c>
      <c r="D1872" s="11">
        <v>43758</v>
      </c>
      <c r="E1872" s="27">
        <f t="shared" si="145"/>
        <v>48711.405600000006</v>
      </c>
      <c r="F1872" s="6">
        <f t="shared" si="141"/>
        <v>63324.827280000012</v>
      </c>
      <c r="G1872" s="7">
        <f t="shared" si="142"/>
        <v>68195.967839999998</v>
      </c>
      <c r="H1872" s="8">
        <f t="shared" si="143"/>
        <v>73067.108400000012</v>
      </c>
      <c r="I1872" s="9">
        <f t="shared" si="144"/>
        <v>77938.248960000012</v>
      </c>
    </row>
    <row r="1873" spans="1:9" x14ac:dyDescent="0.35">
      <c r="A1873" s="18" t="s">
        <v>4954</v>
      </c>
      <c r="B1873" s="18" t="s">
        <v>4891</v>
      </c>
      <c r="C1873" s="20">
        <v>45622</v>
      </c>
      <c r="D1873" s="11">
        <v>34405.53781089589</v>
      </c>
      <c r="E1873" s="27">
        <f t="shared" si="145"/>
        <v>38300.244691089305</v>
      </c>
      <c r="F1873" s="6">
        <f t="shared" si="141"/>
        <v>49790.318098416101</v>
      </c>
      <c r="G1873" s="7">
        <f t="shared" si="142"/>
        <v>53620.342567525026</v>
      </c>
      <c r="H1873" s="8">
        <f t="shared" si="143"/>
        <v>57450.367036633957</v>
      </c>
      <c r="I1873" s="9">
        <f t="shared" si="144"/>
        <v>61280.391505742889</v>
      </c>
    </row>
    <row r="1874" spans="1:9" ht="18" x14ac:dyDescent="0.4">
      <c r="B1874" s="19" t="s">
        <v>5512</v>
      </c>
      <c r="D1874" s="11">
        <v>0</v>
      </c>
      <c r="E1874" s="27">
        <f t="shared" si="145"/>
        <v>0</v>
      </c>
      <c r="F1874" s="6">
        <f t="shared" si="141"/>
        <v>0</v>
      </c>
      <c r="G1874" s="7">
        <f t="shared" si="142"/>
        <v>0</v>
      </c>
      <c r="H1874" s="8">
        <f t="shared" si="143"/>
        <v>0</v>
      </c>
      <c r="I1874" s="9">
        <f t="shared" si="144"/>
        <v>0</v>
      </c>
    </row>
    <row r="1875" spans="1:9" x14ac:dyDescent="0.35">
      <c r="A1875" s="25" t="s">
        <v>4955</v>
      </c>
      <c r="B1875" s="24" t="s">
        <v>5462</v>
      </c>
      <c r="C1875" s="20">
        <v>45635</v>
      </c>
      <c r="D1875" s="11">
        <v>5852.5328881091264</v>
      </c>
      <c r="E1875" s="27">
        <f t="shared" si="145"/>
        <v>6515.0396110430793</v>
      </c>
      <c r="F1875" s="6">
        <f t="shared" si="141"/>
        <v>8469.5514943560029</v>
      </c>
      <c r="G1875" s="7">
        <f t="shared" si="142"/>
        <v>9121.0554554603095</v>
      </c>
      <c r="H1875" s="8">
        <f t="shared" si="143"/>
        <v>9772.559416564618</v>
      </c>
      <c r="I1875" s="9">
        <f t="shared" si="144"/>
        <v>10424.063377668928</v>
      </c>
    </row>
    <row r="1876" spans="1:9" x14ac:dyDescent="0.35">
      <c r="A1876" s="25" t="s">
        <v>4956</v>
      </c>
      <c r="B1876" s="24" t="s">
        <v>4957</v>
      </c>
      <c r="C1876" s="20">
        <v>45635</v>
      </c>
      <c r="D1876" s="11">
        <v>9690.8823796612141</v>
      </c>
      <c r="E1876" s="27">
        <f t="shared" si="145"/>
        <v>10787.890265038865</v>
      </c>
      <c r="F1876" s="6">
        <f t="shared" si="141"/>
        <v>14024.257344550524</v>
      </c>
      <c r="G1876" s="7">
        <f t="shared" si="142"/>
        <v>15103.04637105441</v>
      </c>
      <c r="H1876" s="8">
        <f t="shared" si="143"/>
        <v>16181.835397558298</v>
      </c>
      <c r="I1876" s="9">
        <f t="shared" si="144"/>
        <v>17260.624424062185</v>
      </c>
    </row>
    <row r="1877" spans="1:9" x14ac:dyDescent="0.35">
      <c r="A1877" s="25" t="s">
        <v>4958</v>
      </c>
      <c r="B1877" s="24" t="s">
        <v>4962</v>
      </c>
      <c r="C1877" s="20">
        <v>45635</v>
      </c>
      <c r="D1877" s="11">
        <v>34148.823623568089</v>
      </c>
      <c r="E1877" s="27">
        <f t="shared" si="145"/>
        <v>38014.470457755997</v>
      </c>
      <c r="F1877" s="6">
        <f t="shared" si="141"/>
        <v>49418.8115950828</v>
      </c>
      <c r="G1877" s="7">
        <f t="shared" si="142"/>
        <v>53220.258640858396</v>
      </c>
      <c r="H1877" s="8">
        <f t="shared" si="143"/>
        <v>57021.705686633999</v>
      </c>
      <c r="I1877" s="9">
        <f t="shared" si="144"/>
        <v>60823.152732409595</v>
      </c>
    </row>
    <row r="1878" spans="1:9" x14ac:dyDescent="0.35">
      <c r="A1878" s="25" t="s">
        <v>4959</v>
      </c>
      <c r="B1878" s="24" t="s">
        <v>4963</v>
      </c>
      <c r="C1878" s="20">
        <v>45635</v>
      </c>
      <c r="D1878" s="11">
        <v>34148.823623568089</v>
      </c>
      <c r="E1878" s="27">
        <f t="shared" si="145"/>
        <v>38014.470457755997</v>
      </c>
      <c r="F1878" s="6">
        <f t="shared" si="141"/>
        <v>49418.8115950828</v>
      </c>
      <c r="G1878" s="7">
        <f t="shared" si="142"/>
        <v>53220.258640858396</v>
      </c>
      <c r="H1878" s="8">
        <f t="shared" si="143"/>
        <v>57021.705686633999</v>
      </c>
      <c r="I1878" s="9">
        <f t="shared" si="144"/>
        <v>60823.152732409595</v>
      </c>
    </row>
    <row r="1879" spans="1:9" x14ac:dyDescent="0.35">
      <c r="A1879" s="25" t="s">
        <v>4960</v>
      </c>
      <c r="B1879" s="24" t="s">
        <v>4964</v>
      </c>
      <c r="C1879" s="20">
        <v>45635</v>
      </c>
      <c r="D1879" s="11">
        <v>29344.100426929341</v>
      </c>
      <c r="E1879" s="27">
        <f t="shared" si="145"/>
        <v>32665.852595257744</v>
      </c>
      <c r="F1879" s="6">
        <f t="shared" si="141"/>
        <v>42465.608373835072</v>
      </c>
      <c r="G1879" s="7">
        <f t="shared" si="142"/>
        <v>45732.193633360839</v>
      </c>
      <c r="H1879" s="8">
        <f t="shared" si="143"/>
        <v>48998.778892886614</v>
      </c>
      <c r="I1879" s="9">
        <f t="shared" si="144"/>
        <v>52265.364152412396</v>
      </c>
    </row>
    <row r="1880" spans="1:9" x14ac:dyDescent="0.35">
      <c r="A1880" s="25" t="s">
        <v>4961</v>
      </c>
      <c r="B1880" s="24" t="s">
        <v>5464</v>
      </c>
      <c r="C1880" s="20">
        <v>45635</v>
      </c>
      <c r="D1880" s="11">
        <v>5727.6643756541052</v>
      </c>
      <c r="E1880" s="27">
        <f t="shared" si="145"/>
        <v>6376.0359829781501</v>
      </c>
      <c r="F1880" s="6">
        <f t="shared" si="141"/>
        <v>8288.8467778715949</v>
      </c>
      <c r="G1880" s="7">
        <f t="shared" si="142"/>
        <v>8926.4503761694086</v>
      </c>
      <c r="H1880" s="8">
        <f t="shared" si="143"/>
        <v>9564.0539744672242</v>
      </c>
      <c r="I1880" s="9">
        <f t="shared" si="144"/>
        <v>10201.657572765042</v>
      </c>
    </row>
    <row r="1881" spans="1:9" x14ac:dyDescent="0.35">
      <c r="A1881" s="25" t="s">
        <v>4977</v>
      </c>
      <c r="B1881" s="24" t="s">
        <v>4978</v>
      </c>
      <c r="C1881" s="20">
        <v>45635</v>
      </c>
      <c r="D1881" s="11">
        <v>11534.6</v>
      </c>
      <c r="E1881" s="27">
        <f t="shared" si="145"/>
        <v>12840.316720000001</v>
      </c>
      <c r="F1881" s="6">
        <f t="shared" si="141"/>
        <v>16692.411736000002</v>
      </c>
      <c r="G1881" s="7">
        <f t="shared" si="142"/>
        <v>17976.443407999999</v>
      </c>
      <c r="H1881" s="8">
        <f t="shared" si="143"/>
        <v>19260.47508</v>
      </c>
      <c r="I1881" s="9">
        <f t="shared" si="144"/>
        <v>20544.506752000001</v>
      </c>
    </row>
    <row r="1882" spans="1:9" x14ac:dyDescent="0.35">
      <c r="A1882" s="25" t="s">
        <v>5123</v>
      </c>
      <c r="B1882" s="24" t="s">
        <v>6340</v>
      </c>
      <c r="C1882" s="20">
        <v>45635</v>
      </c>
      <c r="D1882" s="11">
        <v>12200.33</v>
      </c>
      <c r="E1882" s="27">
        <f t="shared" si="145"/>
        <v>13581.407356</v>
      </c>
      <c r="F1882" s="6">
        <f t="shared" si="141"/>
        <v>17655.829562800001</v>
      </c>
      <c r="G1882" s="7">
        <f t="shared" si="142"/>
        <v>19013.9702984</v>
      </c>
      <c r="H1882" s="8">
        <f t="shared" si="143"/>
        <v>20372.111034000001</v>
      </c>
      <c r="I1882" s="9">
        <f t="shared" si="144"/>
        <v>21730.2517696</v>
      </c>
    </row>
    <row r="1883" spans="1:9" x14ac:dyDescent="0.35">
      <c r="A1883" s="25" t="s">
        <v>5463</v>
      </c>
      <c r="B1883" s="24" t="s">
        <v>5465</v>
      </c>
      <c r="C1883" s="20">
        <v>45635</v>
      </c>
      <c r="D1883" s="11">
        <v>6083.2681828629647</v>
      </c>
      <c r="E1883" s="27">
        <f t="shared" si="145"/>
        <v>6771.8941411630522</v>
      </c>
      <c r="F1883" s="6">
        <f t="shared" si="141"/>
        <v>8803.4623835119673</v>
      </c>
      <c r="G1883" s="7">
        <f t="shared" si="142"/>
        <v>9480.6517976282721</v>
      </c>
      <c r="H1883" s="8">
        <f t="shared" si="143"/>
        <v>10157.841211744579</v>
      </c>
      <c r="I1883" s="9">
        <f t="shared" si="144"/>
        <v>10835.030625860883</v>
      </c>
    </row>
    <row r="1884" spans="1:9" x14ac:dyDescent="0.35">
      <c r="A1884" s="25" t="s">
        <v>5610</v>
      </c>
      <c r="B1884" s="24" t="s">
        <v>5611</v>
      </c>
      <c r="C1884" s="20">
        <v>45635</v>
      </c>
      <c r="D1884" s="11">
        <v>2975.8</v>
      </c>
      <c r="E1884" s="27">
        <f t="shared" si="145"/>
        <v>3312.6605600000003</v>
      </c>
      <c r="F1884" s="6">
        <f t="shared" si="141"/>
        <v>4306.4587280000005</v>
      </c>
      <c r="G1884" s="7">
        <f t="shared" si="142"/>
        <v>4637.724784</v>
      </c>
      <c r="H1884" s="8">
        <f t="shared" si="143"/>
        <v>4968.9908400000004</v>
      </c>
      <c r="I1884" s="9">
        <f t="shared" si="144"/>
        <v>5300.2568960000008</v>
      </c>
    </row>
    <row r="1885" spans="1:9" x14ac:dyDescent="0.35">
      <c r="A1885" s="25" t="s">
        <v>6338</v>
      </c>
      <c r="B1885" s="24" t="s">
        <v>6339</v>
      </c>
      <c r="C1885" s="20">
        <v>45635</v>
      </c>
      <c r="D1885" s="11">
        <v>4333.3541999999998</v>
      </c>
      <c r="E1885" s="27">
        <f t="shared" si="145"/>
        <v>4823.8898954400001</v>
      </c>
      <c r="F1885" s="6">
        <f t="shared" si="141"/>
        <v>6271.0568640720003</v>
      </c>
      <c r="G1885" s="7">
        <f t="shared" si="142"/>
        <v>6753.445853616</v>
      </c>
      <c r="H1885" s="8">
        <f t="shared" si="143"/>
        <v>7235.8348431600007</v>
      </c>
      <c r="I1885" s="9">
        <f t="shared" si="144"/>
        <v>7718.2238327040004</v>
      </c>
    </row>
    <row r="1886" spans="1:9" ht="15.75" customHeight="1" x14ac:dyDescent="0.4">
      <c r="B1886" s="19" t="s">
        <v>209</v>
      </c>
      <c r="D1886" s="11">
        <v>0</v>
      </c>
      <c r="E1886" s="27">
        <f t="shared" si="145"/>
        <v>0</v>
      </c>
      <c r="F1886" s="6">
        <f t="shared" si="141"/>
        <v>0</v>
      </c>
      <c r="G1886" s="7">
        <f t="shared" si="142"/>
        <v>0</v>
      </c>
      <c r="H1886" s="8">
        <f t="shared" si="143"/>
        <v>0</v>
      </c>
      <c r="I1886" s="9">
        <f t="shared" si="144"/>
        <v>0</v>
      </c>
    </row>
    <row r="1887" spans="1:9" x14ac:dyDescent="0.35">
      <c r="A1887" s="24" t="s">
        <v>984</v>
      </c>
      <c r="B1887" s="18" t="s">
        <v>1150</v>
      </c>
      <c r="C1887" s="20">
        <v>45511</v>
      </c>
      <c r="D1887" s="11">
        <v>3250.8</v>
      </c>
      <c r="E1887" s="27">
        <f t="shared" si="145"/>
        <v>3618.7905600000004</v>
      </c>
      <c r="F1887" s="6">
        <f t="shared" si="141"/>
        <v>4704.4277280000006</v>
      </c>
      <c r="G1887" s="7">
        <f t="shared" si="142"/>
        <v>5066.3067840000003</v>
      </c>
      <c r="H1887" s="8">
        <f t="shared" si="143"/>
        <v>5428.1858400000001</v>
      </c>
      <c r="I1887" s="9">
        <f t="shared" si="144"/>
        <v>5790.0648960000008</v>
      </c>
    </row>
    <row r="1888" spans="1:9" x14ac:dyDescent="0.35">
      <c r="A1888" s="24" t="s">
        <v>985</v>
      </c>
      <c r="B1888" s="18" t="s">
        <v>1151</v>
      </c>
      <c r="C1888" s="20">
        <v>45511</v>
      </c>
      <c r="D1888" s="11">
        <v>5331.62</v>
      </c>
      <c r="E1888" s="27">
        <f t="shared" si="145"/>
        <v>5935.1593839999996</v>
      </c>
      <c r="F1888" s="6">
        <f t="shared" si="141"/>
        <v>7715.7071992000001</v>
      </c>
      <c r="G1888" s="7">
        <f t="shared" si="142"/>
        <v>8309.2231375999982</v>
      </c>
      <c r="H1888" s="8">
        <f t="shared" si="143"/>
        <v>8902.7390759999998</v>
      </c>
      <c r="I1888" s="9">
        <f t="shared" si="144"/>
        <v>9496.2550143999997</v>
      </c>
    </row>
    <row r="1889" spans="1:9" ht="18" x14ac:dyDescent="0.4">
      <c r="B1889" s="19" t="s">
        <v>4553</v>
      </c>
      <c r="D1889" s="11">
        <v>0</v>
      </c>
      <c r="E1889" s="27">
        <f t="shared" si="145"/>
        <v>0</v>
      </c>
      <c r="F1889" s="6">
        <f t="shared" si="141"/>
        <v>0</v>
      </c>
      <c r="G1889" s="7">
        <f t="shared" si="142"/>
        <v>0</v>
      </c>
      <c r="H1889" s="8">
        <f t="shared" si="143"/>
        <v>0</v>
      </c>
      <c r="I1889" s="9">
        <f t="shared" si="144"/>
        <v>0</v>
      </c>
    </row>
    <row r="1890" spans="1:9" x14ac:dyDescent="0.35">
      <c r="A1890" s="18" t="s">
        <v>6202</v>
      </c>
      <c r="B1890" s="18" t="s">
        <v>6203</v>
      </c>
      <c r="C1890" s="20">
        <v>45629</v>
      </c>
      <c r="D1890" s="11">
        <v>24227.530372500005</v>
      </c>
      <c r="E1890" s="27">
        <f t="shared" si="145"/>
        <v>26970.086810667006</v>
      </c>
      <c r="F1890" s="6">
        <f t="shared" si="141"/>
        <v>35061.112853867111</v>
      </c>
      <c r="G1890" s="7">
        <f t="shared" si="142"/>
        <v>37758.121534933809</v>
      </c>
      <c r="H1890" s="8">
        <f t="shared" si="143"/>
        <v>40455.130216000507</v>
      </c>
      <c r="I1890" s="9">
        <f t="shared" si="144"/>
        <v>43152.138897067212</v>
      </c>
    </row>
    <row r="1891" spans="1:9" x14ac:dyDescent="0.35">
      <c r="A1891" s="18" t="s">
        <v>6204</v>
      </c>
      <c r="B1891" s="18" t="s">
        <v>6205</v>
      </c>
      <c r="C1891" s="20">
        <v>45629</v>
      </c>
      <c r="D1891" s="11">
        <v>26236.662952500003</v>
      </c>
      <c r="E1891" s="27">
        <f t="shared" si="145"/>
        <v>29206.653198723001</v>
      </c>
      <c r="F1891" s="6">
        <f t="shared" si="141"/>
        <v>37968.649158339904</v>
      </c>
      <c r="G1891" s="7">
        <f t="shared" si="142"/>
        <v>40889.314478212196</v>
      </c>
      <c r="H1891" s="8">
        <f t="shared" si="143"/>
        <v>43809.979798084503</v>
      </c>
      <c r="I1891" s="9">
        <f t="shared" si="144"/>
        <v>46730.645117956803</v>
      </c>
    </row>
    <row r="1892" spans="1:9" x14ac:dyDescent="0.35">
      <c r="A1892" s="24" t="s">
        <v>4554</v>
      </c>
      <c r="B1892" s="18" t="s">
        <v>4557</v>
      </c>
      <c r="C1892" s="20">
        <v>45629</v>
      </c>
      <c r="D1892" s="11">
        <v>27536.771535000003</v>
      </c>
      <c r="E1892" s="27">
        <f t="shared" si="145"/>
        <v>30653.934072762004</v>
      </c>
      <c r="F1892" s="6">
        <f t="shared" si="141"/>
        <v>39850.114294590603</v>
      </c>
      <c r="G1892" s="7">
        <f t="shared" si="142"/>
        <v>42915.507701866802</v>
      </c>
      <c r="H1892" s="8">
        <f t="shared" si="143"/>
        <v>45980.901109143007</v>
      </c>
      <c r="I1892" s="9">
        <f t="shared" si="144"/>
        <v>49046.294516419206</v>
      </c>
    </row>
    <row r="1893" spans="1:9" x14ac:dyDescent="0.35">
      <c r="A1893" s="24" t="s">
        <v>6206</v>
      </c>
      <c r="B1893" s="18" t="s">
        <v>6207</v>
      </c>
      <c r="C1893" s="20">
        <v>45629</v>
      </c>
      <c r="D1893" s="11">
        <v>26786.121862500004</v>
      </c>
      <c r="E1893" s="27">
        <f t="shared" si="145"/>
        <v>29818.310857335004</v>
      </c>
      <c r="F1893" s="6">
        <f t="shared" si="141"/>
        <v>38763.804114535509</v>
      </c>
      <c r="G1893" s="7">
        <f t="shared" si="142"/>
        <v>41745.635200269004</v>
      </c>
      <c r="H1893" s="8">
        <f t="shared" si="143"/>
        <v>44727.466286002506</v>
      </c>
      <c r="I1893" s="9">
        <f t="shared" si="144"/>
        <v>47709.297371736007</v>
      </c>
    </row>
    <row r="1894" spans="1:9" x14ac:dyDescent="0.35">
      <c r="A1894" s="24" t="s">
        <v>4555</v>
      </c>
      <c r="B1894" s="18" t="s">
        <v>4556</v>
      </c>
      <c r="C1894" s="20">
        <v>45629</v>
      </c>
      <c r="D1894" s="11">
        <v>52263.810007500011</v>
      </c>
      <c r="E1894" s="27">
        <f t="shared" si="145"/>
        <v>58180.073300349017</v>
      </c>
      <c r="F1894" s="6">
        <f t="shared" si="141"/>
        <v>75634.095290453726</v>
      </c>
      <c r="G1894" s="7">
        <f t="shared" si="142"/>
        <v>81452.102620488615</v>
      </c>
      <c r="H1894" s="8">
        <f t="shared" si="143"/>
        <v>87270.109950523532</v>
      </c>
      <c r="I1894" s="9">
        <f t="shared" si="144"/>
        <v>93088.117280558436</v>
      </c>
    </row>
    <row r="1895" spans="1:9" ht="18" x14ac:dyDescent="0.4">
      <c r="A1895" s="35"/>
      <c r="B1895" s="34" t="s">
        <v>6110</v>
      </c>
      <c r="C1895" s="29"/>
      <c r="D1895" s="11">
        <v>0</v>
      </c>
      <c r="E1895" s="27">
        <f t="shared" si="145"/>
        <v>0</v>
      </c>
      <c r="F1895" s="6">
        <f t="shared" si="141"/>
        <v>0</v>
      </c>
      <c r="G1895" s="7">
        <f t="shared" si="142"/>
        <v>0</v>
      </c>
      <c r="H1895" s="8">
        <f t="shared" si="143"/>
        <v>0</v>
      </c>
      <c r="I1895" s="9">
        <f t="shared" si="144"/>
        <v>0</v>
      </c>
    </row>
    <row r="1896" spans="1:9" x14ac:dyDescent="0.35">
      <c r="A1896" s="35" t="s">
        <v>3129</v>
      </c>
      <c r="B1896" s="35" t="s">
        <v>5617</v>
      </c>
      <c r="C1896" s="29">
        <v>45741</v>
      </c>
      <c r="D1896" s="11">
        <v>26000</v>
      </c>
      <c r="E1896" s="27">
        <f t="shared" si="145"/>
        <v>28943.200000000001</v>
      </c>
      <c r="F1896" s="6">
        <f t="shared" si="141"/>
        <v>37626.160000000003</v>
      </c>
      <c r="G1896" s="7">
        <f t="shared" si="142"/>
        <v>40520.479999999996</v>
      </c>
      <c r="H1896" s="8">
        <f t="shared" si="143"/>
        <v>43414.8</v>
      </c>
      <c r="I1896" s="9">
        <f t="shared" si="144"/>
        <v>46309.120000000003</v>
      </c>
    </row>
    <row r="1897" spans="1:9" x14ac:dyDescent="0.35">
      <c r="A1897" s="35" t="s">
        <v>3130</v>
      </c>
      <c r="B1897" s="35" t="s">
        <v>5618</v>
      </c>
      <c r="C1897" s="29">
        <v>45741</v>
      </c>
      <c r="D1897" s="11">
        <v>33800</v>
      </c>
      <c r="E1897" s="27">
        <f t="shared" si="145"/>
        <v>37626.160000000003</v>
      </c>
      <c r="F1897" s="6">
        <f t="shared" si="141"/>
        <v>48914.008000000009</v>
      </c>
      <c r="G1897" s="7">
        <f t="shared" si="142"/>
        <v>52676.624000000003</v>
      </c>
      <c r="H1897" s="8">
        <f t="shared" si="143"/>
        <v>56439.240000000005</v>
      </c>
      <c r="I1897" s="9">
        <f t="shared" si="144"/>
        <v>60201.856000000007</v>
      </c>
    </row>
    <row r="1898" spans="1:9" x14ac:dyDescent="0.35">
      <c r="A1898" s="35" t="s">
        <v>4614</v>
      </c>
      <c r="B1898" s="35" t="s">
        <v>4616</v>
      </c>
      <c r="C1898" s="29">
        <v>45741</v>
      </c>
      <c r="D1898" s="11">
        <v>36400</v>
      </c>
      <c r="E1898" s="27">
        <f t="shared" si="145"/>
        <v>40520.480000000003</v>
      </c>
      <c r="F1898" s="6">
        <f t="shared" si="141"/>
        <v>52676.624000000003</v>
      </c>
      <c r="G1898" s="7">
        <f t="shared" si="142"/>
        <v>56728.671999999999</v>
      </c>
      <c r="H1898" s="8">
        <f t="shared" si="143"/>
        <v>60780.72</v>
      </c>
      <c r="I1898" s="9">
        <f t="shared" si="144"/>
        <v>64832.768000000011</v>
      </c>
    </row>
    <row r="1899" spans="1:9" x14ac:dyDescent="0.35">
      <c r="A1899" s="35" t="s">
        <v>4615</v>
      </c>
      <c r="B1899" s="35" t="s">
        <v>4617</v>
      </c>
      <c r="C1899" s="29">
        <v>45741</v>
      </c>
      <c r="D1899" s="11">
        <v>45500</v>
      </c>
      <c r="E1899" s="27">
        <f t="shared" si="145"/>
        <v>50650.600000000006</v>
      </c>
      <c r="F1899" s="6">
        <f t="shared" si="141"/>
        <v>65845.780000000013</v>
      </c>
      <c r="G1899" s="7">
        <f t="shared" si="142"/>
        <v>70910.84</v>
      </c>
      <c r="H1899" s="8">
        <f t="shared" si="143"/>
        <v>75975.900000000009</v>
      </c>
      <c r="I1899" s="9">
        <f t="shared" si="144"/>
        <v>81040.960000000021</v>
      </c>
    </row>
    <row r="1900" spans="1:9" x14ac:dyDescent="0.35">
      <c r="A1900" s="35" t="s">
        <v>5615</v>
      </c>
      <c r="B1900" s="35" t="s">
        <v>5619</v>
      </c>
      <c r="C1900" s="29">
        <v>45741</v>
      </c>
      <c r="D1900" s="11">
        <v>28600</v>
      </c>
      <c r="E1900" s="27">
        <f t="shared" si="145"/>
        <v>31837.52</v>
      </c>
      <c r="F1900" s="6">
        <f t="shared" si="141"/>
        <v>41388.776000000005</v>
      </c>
      <c r="G1900" s="7">
        <f t="shared" si="142"/>
        <v>44572.527999999998</v>
      </c>
      <c r="H1900" s="8">
        <f t="shared" si="143"/>
        <v>47756.28</v>
      </c>
      <c r="I1900" s="9">
        <f t="shared" si="144"/>
        <v>50940.032000000007</v>
      </c>
    </row>
    <row r="1901" spans="1:9" x14ac:dyDescent="0.35">
      <c r="A1901" s="35" t="s">
        <v>5616</v>
      </c>
      <c r="B1901" s="35" t="s">
        <v>5620</v>
      </c>
      <c r="C1901" s="29">
        <v>45741</v>
      </c>
      <c r="D1901" s="11">
        <v>35100</v>
      </c>
      <c r="E1901" s="27">
        <f t="shared" si="145"/>
        <v>39073.32</v>
      </c>
      <c r="F1901" s="6">
        <f t="shared" si="141"/>
        <v>50795.315999999999</v>
      </c>
      <c r="G1901" s="7">
        <f t="shared" si="142"/>
        <v>54702.647999999994</v>
      </c>
      <c r="H1901" s="8">
        <f t="shared" si="143"/>
        <v>58609.979999999996</v>
      </c>
      <c r="I1901" s="9">
        <f t="shared" si="144"/>
        <v>62517.312000000005</v>
      </c>
    </row>
    <row r="1902" spans="1:9" ht="15.75" customHeight="1" x14ac:dyDescent="0.4">
      <c r="B1902" s="19" t="s">
        <v>210</v>
      </c>
      <c r="D1902" s="11">
        <v>0</v>
      </c>
      <c r="E1902" s="27">
        <f t="shared" si="145"/>
        <v>0</v>
      </c>
      <c r="F1902" s="6">
        <f t="shared" si="141"/>
        <v>0</v>
      </c>
      <c r="G1902" s="7">
        <f t="shared" si="142"/>
        <v>0</v>
      </c>
      <c r="H1902" s="8">
        <f t="shared" si="143"/>
        <v>0</v>
      </c>
      <c r="I1902" s="9">
        <f t="shared" si="144"/>
        <v>0</v>
      </c>
    </row>
    <row r="1903" spans="1:9" x14ac:dyDescent="0.35">
      <c r="A1903" s="24" t="s">
        <v>986</v>
      </c>
      <c r="B1903" s="18" t="s">
        <v>1152</v>
      </c>
      <c r="C1903" s="20">
        <v>45635</v>
      </c>
      <c r="D1903" s="11">
        <v>312.59534907009538</v>
      </c>
      <c r="E1903" s="27">
        <f t="shared" si="145"/>
        <v>347.9811425848302</v>
      </c>
      <c r="F1903" s="6">
        <f t="shared" si="141"/>
        <v>452.37548536027924</v>
      </c>
      <c r="G1903" s="7">
        <f t="shared" si="142"/>
        <v>487.17359961876224</v>
      </c>
      <c r="H1903" s="8">
        <f t="shared" si="143"/>
        <v>521.97171387724529</v>
      </c>
      <c r="I1903" s="9">
        <f t="shared" si="144"/>
        <v>556.76982813572829</v>
      </c>
    </row>
    <row r="1904" spans="1:9" x14ac:dyDescent="0.35">
      <c r="A1904" s="24" t="s">
        <v>987</v>
      </c>
      <c r="B1904" s="18" t="s">
        <v>6468</v>
      </c>
      <c r="C1904" s="20">
        <v>45635</v>
      </c>
      <c r="D1904" s="11">
        <v>361.39950000000005</v>
      </c>
      <c r="E1904" s="27">
        <f t="shared" si="145"/>
        <v>402.30992340000006</v>
      </c>
      <c r="F1904" s="6">
        <f t="shared" si="141"/>
        <v>523.00290042000006</v>
      </c>
      <c r="G1904" s="7">
        <f t="shared" si="142"/>
        <v>563.23389276</v>
      </c>
      <c r="H1904" s="8">
        <f t="shared" si="143"/>
        <v>603.46488510000006</v>
      </c>
      <c r="I1904" s="9">
        <f t="shared" si="144"/>
        <v>643.69587744000012</v>
      </c>
    </row>
    <row r="1905" spans="1:9" x14ac:dyDescent="0.35">
      <c r="A1905" s="24" t="s">
        <v>988</v>
      </c>
      <c r="B1905" s="18" t="s">
        <v>467</v>
      </c>
      <c r="C1905" s="20">
        <v>45635</v>
      </c>
      <c r="D1905" s="11">
        <v>113.14298788020123</v>
      </c>
      <c r="E1905" s="27">
        <f t="shared" si="145"/>
        <v>125.95077410824001</v>
      </c>
      <c r="F1905" s="6">
        <f t="shared" si="141"/>
        <v>163.73600634071201</v>
      </c>
      <c r="G1905" s="7">
        <f t="shared" si="142"/>
        <v>176.331083751536</v>
      </c>
      <c r="H1905" s="8">
        <f t="shared" si="143"/>
        <v>188.92616116236002</v>
      </c>
      <c r="I1905" s="9">
        <f t="shared" si="144"/>
        <v>201.52123857318404</v>
      </c>
    </row>
    <row r="1906" spans="1:9" x14ac:dyDescent="0.35">
      <c r="A1906" s="24" t="s">
        <v>989</v>
      </c>
      <c r="B1906" s="18" t="s">
        <v>468</v>
      </c>
      <c r="C1906" s="20">
        <v>45635</v>
      </c>
      <c r="D1906" s="11">
        <v>113.14298788020123</v>
      </c>
      <c r="E1906" s="27">
        <f t="shared" si="145"/>
        <v>125.95077410824001</v>
      </c>
      <c r="F1906" s="6">
        <f t="shared" si="141"/>
        <v>163.73600634071201</v>
      </c>
      <c r="G1906" s="7">
        <f t="shared" si="142"/>
        <v>176.331083751536</v>
      </c>
      <c r="H1906" s="8">
        <f t="shared" si="143"/>
        <v>188.92616116236002</v>
      </c>
      <c r="I1906" s="9">
        <f t="shared" si="144"/>
        <v>201.52123857318404</v>
      </c>
    </row>
    <row r="1907" spans="1:9" x14ac:dyDescent="0.35">
      <c r="A1907" s="24" t="s">
        <v>990</v>
      </c>
      <c r="B1907" s="18" t="s">
        <v>469</v>
      </c>
      <c r="C1907" s="20">
        <v>45635</v>
      </c>
      <c r="D1907" s="11">
        <v>113.14298788020123</v>
      </c>
      <c r="E1907" s="27">
        <f t="shared" si="145"/>
        <v>125.95077410824001</v>
      </c>
      <c r="F1907" s="6">
        <f t="shared" si="141"/>
        <v>163.73600634071201</v>
      </c>
      <c r="G1907" s="7">
        <f t="shared" si="142"/>
        <v>176.331083751536</v>
      </c>
      <c r="H1907" s="8">
        <f t="shared" si="143"/>
        <v>188.92616116236002</v>
      </c>
      <c r="I1907" s="9">
        <f t="shared" si="144"/>
        <v>201.52123857318404</v>
      </c>
    </row>
    <row r="1908" spans="1:9" x14ac:dyDescent="0.35">
      <c r="A1908" s="24" t="s">
        <v>991</v>
      </c>
      <c r="B1908" s="18" t="s">
        <v>470</v>
      </c>
      <c r="C1908" s="20">
        <v>45635</v>
      </c>
      <c r="D1908" s="11">
        <v>1941.0857013713539</v>
      </c>
      <c r="E1908" s="27">
        <f t="shared" si="145"/>
        <v>2160.8166027665911</v>
      </c>
      <c r="F1908" s="6">
        <f t="shared" si="141"/>
        <v>2809.0615835965687</v>
      </c>
      <c r="G1908" s="7">
        <f t="shared" si="142"/>
        <v>3025.1432438732272</v>
      </c>
      <c r="H1908" s="8">
        <f t="shared" si="143"/>
        <v>3241.2249041498867</v>
      </c>
      <c r="I1908" s="9">
        <f t="shared" si="144"/>
        <v>3457.3065644265462</v>
      </c>
    </row>
    <row r="1909" spans="1:9" x14ac:dyDescent="0.35">
      <c r="A1909" s="24" t="s">
        <v>992</v>
      </c>
      <c r="B1909" s="18" t="s">
        <v>471</v>
      </c>
      <c r="C1909" s="20">
        <v>45635</v>
      </c>
      <c r="D1909" s="11">
        <v>1806.9975000000004</v>
      </c>
      <c r="E1909" s="27">
        <f t="shared" si="145"/>
        <v>2011.5496170000004</v>
      </c>
      <c r="F1909" s="6">
        <f t="shared" si="141"/>
        <v>2615.0145021000008</v>
      </c>
      <c r="G1909" s="7">
        <f t="shared" si="142"/>
        <v>2816.1694638000004</v>
      </c>
      <c r="H1909" s="8">
        <f t="shared" si="143"/>
        <v>3017.3244255000004</v>
      </c>
      <c r="I1909" s="9">
        <f t="shared" si="144"/>
        <v>3218.4793872000009</v>
      </c>
    </row>
    <row r="1910" spans="1:9" x14ac:dyDescent="0.35">
      <c r="A1910" s="24" t="s">
        <v>993</v>
      </c>
      <c r="B1910" s="18" t="s">
        <v>472</v>
      </c>
      <c r="C1910" s="20">
        <v>45635</v>
      </c>
      <c r="D1910" s="11">
        <v>2182.9500000000007</v>
      </c>
      <c r="E1910" s="27">
        <f t="shared" si="145"/>
        <v>2430.0599400000006</v>
      </c>
      <c r="F1910" s="6">
        <f t="shared" si="141"/>
        <v>3159.0779220000009</v>
      </c>
      <c r="G1910" s="7">
        <f t="shared" si="142"/>
        <v>3402.0839160000005</v>
      </c>
      <c r="H1910" s="8">
        <f t="shared" si="143"/>
        <v>3645.0899100000006</v>
      </c>
      <c r="I1910" s="9">
        <f t="shared" si="144"/>
        <v>3888.0959040000012</v>
      </c>
    </row>
    <row r="1911" spans="1:9" x14ac:dyDescent="0.35">
      <c r="A1911" s="24" t="s">
        <v>994</v>
      </c>
      <c r="B1911" s="18" t="s">
        <v>473</v>
      </c>
      <c r="C1911" s="20">
        <v>45635</v>
      </c>
      <c r="D1911" s="11">
        <v>2168.3970000000004</v>
      </c>
      <c r="E1911" s="27">
        <f t="shared" si="145"/>
        <v>2413.8595404000007</v>
      </c>
      <c r="F1911" s="6">
        <f t="shared" si="141"/>
        <v>3138.0174025200008</v>
      </c>
      <c r="G1911" s="7">
        <f t="shared" si="142"/>
        <v>3379.4033565600007</v>
      </c>
      <c r="H1911" s="8">
        <f t="shared" si="143"/>
        <v>3620.789310600001</v>
      </c>
      <c r="I1911" s="9">
        <f t="shared" si="144"/>
        <v>3862.1752646400014</v>
      </c>
    </row>
    <row r="1912" spans="1:9" x14ac:dyDescent="0.35">
      <c r="A1912" s="24" t="s">
        <v>995</v>
      </c>
      <c r="B1912" s="18" t="s">
        <v>998</v>
      </c>
      <c r="C1912" s="20">
        <v>45635</v>
      </c>
      <c r="D1912" s="11">
        <v>2619.5400000000004</v>
      </c>
      <c r="E1912" s="27">
        <f t="shared" si="145"/>
        <v>2916.0719280000003</v>
      </c>
      <c r="F1912" s="6">
        <f t="shared" si="141"/>
        <v>3790.8935064000007</v>
      </c>
      <c r="G1912" s="7">
        <f t="shared" si="142"/>
        <v>4082.5006992000003</v>
      </c>
      <c r="H1912" s="8">
        <f t="shared" si="143"/>
        <v>4374.107892</v>
      </c>
      <c r="I1912" s="9">
        <f t="shared" si="144"/>
        <v>4665.715084800001</v>
      </c>
    </row>
    <row r="1913" spans="1:9" x14ac:dyDescent="0.35">
      <c r="A1913" s="24" t="s">
        <v>996</v>
      </c>
      <c r="B1913" s="18" t="s">
        <v>999</v>
      </c>
      <c r="C1913" s="20">
        <v>45635</v>
      </c>
      <c r="D1913" s="11">
        <v>868.0411950731542</v>
      </c>
      <c r="E1913" s="27">
        <f t="shared" si="145"/>
        <v>966.30345835543528</v>
      </c>
      <c r="F1913" s="6">
        <f t="shared" si="141"/>
        <v>1256.1944958620659</v>
      </c>
      <c r="G1913" s="7">
        <f t="shared" si="142"/>
        <v>1352.8248416976094</v>
      </c>
      <c r="H1913" s="8">
        <f t="shared" si="143"/>
        <v>1449.4551875331529</v>
      </c>
      <c r="I1913" s="9">
        <f t="shared" si="144"/>
        <v>1546.0855333686966</v>
      </c>
    </row>
    <row r="1914" spans="1:9" ht="15.75" customHeight="1" x14ac:dyDescent="0.4">
      <c r="B1914" s="21" t="s">
        <v>211</v>
      </c>
      <c r="D1914" s="11">
        <v>0</v>
      </c>
      <c r="E1914" s="27">
        <f t="shared" si="145"/>
        <v>0</v>
      </c>
      <c r="F1914" s="6">
        <f t="shared" si="141"/>
        <v>0</v>
      </c>
      <c r="G1914" s="7">
        <f t="shared" si="142"/>
        <v>0</v>
      </c>
      <c r="H1914" s="8">
        <f t="shared" si="143"/>
        <v>0</v>
      </c>
      <c r="I1914" s="9">
        <f t="shared" si="144"/>
        <v>0</v>
      </c>
    </row>
    <row r="1915" spans="1:9" x14ac:dyDescent="0.35">
      <c r="A1915" s="18" t="s">
        <v>997</v>
      </c>
      <c r="B1915" s="18" t="s">
        <v>1000</v>
      </c>
      <c r="C1915" s="20">
        <v>45635</v>
      </c>
      <c r="D1915" s="11">
        <v>1839.116543747077</v>
      </c>
      <c r="E1915" s="27">
        <f t="shared" si="145"/>
        <v>2047.3045364992463</v>
      </c>
      <c r="F1915" s="6">
        <f t="shared" si="141"/>
        <v>2661.49589744902</v>
      </c>
      <c r="G1915" s="7">
        <f t="shared" si="142"/>
        <v>2866.2263510989446</v>
      </c>
      <c r="H1915" s="8">
        <f t="shared" si="143"/>
        <v>3070.9568047488692</v>
      </c>
      <c r="I1915" s="9">
        <f t="shared" si="144"/>
        <v>3275.6872583987943</v>
      </c>
    </row>
    <row r="1916" spans="1:9" x14ac:dyDescent="0.35">
      <c r="A1916" s="18" t="s">
        <v>123</v>
      </c>
      <c r="B1916" s="18" t="s">
        <v>1001</v>
      </c>
      <c r="C1916" s="20">
        <v>45635</v>
      </c>
      <c r="D1916" s="11">
        <v>2324.920913793474</v>
      </c>
      <c r="E1916" s="27">
        <f t="shared" si="145"/>
        <v>2588.1019612348955</v>
      </c>
      <c r="F1916" s="6">
        <f t="shared" si="141"/>
        <v>3364.5325496053642</v>
      </c>
      <c r="G1916" s="7">
        <f t="shared" si="142"/>
        <v>3623.3427457288535</v>
      </c>
      <c r="H1916" s="8">
        <f t="shared" si="143"/>
        <v>3882.1529418523432</v>
      </c>
      <c r="I1916" s="9">
        <f t="shared" si="144"/>
        <v>4140.963137975833</v>
      </c>
    </row>
    <row r="1917" spans="1:9" x14ac:dyDescent="0.35">
      <c r="A1917" s="18" t="s">
        <v>124</v>
      </c>
      <c r="B1917" s="18" t="s">
        <v>1002</v>
      </c>
      <c r="C1917" s="20">
        <v>45635</v>
      </c>
      <c r="D1917" s="11">
        <v>965.34702963032817</v>
      </c>
      <c r="E1917" s="27">
        <f t="shared" si="145"/>
        <v>1074.6243133844814</v>
      </c>
      <c r="F1917" s="6">
        <f t="shared" si="141"/>
        <v>1397.0116073998258</v>
      </c>
      <c r="G1917" s="7">
        <f t="shared" si="142"/>
        <v>1504.474038738274</v>
      </c>
      <c r="H1917" s="8">
        <f t="shared" si="143"/>
        <v>1611.9364700767221</v>
      </c>
      <c r="I1917" s="9">
        <f t="shared" si="144"/>
        <v>1719.3989014151703</v>
      </c>
    </row>
    <row r="1918" spans="1:9" x14ac:dyDescent="0.35">
      <c r="A1918" s="18" t="s">
        <v>125</v>
      </c>
      <c r="B1918" s="18" t="s">
        <v>1003</v>
      </c>
      <c r="C1918" s="20">
        <v>45635</v>
      </c>
      <c r="D1918" s="11">
        <v>2635.1364862881946</v>
      </c>
      <c r="E1918" s="27">
        <f t="shared" si="145"/>
        <v>2933.4339365360183</v>
      </c>
      <c r="F1918" s="6">
        <f t="shared" si="141"/>
        <v>3813.4641174968237</v>
      </c>
      <c r="G1918" s="7">
        <f t="shared" si="142"/>
        <v>4106.8075111504259</v>
      </c>
      <c r="H1918" s="8">
        <f t="shared" si="143"/>
        <v>4400.150904804028</v>
      </c>
      <c r="I1918" s="9">
        <f t="shared" si="144"/>
        <v>4693.4942984576292</v>
      </c>
    </row>
    <row r="1919" spans="1:9" x14ac:dyDescent="0.35">
      <c r="A1919" s="18" t="s">
        <v>126</v>
      </c>
      <c r="B1919" s="18" t="s">
        <v>1004</v>
      </c>
      <c r="C1919" s="20">
        <v>45635</v>
      </c>
      <c r="D1919" s="11">
        <v>1382.7943937947944</v>
      </c>
      <c r="E1919" s="27">
        <f t="shared" si="145"/>
        <v>1539.3267191723651</v>
      </c>
      <c r="F1919" s="6">
        <f t="shared" si="141"/>
        <v>2001.1247349240746</v>
      </c>
      <c r="G1919" s="7">
        <f t="shared" si="142"/>
        <v>2155.0574068413111</v>
      </c>
      <c r="H1919" s="8">
        <f t="shared" si="143"/>
        <v>2308.9900787585475</v>
      </c>
      <c r="I1919" s="9">
        <f t="shared" si="144"/>
        <v>2462.9227506757843</v>
      </c>
    </row>
    <row r="1920" spans="1:9" x14ac:dyDescent="0.35">
      <c r="A1920" s="18" t="s">
        <v>127</v>
      </c>
      <c r="B1920" s="18" t="s">
        <v>1005</v>
      </c>
      <c r="C1920" s="20">
        <v>45635</v>
      </c>
      <c r="D1920" s="11">
        <v>2687.3174068087524</v>
      </c>
      <c r="E1920" s="27">
        <f t="shared" si="145"/>
        <v>2991.521737259503</v>
      </c>
      <c r="F1920" s="6">
        <f t="shared" ref="F1920:F1999" si="146">E1920*1.3</f>
        <v>3888.9782584373538</v>
      </c>
      <c r="G1920" s="7">
        <f t="shared" ref="G1920:G1999" si="147">E1920*1.4</f>
        <v>4188.1304321633042</v>
      </c>
      <c r="H1920" s="8">
        <f t="shared" ref="H1920:H1999" si="148">E1920*1.5</f>
        <v>4487.2826058892542</v>
      </c>
      <c r="I1920" s="9">
        <f t="shared" ref="I1920:I1999" si="149">E1920*1.6</f>
        <v>4786.4347796152051</v>
      </c>
    </row>
    <row r="1921" spans="1:9" x14ac:dyDescent="0.35">
      <c r="A1921" s="18" t="s">
        <v>128</v>
      </c>
      <c r="B1921" s="18" t="s">
        <v>1006</v>
      </c>
      <c r="C1921" s="20">
        <v>45635</v>
      </c>
      <c r="D1921" s="11">
        <v>1319.2109467674247</v>
      </c>
      <c r="E1921" s="27">
        <f t="shared" si="145"/>
        <v>1468.5456259414973</v>
      </c>
      <c r="F1921" s="6">
        <f t="shared" si="146"/>
        <v>1909.1093137239466</v>
      </c>
      <c r="G1921" s="7">
        <f t="shared" si="147"/>
        <v>2055.963876318096</v>
      </c>
      <c r="H1921" s="8">
        <f t="shared" si="148"/>
        <v>2202.8184389122462</v>
      </c>
      <c r="I1921" s="9">
        <f t="shared" si="149"/>
        <v>2349.6730015063958</v>
      </c>
    </row>
    <row r="1922" spans="1:9" x14ac:dyDescent="0.35">
      <c r="A1922" s="18" t="s">
        <v>129</v>
      </c>
      <c r="B1922" s="18" t="s">
        <v>1007</v>
      </c>
      <c r="C1922" s="20">
        <v>45635</v>
      </c>
      <c r="D1922" s="11">
        <v>2299.3057122571422</v>
      </c>
      <c r="E1922" s="27">
        <f t="shared" si="145"/>
        <v>2559.5871188846509</v>
      </c>
      <c r="F1922" s="6">
        <f t="shared" si="146"/>
        <v>3327.4632545500463</v>
      </c>
      <c r="G1922" s="7">
        <f t="shared" si="147"/>
        <v>3583.4219664385109</v>
      </c>
      <c r="H1922" s="8">
        <f t="shared" si="148"/>
        <v>3839.3806783269765</v>
      </c>
      <c r="I1922" s="9">
        <f t="shared" si="149"/>
        <v>4095.3393902154417</v>
      </c>
    </row>
    <row r="1923" spans="1:9" x14ac:dyDescent="0.35">
      <c r="A1923" s="18" t="s">
        <v>130</v>
      </c>
      <c r="B1923" s="18" t="s">
        <v>1008</v>
      </c>
      <c r="C1923" s="20">
        <v>45635</v>
      </c>
      <c r="D1923" s="11">
        <v>1784.1607166148312</v>
      </c>
      <c r="E1923" s="27">
        <f t="shared" si="145"/>
        <v>1986.1277097356303</v>
      </c>
      <c r="F1923" s="6">
        <f t="shared" si="146"/>
        <v>2581.9660226563196</v>
      </c>
      <c r="G1923" s="7">
        <f t="shared" si="147"/>
        <v>2780.5787936298825</v>
      </c>
      <c r="H1923" s="8">
        <f t="shared" si="148"/>
        <v>2979.1915646034454</v>
      </c>
      <c r="I1923" s="9">
        <f t="shared" si="149"/>
        <v>3177.8043355770087</v>
      </c>
    </row>
    <row r="1924" spans="1:9" ht="18" x14ac:dyDescent="0.4">
      <c r="B1924" s="19" t="s">
        <v>3439</v>
      </c>
      <c r="D1924" s="11">
        <v>0</v>
      </c>
      <c r="E1924" s="27">
        <f t="shared" si="145"/>
        <v>0</v>
      </c>
      <c r="F1924" s="6">
        <f t="shared" si="146"/>
        <v>0</v>
      </c>
      <c r="G1924" s="7">
        <f t="shared" si="147"/>
        <v>0</v>
      </c>
      <c r="H1924" s="8">
        <f t="shared" si="148"/>
        <v>0</v>
      </c>
      <c r="I1924" s="9">
        <f t="shared" si="149"/>
        <v>0</v>
      </c>
    </row>
    <row r="1925" spans="1:9" x14ac:dyDescent="0.35">
      <c r="A1925" s="18" t="s">
        <v>3440</v>
      </c>
      <c r="B1925" s="18" t="s">
        <v>3443</v>
      </c>
      <c r="C1925" s="20">
        <v>45673</v>
      </c>
      <c r="D1925" s="11">
        <v>5812.7475000000004</v>
      </c>
      <c r="E1925" s="27">
        <f t="shared" si="145"/>
        <v>6470.7505170000013</v>
      </c>
      <c r="F1925" s="6">
        <f t="shared" si="146"/>
        <v>8411.9756721000012</v>
      </c>
      <c r="G1925" s="7">
        <f t="shared" si="147"/>
        <v>9059.0507238000009</v>
      </c>
      <c r="H1925" s="8">
        <f t="shared" si="148"/>
        <v>9706.1257755000024</v>
      </c>
      <c r="I1925" s="9">
        <f t="shared" si="149"/>
        <v>10353.200827200002</v>
      </c>
    </row>
    <row r="1926" spans="1:9" x14ac:dyDescent="0.35">
      <c r="A1926" s="18" t="s">
        <v>3441</v>
      </c>
      <c r="B1926" s="18" t="s">
        <v>3444</v>
      </c>
      <c r="C1926" s="20">
        <v>45673</v>
      </c>
      <c r="D1926" s="11">
        <v>6611.7870000000003</v>
      </c>
      <c r="E1926" s="27">
        <f t="shared" si="145"/>
        <v>7360.2412884000005</v>
      </c>
      <c r="F1926" s="6">
        <f t="shared" si="146"/>
        <v>9568.3136749200003</v>
      </c>
      <c r="G1926" s="7">
        <f t="shared" si="147"/>
        <v>10304.33780376</v>
      </c>
      <c r="H1926" s="8">
        <f t="shared" si="148"/>
        <v>11040.361932600001</v>
      </c>
      <c r="I1926" s="9">
        <f t="shared" si="149"/>
        <v>11776.386061440002</v>
      </c>
    </row>
    <row r="1927" spans="1:9" x14ac:dyDescent="0.35">
      <c r="A1927" s="18" t="s">
        <v>3442</v>
      </c>
      <c r="B1927" s="18" t="s">
        <v>3445</v>
      </c>
      <c r="C1927" s="20">
        <v>45673</v>
      </c>
      <c r="D1927" s="11">
        <v>7540.0394999999999</v>
      </c>
      <c r="E1927" s="27">
        <f t="shared" si="145"/>
        <v>8393.5719714000006</v>
      </c>
      <c r="F1927" s="6">
        <f t="shared" si="146"/>
        <v>10911.643562820002</v>
      </c>
      <c r="G1927" s="7">
        <f t="shared" si="147"/>
        <v>11751.000759959999</v>
      </c>
      <c r="H1927" s="8">
        <f t="shared" si="148"/>
        <v>12590.357957100001</v>
      </c>
      <c r="I1927" s="9">
        <f t="shared" si="149"/>
        <v>13429.715154240002</v>
      </c>
    </row>
    <row r="1928" spans="1:9" x14ac:dyDescent="0.35">
      <c r="A1928" s="18" t="s">
        <v>3447</v>
      </c>
      <c r="B1928" s="18" t="s">
        <v>3446</v>
      </c>
      <c r="C1928" s="20">
        <v>45673</v>
      </c>
      <c r="D1928" s="11">
        <v>8057.41</v>
      </c>
      <c r="E1928" s="27">
        <f t="shared" si="145"/>
        <v>8969.508812</v>
      </c>
      <c r="F1928" s="6">
        <f t="shared" si="146"/>
        <v>11660.361455600001</v>
      </c>
      <c r="G1928" s="7">
        <f t="shared" si="147"/>
        <v>12557.3123368</v>
      </c>
      <c r="H1928" s="8">
        <f t="shared" si="148"/>
        <v>13454.263218</v>
      </c>
      <c r="I1928" s="9">
        <f t="shared" si="149"/>
        <v>14351.2140992</v>
      </c>
    </row>
    <row r="1929" spans="1:9" ht="15.75" customHeight="1" x14ac:dyDescent="0.4">
      <c r="B1929" s="19" t="s">
        <v>526</v>
      </c>
      <c r="D1929" s="11">
        <v>0</v>
      </c>
      <c r="E1929" s="27">
        <f t="shared" si="145"/>
        <v>0</v>
      </c>
      <c r="F1929" s="6">
        <f t="shared" si="146"/>
        <v>0</v>
      </c>
      <c r="G1929" s="7">
        <f t="shared" si="147"/>
        <v>0</v>
      </c>
      <c r="H1929" s="8">
        <f t="shared" si="148"/>
        <v>0</v>
      </c>
      <c r="I1929" s="9">
        <f t="shared" si="149"/>
        <v>0</v>
      </c>
    </row>
    <row r="1930" spans="1:9" x14ac:dyDescent="0.35">
      <c r="A1930" s="18" t="s">
        <v>527</v>
      </c>
      <c r="B1930" s="18" t="s">
        <v>5770</v>
      </c>
      <c r="C1930" s="20">
        <v>45702</v>
      </c>
      <c r="D1930" s="11">
        <v>22012.71</v>
      </c>
      <c r="E1930" s="27">
        <f t="shared" si="145"/>
        <v>24504.548771999998</v>
      </c>
      <c r="F1930" s="6">
        <f t="shared" si="146"/>
        <v>31855.9134036</v>
      </c>
      <c r="G1930" s="7">
        <f t="shared" si="147"/>
        <v>34306.368280799994</v>
      </c>
      <c r="H1930" s="8">
        <f t="shared" si="148"/>
        <v>36756.823157999999</v>
      </c>
      <c r="I1930" s="9">
        <f t="shared" si="149"/>
        <v>39207.278035199997</v>
      </c>
    </row>
    <row r="1931" spans="1:9" x14ac:dyDescent="0.35">
      <c r="A1931" s="18" t="s">
        <v>528</v>
      </c>
      <c r="B1931" s="18" t="s">
        <v>5771</v>
      </c>
      <c r="C1931" s="20">
        <v>45702</v>
      </c>
      <c r="D1931" s="11">
        <v>23607.26</v>
      </c>
      <c r="E1931" s="27">
        <f t="shared" si="145"/>
        <v>26279.601831999997</v>
      </c>
      <c r="F1931" s="6">
        <f t="shared" si="146"/>
        <v>34163.482381599999</v>
      </c>
      <c r="G1931" s="7">
        <f t="shared" si="147"/>
        <v>36791.442564799996</v>
      </c>
      <c r="H1931" s="8">
        <f t="shared" si="148"/>
        <v>39419.402747999993</v>
      </c>
      <c r="I1931" s="9">
        <f t="shared" si="149"/>
        <v>42047.362931199998</v>
      </c>
    </row>
    <row r="1932" spans="1:9" x14ac:dyDescent="0.35">
      <c r="A1932" s="18" t="s">
        <v>5750</v>
      </c>
      <c r="B1932" s="18" t="s">
        <v>6566</v>
      </c>
      <c r="C1932" s="20">
        <v>45503</v>
      </c>
      <c r="D1932" s="11">
        <v>82204.2</v>
      </c>
      <c r="E1932" s="27">
        <f t="shared" ref="E1932:E1995" si="150">D1932*1.21*0.92</f>
        <v>91509.71544</v>
      </c>
      <c r="F1932" s="6">
        <f t="shared" si="146"/>
        <v>118962.630072</v>
      </c>
      <c r="G1932" s="7">
        <f t="shared" si="147"/>
        <v>128113.60161599999</v>
      </c>
      <c r="H1932" s="8">
        <f t="shared" si="148"/>
        <v>137264.57316</v>
      </c>
      <c r="I1932" s="9">
        <f t="shared" si="149"/>
        <v>146415.544704</v>
      </c>
    </row>
    <row r="1933" spans="1:9" x14ac:dyDescent="0.35">
      <c r="A1933" s="18" t="s">
        <v>5772</v>
      </c>
      <c r="B1933" s="18" t="s">
        <v>5774</v>
      </c>
      <c r="C1933" s="20">
        <v>45503</v>
      </c>
      <c r="D1933" s="11">
        <v>29283.8992875</v>
      </c>
      <c r="E1933" s="27">
        <f t="shared" si="150"/>
        <v>32598.836686844999</v>
      </c>
      <c r="F1933" s="6">
        <f t="shared" si="146"/>
        <v>42378.487692898503</v>
      </c>
      <c r="G1933" s="7">
        <f t="shared" si="147"/>
        <v>45638.371361582998</v>
      </c>
      <c r="H1933" s="8">
        <f t="shared" si="148"/>
        <v>48898.255030267501</v>
      </c>
      <c r="I1933" s="9">
        <f t="shared" si="149"/>
        <v>52158.138698952003</v>
      </c>
    </row>
    <row r="1934" spans="1:9" x14ac:dyDescent="0.35">
      <c r="A1934" s="18" t="s">
        <v>5773</v>
      </c>
      <c r="B1934" s="18" t="s">
        <v>5775</v>
      </c>
      <c r="C1934" s="20">
        <v>45503</v>
      </c>
      <c r="D1934" s="11">
        <v>34138.537290000007</v>
      </c>
      <c r="E1934" s="27">
        <f t="shared" si="150"/>
        <v>38003.019711228008</v>
      </c>
      <c r="F1934" s="6">
        <f t="shared" si="146"/>
        <v>49403.925624596413</v>
      </c>
      <c r="G1934" s="7">
        <f t="shared" si="147"/>
        <v>53204.227595719211</v>
      </c>
      <c r="H1934" s="8">
        <f t="shared" si="148"/>
        <v>57004.529566842015</v>
      </c>
      <c r="I1934" s="9">
        <f t="shared" si="149"/>
        <v>60804.831537964812</v>
      </c>
    </row>
    <row r="1935" spans="1:9" ht="18" x14ac:dyDescent="0.4">
      <c r="A1935" s="28"/>
      <c r="B1935" s="34" t="s">
        <v>4847</v>
      </c>
      <c r="C1935" s="29"/>
      <c r="D1935" s="11">
        <v>0</v>
      </c>
      <c r="E1935" s="27">
        <f t="shared" si="150"/>
        <v>0</v>
      </c>
      <c r="F1935" s="6">
        <f t="shared" si="146"/>
        <v>0</v>
      </c>
      <c r="G1935" s="7">
        <f t="shared" si="147"/>
        <v>0</v>
      </c>
      <c r="H1935" s="8">
        <f t="shared" si="148"/>
        <v>0</v>
      </c>
      <c r="I1935" s="9">
        <f t="shared" si="149"/>
        <v>0</v>
      </c>
    </row>
    <row r="1936" spans="1:9" x14ac:dyDescent="0.35">
      <c r="A1936" s="28" t="s">
        <v>4848</v>
      </c>
      <c r="B1936" s="28" t="s">
        <v>4850</v>
      </c>
      <c r="C1936" s="29">
        <v>45737</v>
      </c>
      <c r="D1936" s="11">
        <v>30427.22</v>
      </c>
      <c r="E1936" s="27">
        <f t="shared" si="150"/>
        <v>33871.581304000007</v>
      </c>
      <c r="F1936" s="6">
        <f t="shared" si="146"/>
        <v>44033.055695200012</v>
      </c>
      <c r="G1936" s="7">
        <f t="shared" si="147"/>
        <v>47420.213825600003</v>
      </c>
      <c r="H1936" s="8">
        <f t="shared" si="148"/>
        <v>50807.37195600001</v>
      </c>
      <c r="I1936" s="9">
        <f t="shared" si="149"/>
        <v>54194.530086400016</v>
      </c>
    </row>
    <row r="1937" spans="1:9" x14ac:dyDescent="0.35">
      <c r="A1937" s="28" t="s">
        <v>4849</v>
      </c>
      <c r="B1937" s="28" t="s">
        <v>4851</v>
      </c>
      <c r="C1937" s="29">
        <v>45737</v>
      </c>
      <c r="D1937" s="11">
        <v>36768.68</v>
      </c>
      <c r="E1937" s="27">
        <f t="shared" si="150"/>
        <v>40930.894575999999</v>
      </c>
      <c r="F1937" s="6">
        <f t="shared" si="146"/>
        <v>53210.162948800004</v>
      </c>
      <c r="G1937" s="7">
        <f t="shared" si="147"/>
        <v>57303.252406399995</v>
      </c>
      <c r="H1937" s="8">
        <f t="shared" si="148"/>
        <v>61396.341864000002</v>
      </c>
      <c r="I1937" s="9">
        <f t="shared" si="149"/>
        <v>65489.431321600001</v>
      </c>
    </row>
    <row r="1938" spans="1:9" ht="18" x14ac:dyDescent="0.4">
      <c r="B1938" s="19" t="s">
        <v>6361</v>
      </c>
      <c r="D1938" s="11">
        <v>0</v>
      </c>
      <c r="E1938" s="27">
        <f t="shared" si="150"/>
        <v>0</v>
      </c>
      <c r="F1938" s="6">
        <f t="shared" si="146"/>
        <v>0</v>
      </c>
      <c r="G1938" s="7">
        <f t="shared" si="147"/>
        <v>0</v>
      </c>
      <c r="H1938" s="8">
        <f t="shared" si="148"/>
        <v>0</v>
      </c>
      <c r="I1938" s="9">
        <f t="shared" si="149"/>
        <v>0</v>
      </c>
    </row>
    <row r="1939" spans="1:9" x14ac:dyDescent="0.35">
      <c r="A1939" s="18" t="s">
        <v>1819</v>
      </c>
      <c r="B1939" s="24" t="s">
        <v>6259</v>
      </c>
      <c r="C1939" s="20">
        <v>45677</v>
      </c>
      <c r="D1939" s="11">
        <v>4861.5</v>
      </c>
      <c r="E1939" s="27">
        <f t="shared" si="150"/>
        <v>5411.8218000000006</v>
      </c>
      <c r="F1939" s="6">
        <f t="shared" si="146"/>
        <v>7035.3683400000009</v>
      </c>
      <c r="G1939" s="7">
        <f t="shared" si="147"/>
        <v>7576.5505200000007</v>
      </c>
      <c r="H1939" s="8">
        <f t="shared" si="148"/>
        <v>8117.7327000000005</v>
      </c>
      <c r="I1939" s="9">
        <f t="shared" si="149"/>
        <v>8658.9148800000021</v>
      </c>
    </row>
    <row r="1940" spans="1:9" x14ac:dyDescent="0.35">
      <c r="A1940" s="18" t="s">
        <v>1820</v>
      </c>
      <c r="B1940" s="24" t="s">
        <v>6317</v>
      </c>
      <c r="C1940" s="20">
        <v>45677</v>
      </c>
      <c r="D1940" s="11">
        <v>5422.4</v>
      </c>
      <c r="E1940" s="27">
        <f t="shared" si="150"/>
        <v>6036.2156799999993</v>
      </c>
      <c r="F1940" s="6">
        <f t="shared" si="146"/>
        <v>7847.080383999999</v>
      </c>
      <c r="G1940" s="7">
        <f t="shared" si="147"/>
        <v>8450.7019519999994</v>
      </c>
      <c r="H1940" s="8">
        <f t="shared" si="148"/>
        <v>9054.3235199999981</v>
      </c>
      <c r="I1940" s="9">
        <f t="shared" si="149"/>
        <v>9657.9450879999986</v>
      </c>
    </row>
    <row r="1941" spans="1:9" x14ac:dyDescent="0.35">
      <c r="A1941" s="18" t="s">
        <v>1821</v>
      </c>
      <c r="B1941" s="24" t="s">
        <v>6318</v>
      </c>
      <c r="C1941" s="20">
        <v>45677</v>
      </c>
      <c r="D1941" s="11">
        <v>6095.55</v>
      </c>
      <c r="E1941" s="27">
        <f t="shared" si="150"/>
        <v>6785.5662600000005</v>
      </c>
      <c r="F1941" s="6">
        <f t="shared" si="146"/>
        <v>8821.2361380000002</v>
      </c>
      <c r="G1941" s="7">
        <f t="shared" si="147"/>
        <v>9499.7927639999998</v>
      </c>
      <c r="H1941" s="8">
        <f t="shared" si="148"/>
        <v>10178.349390000001</v>
      </c>
      <c r="I1941" s="9">
        <f t="shared" si="149"/>
        <v>10856.906016000001</v>
      </c>
    </row>
    <row r="1942" spans="1:9" x14ac:dyDescent="0.35">
      <c r="A1942" s="18" t="s">
        <v>6368</v>
      </c>
      <c r="B1942" s="24" t="s">
        <v>6362</v>
      </c>
      <c r="C1942" s="20">
        <v>45677</v>
      </c>
      <c r="D1942" s="11">
        <v>7030.45</v>
      </c>
      <c r="E1942" s="27">
        <f t="shared" si="150"/>
        <v>7826.2969399999993</v>
      </c>
      <c r="F1942" s="6">
        <f t="shared" si="146"/>
        <v>10174.186022</v>
      </c>
      <c r="G1942" s="7">
        <f t="shared" si="147"/>
        <v>10956.815715999999</v>
      </c>
      <c r="H1942" s="8">
        <f t="shared" si="148"/>
        <v>11739.445409999998</v>
      </c>
      <c r="I1942" s="9">
        <f t="shared" si="149"/>
        <v>12522.075104</v>
      </c>
    </row>
    <row r="1943" spans="1:9" x14ac:dyDescent="0.35">
      <c r="A1943" s="18" t="s">
        <v>6369</v>
      </c>
      <c r="B1943" s="24" t="s">
        <v>6363</v>
      </c>
      <c r="C1943" s="20">
        <v>45677</v>
      </c>
      <c r="D1943" s="11">
        <v>8606</v>
      </c>
      <c r="E1943" s="27">
        <f t="shared" si="150"/>
        <v>9580.1992000000009</v>
      </c>
      <c r="F1943" s="6">
        <f t="shared" si="146"/>
        <v>12454.258960000001</v>
      </c>
      <c r="G1943" s="7">
        <f t="shared" si="147"/>
        <v>13412.27888</v>
      </c>
      <c r="H1943" s="8">
        <f t="shared" si="148"/>
        <v>14370.2988</v>
      </c>
      <c r="I1943" s="9">
        <f t="shared" si="149"/>
        <v>15328.318720000003</v>
      </c>
    </row>
    <row r="1944" spans="1:9" x14ac:dyDescent="0.35">
      <c r="A1944" s="18" t="s">
        <v>6370</v>
      </c>
      <c r="B1944" s="24" t="s">
        <v>6364</v>
      </c>
      <c r="C1944" s="20">
        <v>45677</v>
      </c>
      <c r="D1944" s="11">
        <v>10396.65</v>
      </c>
      <c r="E1944" s="27">
        <f t="shared" si="150"/>
        <v>11573.550780000001</v>
      </c>
      <c r="F1944" s="6">
        <f t="shared" si="146"/>
        <v>15045.616014000003</v>
      </c>
      <c r="G1944" s="7">
        <f t="shared" si="147"/>
        <v>16202.971092000002</v>
      </c>
      <c r="H1944" s="8">
        <f t="shared" si="148"/>
        <v>17360.32617</v>
      </c>
      <c r="I1944" s="9">
        <f t="shared" si="149"/>
        <v>18517.681248000004</v>
      </c>
    </row>
    <row r="1945" spans="1:9" x14ac:dyDescent="0.35">
      <c r="A1945" s="18" t="s">
        <v>6371</v>
      </c>
      <c r="B1945" s="24" t="s">
        <v>6366</v>
      </c>
      <c r="C1945" s="20">
        <v>45677</v>
      </c>
      <c r="D1945" s="11">
        <v>4861.5</v>
      </c>
      <c r="E1945" s="27">
        <f t="shared" si="150"/>
        <v>5411.8218000000006</v>
      </c>
      <c r="F1945" s="6">
        <f t="shared" si="146"/>
        <v>7035.3683400000009</v>
      </c>
      <c r="G1945" s="7">
        <f t="shared" si="147"/>
        <v>7576.5505200000007</v>
      </c>
      <c r="H1945" s="8">
        <f t="shared" si="148"/>
        <v>8117.7327000000005</v>
      </c>
      <c r="I1945" s="9">
        <f t="shared" si="149"/>
        <v>8658.9148800000021</v>
      </c>
    </row>
    <row r="1946" spans="1:9" x14ac:dyDescent="0.35">
      <c r="A1946" s="18" t="s">
        <v>6372</v>
      </c>
      <c r="B1946" s="24" t="s">
        <v>6367</v>
      </c>
      <c r="C1946" s="20">
        <v>45677</v>
      </c>
      <c r="D1946" s="11">
        <v>5422.4</v>
      </c>
      <c r="E1946" s="27">
        <f t="shared" si="150"/>
        <v>6036.2156799999993</v>
      </c>
      <c r="F1946" s="6">
        <f t="shared" si="146"/>
        <v>7847.080383999999</v>
      </c>
      <c r="G1946" s="7">
        <f t="shared" si="147"/>
        <v>8450.7019519999994</v>
      </c>
      <c r="H1946" s="8">
        <f t="shared" si="148"/>
        <v>9054.3235199999981</v>
      </c>
      <c r="I1946" s="9">
        <f t="shared" si="149"/>
        <v>9657.9450879999986</v>
      </c>
    </row>
    <row r="1947" spans="1:9" x14ac:dyDescent="0.35">
      <c r="A1947" s="18" t="s">
        <v>6373</v>
      </c>
      <c r="B1947" s="24" t="s">
        <v>6365</v>
      </c>
      <c r="C1947" s="20">
        <v>45677</v>
      </c>
      <c r="D1947" s="11">
        <v>6095.55</v>
      </c>
      <c r="E1947" s="27">
        <f t="shared" si="150"/>
        <v>6785.5662600000005</v>
      </c>
      <c r="F1947" s="6">
        <f t="shared" si="146"/>
        <v>8821.2361380000002</v>
      </c>
      <c r="G1947" s="7">
        <f t="shared" si="147"/>
        <v>9499.7927639999998</v>
      </c>
      <c r="H1947" s="8">
        <f t="shared" si="148"/>
        <v>10178.349390000001</v>
      </c>
      <c r="I1947" s="9">
        <f t="shared" si="149"/>
        <v>10856.906016000001</v>
      </c>
    </row>
    <row r="1948" spans="1:9" ht="18" x14ac:dyDescent="0.4">
      <c r="B1948" s="19" t="s">
        <v>6556</v>
      </c>
      <c r="D1948" s="11">
        <v>0</v>
      </c>
      <c r="E1948" s="27">
        <f t="shared" si="150"/>
        <v>0</v>
      </c>
      <c r="F1948" s="6">
        <f t="shared" si="146"/>
        <v>0</v>
      </c>
      <c r="G1948" s="7">
        <f t="shared" si="147"/>
        <v>0</v>
      </c>
      <c r="H1948" s="8">
        <f t="shared" si="148"/>
        <v>0</v>
      </c>
      <c r="I1948" s="9">
        <f t="shared" si="149"/>
        <v>0</v>
      </c>
    </row>
    <row r="1949" spans="1:9" x14ac:dyDescent="0.35">
      <c r="A1949" s="18" t="s">
        <v>4815</v>
      </c>
      <c r="B1949" s="18" t="s">
        <v>6557</v>
      </c>
      <c r="C1949" s="20">
        <v>45549</v>
      </c>
      <c r="D1949" s="11">
        <v>29000</v>
      </c>
      <c r="E1949" s="27">
        <f t="shared" si="150"/>
        <v>32282.800000000003</v>
      </c>
      <c r="F1949" s="6">
        <f t="shared" si="146"/>
        <v>41967.640000000007</v>
      </c>
      <c r="G1949" s="7">
        <f t="shared" si="147"/>
        <v>45195.92</v>
      </c>
      <c r="H1949" s="8">
        <f t="shared" si="148"/>
        <v>48424.200000000004</v>
      </c>
      <c r="I1949" s="9">
        <f t="shared" si="149"/>
        <v>51652.48000000001</v>
      </c>
    </row>
    <row r="1950" spans="1:9" x14ac:dyDescent="0.35">
      <c r="A1950" s="18" t="s">
        <v>4832</v>
      </c>
      <c r="B1950" s="18" t="s">
        <v>5131</v>
      </c>
      <c r="C1950" s="20">
        <v>45363</v>
      </c>
      <c r="D1950" s="11">
        <v>0</v>
      </c>
      <c r="E1950" s="27">
        <f t="shared" si="150"/>
        <v>0</v>
      </c>
      <c r="F1950" s="6">
        <f t="shared" si="146"/>
        <v>0</v>
      </c>
      <c r="G1950" s="7">
        <f t="shared" si="147"/>
        <v>0</v>
      </c>
      <c r="H1950" s="8">
        <f t="shared" si="148"/>
        <v>0</v>
      </c>
      <c r="I1950" s="9">
        <f t="shared" si="149"/>
        <v>0</v>
      </c>
    </row>
    <row r="1951" spans="1:9" x14ac:dyDescent="0.35">
      <c r="A1951" s="18" t="s">
        <v>5130</v>
      </c>
      <c r="B1951" s="18" t="s">
        <v>5132</v>
      </c>
      <c r="C1951" s="20">
        <v>45363</v>
      </c>
      <c r="D1951" s="11">
        <v>0</v>
      </c>
      <c r="E1951" s="27">
        <f t="shared" si="150"/>
        <v>0</v>
      </c>
      <c r="F1951" s="6">
        <f t="shared" si="146"/>
        <v>0</v>
      </c>
      <c r="G1951" s="7">
        <f t="shared" si="147"/>
        <v>0</v>
      </c>
      <c r="H1951" s="8">
        <f t="shared" si="148"/>
        <v>0</v>
      </c>
      <c r="I1951" s="9">
        <f t="shared" si="149"/>
        <v>0</v>
      </c>
    </row>
    <row r="1952" spans="1:9" x14ac:dyDescent="0.35">
      <c r="A1952" s="18" t="s">
        <v>5133</v>
      </c>
      <c r="B1952" s="18" t="s">
        <v>5435</v>
      </c>
      <c r="C1952" s="20">
        <v>45363</v>
      </c>
      <c r="D1952" s="11">
        <v>0</v>
      </c>
      <c r="E1952" s="27">
        <f t="shared" si="150"/>
        <v>0</v>
      </c>
      <c r="F1952" s="6">
        <f t="shared" si="146"/>
        <v>0</v>
      </c>
      <c r="G1952" s="7">
        <f t="shared" si="147"/>
        <v>0</v>
      </c>
      <c r="H1952" s="8">
        <f t="shared" si="148"/>
        <v>0</v>
      </c>
      <c r="I1952" s="9">
        <f t="shared" si="149"/>
        <v>0</v>
      </c>
    </row>
    <row r="1953" spans="1:9" x14ac:dyDescent="0.35">
      <c r="A1953" s="18" t="s">
        <v>5134</v>
      </c>
      <c r="B1953" s="18" t="s">
        <v>5436</v>
      </c>
      <c r="C1953" s="20">
        <v>45363</v>
      </c>
      <c r="D1953" s="11">
        <v>0</v>
      </c>
      <c r="E1953" s="27">
        <f t="shared" si="150"/>
        <v>0</v>
      </c>
      <c r="F1953" s="6">
        <f t="shared" si="146"/>
        <v>0</v>
      </c>
      <c r="G1953" s="7">
        <f t="shared" si="147"/>
        <v>0</v>
      </c>
      <c r="H1953" s="8">
        <f t="shared" si="148"/>
        <v>0</v>
      </c>
      <c r="I1953" s="9">
        <f t="shared" si="149"/>
        <v>0</v>
      </c>
    </row>
    <row r="1954" spans="1:9" x14ac:dyDescent="0.35">
      <c r="A1954" s="18" t="s">
        <v>5437</v>
      </c>
      <c r="B1954" s="18" t="s">
        <v>5438</v>
      </c>
      <c r="C1954" s="20">
        <v>45363</v>
      </c>
      <c r="D1954" s="11">
        <v>0</v>
      </c>
      <c r="E1954" s="27">
        <f t="shared" si="150"/>
        <v>0</v>
      </c>
      <c r="F1954" s="6">
        <f t="shared" si="146"/>
        <v>0</v>
      </c>
      <c r="G1954" s="7">
        <f t="shared" si="147"/>
        <v>0</v>
      </c>
      <c r="H1954" s="8">
        <f t="shared" si="148"/>
        <v>0</v>
      </c>
      <c r="I1954" s="9">
        <f t="shared" si="149"/>
        <v>0</v>
      </c>
    </row>
    <row r="1955" spans="1:9" x14ac:dyDescent="0.35">
      <c r="A1955" s="18" t="s">
        <v>5439</v>
      </c>
      <c r="B1955" s="18" t="s">
        <v>5440</v>
      </c>
      <c r="C1955" s="20">
        <v>45363</v>
      </c>
      <c r="D1955" s="11">
        <v>0</v>
      </c>
      <c r="E1955" s="27">
        <f t="shared" si="150"/>
        <v>0</v>
      </c>
      <c r="F1955" s="6">
        <f t="shared" si="146"/>
        <v>0</v>
      </c>
      <c r="G1955" s="7">
        <f t="shared" si="147"/>
        <v>0</v>
      </c>
      <c r="H1955" s="8">
        <f t="shared" si="148"/>
        <v>0</v>
      </c>
      <c r="I1955" s="9">
        <f t="shared" si="149"/>
        <v>0</v>
      </c>
    </row>
    <row r="1956" spans="1:9" x14ac:dyDescent="0.35">
      <c r="A1956" s="18" t="s">
        <v>5441</v>
      </c>
      <c r="B1956" s="18" t="s">
        <v>6769</v>
      </c>
      <c r="C1956" s="20">
        <v>45702</v>
      </c>
      <c r="D1956" s="11">
        <v>492683</v>
      </c>
      <c r="E1956" s="27">
        <f t="shared" si="150"/>
        <v>548454.7156</v>
      </c>
      <c r="F1956" s="6">
        <f t="shared" si="146"/>
        <v>712991.13028000004</v>
      </c>
      <c r="G1956" s="7">
        <f t="shared" si="147"/>
        <v>767836.6018399999</v>
      </c>
      <c r="H1956" s="8">
        <f t="shared" si="148"/>
        <v>822682.07339999999</v>
      </c>
      <c r="I1956" s="9">
        <f t="shared" si="149"/>
        <v>877527.54496000009</v>
      </c>
    </row>
    <row r="1957" spans="1:9" x14ac:dyDescent="0.35">
      <c r="A1957" s="18" t="s">
        <v>5443</v>
      </c>
      <c r="B1957" s="18" t="s">
        <v>5444</v>
      </c>
      <c r="C1957" s="20">
        <v>45363</v>
      </c>
      <c r="D1957" s="11">
        <v>92179.1</v>
      </c>
      <c r="E1957" s="27">
        <f t="shared" si="150"/>
        <v>102613.77412000002</v>
      </c>
      <c r="F1957" s="6">
        <f t="shared" si="146"/>
        <v>133397.90635600002</v>
      </c>
      <c r="G1957" s="7">
        <f t="shared" si="147"/>
        <v>143659.28376800002</v>
      </c>
      <c r="H1957" s="8">
        <f t="shared" si="148"/>
        <v>153920.66118000002</v>
      </c>
      <c r="I1957" s="9">
        <f t="shared" si="149"/>
        <v>164182.03859200003</v>
      </c>
    </row>
    <row r="1958" spans="1:9" x14ac:dyDescent="0.35">
      <c r="A1958" s="18" t="s">
        <v>5467</v>
      </c>
      <c r="B1958" s="18" t="s">
        <v>6768</v>
      </c>
      <c r="C1958" s="20">
        <v>45702</v>
      </c>
      <c r="D1958" s="11">
        <v>127440</v>
      </c>
      <c r="E1958" s="27">
        <f t="shared" si="150"/>
        <v>141866.20800000001</v>
      </c>
      <c r="F1958" s="6">
        <f t="shared" si="146"/>
        <v>184426.07040000003</v>
      </c>
      <c r="G1958" s="7">
        <f t="shared" si="147"/>
        <v>198612.6912</v>
      </c>
      <c r="H1958" s="8">
        <f t="shared" si="148"/>
        <v>212799.31200000003</v>
      </c>
      <c r="I1958" s="9">
        <f t="shared" si="149"/>
        <v>226985.93280000004</v>
      </c>
    </row>
    <row r="1959" spans="1:9" x14ac:dyDescent="0.35">
      <c r="A1959" s="18" t="s">
        <v>5731</v>
      </c>
      <c r="B1959" s="18" t="s">
        <v>5732</v>
      </c>
      <c r="C1959" s="20">
        <v>45702</v>
      </c>
      <c r="D1959" s="11">
        <v>124813</v>
      </c>
      <c r="E1959" s="27">
        <f t="shared" si="150"/>
        <v>138941.83159999998</v>
      </c>
      <c r="F1959" s="6">
        <f t="shared" si="146"/>
        <v>180624.38107999996</v>
      </c>
      <c r="G1959" s="7">
        <f t="shared" si="147"/>
        <v>194518.56423999995</v>
      </c>
      <c r="H1959" s="8">
        <f t="shared" si="148"/>
        <v>208412.74739999996</v>
      </c>
      <c r="I1959" s="9">
        <f t="shared" si="149"/>
        <v>222306.93055999998</v>
      </c>
    </row>
    <row r="1960" spans="1:9" ht="18" x14ac:dyDescent="0.4">
      <c r="B1960" s="19" t="s">
        <v>5797</v>
      </c>
      <c r="D1960" s="11">
        <v>0</v>
      </c>
      <c r="E1960" s="27">
        <f t="shared" si="150"/>
        <v>0</v>
      </c>
      <c r="F1960" s="6">
        <f t="shared" si="146"/>
        <v>0</v>
      </c>
      <c r="G1960" s="7">
        <f t="shared" si="147"/>
        <v>0</v>
      </c>
      <c r="H1960" s="8">
        <f t="shared" si="148"/>
        <v>0</v>
      </c>
      <c r="I1960" s="9">
        <f t="shared" si="149"/>
        <v>0</v>
      </c>
    </row>
    <row r="1961" spans="1:9" x14ac:dyDescent="0.35">
      <c r="A1961" s="18" t="s">
        <v>5798</v>
      </c>
      <c r="B1961" s="24" t="s">
        <v>5800</v>
      </c>
      <c r="C1961" s="20">
        <v>45675</v>
      </c>
      <c r="D1961" s="11">
        <v>30359.18</v>
      </c>
      <c r="E1961" s="27">
        <f t="shared" si="150"/>
        <v>33795.839176000001</v>
      </c>
      <c r="F1961" s="6">
        <f t="shared" si="146"/>
        <v>43934.590928800004</v>
      </c>
      <c r="G1961" s="7">
        <f t="shared" si="147"/>
        <v>47314.174846399997</v>
      </c>
      <c r="H1961" s="8">
        <f t="shared" si="148"/>
        <v>50693.758763999998</v>
      </c>
      <c r="I1961" s="9">
        <f t="shared" si="149"/>
        <v>54073.342681600006</v>
      </c>
    </row>
    <row r="1962" spans="1:9" x14ac:dyDescent="0.35">
      <c r="A1962" s="18" t="s">
        <v>5799</v>
      </c>
      <c r="B1962" s="24" t="s">
        <v>5801</v>
      </c>
      <c r="C1962" s="20">
        <v>45675</v>
      </c>
      <c r="D1962" s="11">
        <v>40123.730000000003</v>
      </c>
      <c r="E1962" s="27">
        <f t="shared" si="150"/>
        <v>44665.736236000004</v>
      </c>
      <c r="F1962" s="6">
        <f t="shared" si="146"/>
        <v>58065.457106800008</v>
      </c>
      <c r="G1962" s="7">
        <f t="shared" si="147"/>
        <v>62532.030730400002</v>
      </c>
      <c r="H1962" s="8">
        <f t="shared" si="148"/>
        <v>66998.60435400001</v>
      </c>
      <c r="I1962" s="9">
        <f t="shared" si="149"/>
        <v>71465.177977600004</v>
      </c>
    </row>
    <row r="1963" spans="1:9" x14ac:dyDescent="0.35">
      <c r="A1963" s="18" t="s">
        <v>6296</v>
      </c>
      <c r="B1963" s="24" t="s">
        <v>6297</v>
      </c>
      <c r="C1963" s="20">
        <v>45675</v>
      </c>
      <c r="D1963" s="11">
        <v>70388.5</v>
      </c>
      <c r="E1963" s="27">
        <f t="shared" si="150"/>
        <v>78356.478199999998</v>
      </c>
      <c r="F1963" s="6">
        <f t="shared" si="146"/>
        <v>101863.42166000001</v>
      </c>
      <c r="G1963" s="7">
        <f t="shared" si="147"/>
        <v>109699.06947999999</v>
      </c>
      <c r="H1963" s="8">
        <f t="shared" si="148"/>
        <v>117534.71729999999</v>
      </c>
      <c r="I1963" s="9">
        <f t="shared" si="149"/>
        <v>125370.36512</v>
      </c>
    </row>
    <row r="1964" spans="1:9" x14ac:dyDescent="0.35">
      <c r="A1964" s="18" t="s">
        <v>6730</v>
      </c>
      <c r="B1964" s="24" t="s">
        <v>6731</v>
      </c>
      <c r="C1964" s="20">
        <v>45675</v>
      </c>
      <c r="D1964" s="11">
        <v>183570.79</v>
      </c>
      <c r="E1964" s="27">
        <f t="shared" si="150"/>
        <v>204351.00342800003</v>
      </c>
      <c r="F1964" s="6">
        <f t="shared" si="146"/>
        <v>265656.30445640004</v>
      </c>
      <c r="G1964" s="7">
        <f t="shared" si="147"/>
        <v>286091.40479920001</v>
      </c>
      <c r="H1964" s="8">
        <f t="shared" si="148"/>
        <v>306526.50514200004</v>
      </c>
      <c r="I1964" s="9">
        <f t="shared" si="149"/>
        <v>326961.60548480006</v>
      </c>
    </row>
    <row r="1965" spans="1:9" x14ac:dyDescent="0.35">
      <c r="A1965" s="18" t="s">
        <v>6298</v>
      </c>
      <c r="B1965" s="24" t="s">
        <v>6299</v>
      </c>
      <c r="C1965" s="20">
        <v>45675</v>
      </c>
      <c r="D1965" s="11">
        <v>83475.83</v>
      </c>
      <c r="E1965" s="27">
        <f t="shared" si="150"/>
        <v>92925.293956000009</v>
      </c>
      <c r="F1965" s="6">
        <f t="shared" si="146"/>
        <v>120802.88214280001</v>
      </c>
      <c r="G1965" s="7">
        <f t="shared" si="147"/>
        <v>130095.4115384</v>
      </c>
      <c r="H1965" s="8">
        <f t="shared" si="148"/>
        <v>139387.94093400001</v>
      </c>
      <c r="I1965" s="9">
        <f t="shared" si="149"/>
        <v>148680.47032960001</v>
      </c>
    </row>
    <row r="1966" spans="1:9" x14ac:dyDescent="0.35">
      <c r="A1966" s="18" t="s">
        <v>6300</v>
      </c>
      <c r="B1966" s="24" t="s">
        <v>6302</v>
      </c>
      <c r="C1966" s="20">
        <v>45675</v>
      </c>
      <c r="D1966" s="11">
        <v>91286.76</v>
      </c>
      <c r="E1966" s="27">
        <f t="shared" si="150"/>
        <v>101620.42123199999</v>
      </c>
      <c r="F1966" s="6">
        <f t="shared" si="146"/>
        <v>132106.5476016</v>
      </c>
      <c r="G1966" s="7">
        <f t="shared" si="147"/>
        <v>142268.58972479997</v>
      </c>
      <c r="H1966" s="8">
        <f t="shared" si="148"/>
        <v>152430.63184799999</v>
      </c>
      <c r="I1966" s="9">
        <f t="shared" si="149"/>
        <v>162592.67397120001</v>
      </c>
    </row>
    <row r="1967" spans="1:9" x14ac:dyDescent="0.35">
      <c r="A1967" s="18" t="s">
        <v>6301</v>
      </c>
      <c r="B1967" s="24" t="s">
        <v>6303</v>
      </c>
      <c r="C1967" s="20">
        <v>45675</v>
      </c>
      <c r="D1967" s="11">
        <v>210886.24</v>
      </c>
      <c r="E1967" s="27">
        <f t="shared" si="150"/>
        <v>234758.56236800001</v>
      </c>
      <c r="F1967" s="6">
        <f t="shared" si="146"/>
        <v>305186.13107840001</v>
      </c>
      <c r="G1967" s="7">
        <f t="shared" si="147"/>
        <v>328661.98731519998</v>
      </c>
      <c r="H1967" s="8">
        <f t="shared" si="148"/>
        <v>352137.84355200001</v>
      </c>
      <c r="I1967" s="9">
        <f t="shared" si="149"/>
        <v>375613.69978880003</v>
      </c>
    </row>
    <row r="1968" spans="1:9" x14ac:dyDescent="0.35">
      <c r="A1968" s="18" t="s">
        <v>6304</v>
      </c>
      <c r="B1968" s="24" t="s">
        <v>6305</v>
      </c>
      <c r="C1968" s="20">
        <v>45675</v>
      </c>
      <c r="D1968" s="11">
        <v>230756.89</v>
      </c>
      <c r="E1968" s="27">
        <f t="shared" si="150"/>
        <v>256878.56994800002</v>
      </c>
      <c r="F1968" s="6">
        <f t="shared" si="146"/>
        <v>333942.14093240001</v>
      </c>
      <c r="G1968" s="7">
        <f t="shared" si="147"/>
        <v>359629.99792719999</v>
      </c>
      <c r="H1968" s="8">
        <f t="shared" si="148"/>
        <v>385317.85492200003</v>
      </c>
      <c r="I1968" s="9">
        <f t="shared" si="149"/>
        <v>411005.71191680006</v>
      </c>
    </row>
    <row r="1969" spans="1:9" x14ac:dyDescent="0.35">
      <c r="A1969" s="18" t="s">
        <v>6306</v>
      </c>
      <c r="B1969" s="24" t="s">
        <v>6308</v>
      </c>
      <c r="C1969" s="20">
        <v>45675</v>
      </c>
      <c r="D1969" s="11">
        <v>126357.06</v>
      </c>
      <c r="E1969" s="27">
        <f t="shared" si="150"/>
        <v>140660.67919199998</v>
      </c>
      <c r="F1969" s="6">
        <f t="shared" si="146"/>
        <v>182858.8829496</v>
      </c>
      <c r="G1969" s="7">
        <f t="shared" si="147"/>
        <v>196924.95086879996</v>
      </c>
      <c r="H1969" s="8">
        <f t="shared" si="148"/>
        <v>210991.01878799999</v>
      </c>
      <c r="I1969" s="9">
        <f t="shared" si="149"/>
        <v>225057.08670719998</v>
      </c>
    </row>
    <row r="1970" spans="1:9" x14ac:dyDescent="0.35">
      <c r="A1970" s="18" t="s">
        <v>6307</v>
      </c>
      <c r="B1970" s="24" t="s">
        <v>6309</v>
      </c>
      <c r="C1970" s="20">
        <v>45675</v>
      </c>
      <c r="D1970" s="11">
        <v>143080.78</v>
      </c>
      <c r="E1970" s="27">
        <f t="shared" si="150"/>
        <v>159277.52429600002</v>
      </c>
      <c r="F1970" s="6">
        <f t="shared" si="146"/>
        <v>207060.78158480002</v>
      </c>
      <c r="G1970" s="7">
        <f t="shared" si="147"/>
        <v>222988.53401440001</v>
      </c>
      <c r="H1970" s="8">
        <f t="shared" si="148"/>
        <v>238916.28644400003</v>
      </c>
      <c r="I1970" s="9">
        <f t="shared" si="149"/>
        <v>254844.03887360005</v>
      </c>
    </row>
    <row r="1971" spans="1:9" x14ac:dyDescent="0.35">
      <c r="A1971" s="18" t="s">
        <v>6310</v>
      </c>
      <c r="B1971" s="24" t="s">
        <v>6312</v>
      </c>
      <c r="C1971" s="20">
        <v>45675</v>
      </c>
      <c r="D1971" s="11">
        <v>134834.92000000001</v>
      </c>
      <c r="E1971" s="27">
        <f t="shared" si="150"/>
        <v>150098.23294400002</v>
      </c>
      <c r="F1971" s="6">
        <f t="shared" si="146"/>
        <v>195127.70282720003</v>
      </c>
      <c r="G1971" s="7">
        <f t="shared" si="147"/>
        <v>210137.52612160001</v>
      </c>
      <c r="H1971" s="8">
        <f t="shared" si="148"/>
        <v>225147.34941600001</v>
      </c>
      <c r="I1971" s="9">
        <f t="shared" si="149"/>
        <v>240157.17271040005</v>
      </c>
    </row>
    <row r="1972" spans="1:9" x14ac:dyDescent="0.35">
      <c r="A1972" s="18" t="s">
        <v>6311</v>
      </c>
      <c r="B1972" s="24" t="s">
        <v>6313</v>
      </c>
      <c r="C1972" s="20">
        <v>45675</v>
      </c>
      <c r="D1972" s="11">
        <v>170481.09</v>
      </c>
      <c r="E1972" s="27">
        <f t="shared" si="150"/>
        <v>189779.54938800001</v>
      </c>
      <c r="F1972" s="6">
        <f t="shared" si="146"/>
        <v>246713.41420440003</v>
      </c>
      <c r="G1972" s="7">
        <f t="shared" si="147"/>
        <v>265691.36914319999</v>
      </c>
      <c r="H1972" s="8">
        <f t="shared" si="148"/>
        <v>284669.32408200001</v>
      </c>
      <c r="I1972" s="9">
        <f t="shared" si="149"/>
        <v>303647.27902080002</v>
      </c>
    </row>
    <row r="1973" spans="1:9" x14ac:dyDescent="0.35">
      <c r="A1973" s="18" t="s">
        <v>5466</v>
      </c>
      <c r="B1973" s="24" t="s">
        <v>6744</v>
      </c>
      <c r="C1973" s="20">
        <v>45675</v>
      </c>
      <c r="D1973" s="11">
        <v>198811.49</v>
      </c>
      <c r="E1973" s="27">
        <f t="shared" si="150"/>
        <v>221316.950668</v>
      </c>
      <c r="F1973" s="6">
        <f t="shared" si="146"/>
        <v>287712.03586840001</v>
      </c>
      <c r="G1973" s="7">
        <f t="shared" si="147"/>
        <v>309843.7309352</v>
      </c>
      <c r="H1973" s="8">
        <f t="shared" si="148"/>
        <v>331975.42600199999</v>
      </c>
      <c r="I1973" s="9">
        <f t="shared" si="149"/>
        <v>354107.12106880004</v>
      </c>
    </row>
    <row r="1974" spans="1:9" x14ac:dyDescent="0.35">
      <c r="A1974" s="18" t="s">
        <v>5135</v>
      </c>
      <c r="B1974" s="24" t="s">
        <v>6745</v>
      </c>
      <c r="C1974" s="20">
        <v>45675</v>
      </c>
      <c r="D1974" s="11">
        <v>201439.98</v>
      </c>
      <c r="E1974" s="27">
        <f t="shared" si="150"/>
        <v>224242.98573600003</v>
      </c>
      <c r="F1974" s="6">
        <f t="shared" si="146"/>
        <v>291515.88145680004</v>
      </c>
      <c r="G1974" s="7">
        <f t="shared" si="147"/>
        <v>313940.18003040005</v>
      </c>
      <c r="H1974" s="8">
        <f t="shared" si="148"/>
        <v>336364.47860400006</v>
      </c>
      <c r="I1974" s="9">
        <f t="shared" si="149"/>
        <v>358788.77717760007</v>
      </c>
    </row>
    <row r="1975" spans="1:9" x14ac:dyDescent="0.35">
      <c r="A1975" s="18" t="s">
        <v>5136</v>
      </c>
      <c r="B1975" s="24" t="s">
        <v>6748</v>
      </c>
      <c r="C1975" s="20">
        <v>45675</v>
      </c>
      <c r="D1975" s="11">
        <v>229589.99</v>
      </c>
      <c r="E1975" s="27">
        <f t="shared" si="150"/>
        <v>255579.57686799997</v>
      </c>
      <c r="F1975" s="6">
        <f t="shared" si="146"/>
        <v>332253.44992839999</v>
      </c>
      <c r="G1975" s="7">
        <f t="shared" si="147"/>
        <v>357811.40761519992</v>
      </c>
      <c r="H1975" s="8">
        <f t="shared" si="148"/>
        <v>383369.36530199996</v>
      </c>
      <c r="I1975" s="9">
        <f t="shared" si="149"/>
        <v>408927.32298880001</v>
      </c>
    </row>
    <row r="1976" spans="1:9" x14ac:dyDescent="0.35">
      <c r="A1976" s="18" t="s">
        <v>6314</v>
      </c>
      <c r="B1976" s="24" t="s">
        <v>6747</v>
      </c>
      <c r="C1976" s="20">
        <v>45675</v>
      </c>
      <c r="D1976" s="11">
        <v>42626.62</v>
      </c>
      <c r="E1976" s="27">
        <f t="shared" si="150"/>
        <v>47451.953384</v>
      </c>
      <c r="F1976" s="6">
        <f t="shared" si="146"/>
        <v>61687.539399200003</v>
      </c>
      <c r="G1976" s="7">
        <f t="shared" si="147"/>
        <v>66432.734737599996</v>
      </c>
      <c r="H1976" s="8">
        <f t="shared" si="148"/>
        <v>71177.930076000004</v>
      </c>
      <c r="I1976" s="9">
        <f t="shared" si="149"/>
        <v>75923.125414399998</v>
      </c>
    </row>
    <row r="1977" spans="1:9" x14ac:dyDescent="0.35">
      <c r="A1977" s="18" t="s">
        <v>6315</v>
      </c>
      <c r="B1977" s="24" t="s">
        <v>6688</v>
      </c>
      <c r="C1977" s="20">
        <v>45675</v>
      </c>
      <c r="D1977" s="11">
        <v>39767.42</v>
      </c>
      <c r="E1977" s="27">
        <f t="shared" si="150"/>
        <v>44269.091944</v>
      </c>
      <c r="F1977" s="6">
        <f t="shared" si="146"/>
        <v>57549.819527200001</v>
      </c>
      <c r="G1977" s="7">
        <f t="shared" si="147"/>
        <v>61976.728721599997</v>
      </c>
      <c r="H1977" s="8">
        <f t="shared" si="148"/>
        <v>66403.637916000007</v>
      </c>
      <c r="I1977" s="9">
        <f t="shared" si="149"/>
        <v>70830.547110400003</v>
      </c>
    </row>
    <row r="1978" spans="1:9" x14ac:dyDescent="0.35">
      <c r="A1978" s="18" t="s">
        <v>5776</v>
      </c>
      <c r="B1978" s="24" t="s">
        <v>6746</v>
      </c>
      <c r="C1978" s="20">
        <v>45675</v>
      </c>
      <c r="D1978" s="11">
        <v>65351.05</v>
      </c>
      <c r="E1978" s="27">
        <f t="shared" si="150"/>
        <v>72748.788860000001</v>
      </c>
      <c r="F1978" s="6">
        <f t="shared" si="146"/>
        <v>94573.425518000004</v>
      </c>
      <c r="G1978" s="7">
        <f t="shared" si="147"/>
        <v>101848.30440399999</v>
      </c>
      <c r="H1978" s="8">
        <f t="shared" si="148"/>
        <v>109123.18329</v>
      </c>
      <c r="I1978" s="9">
        <f t="shared" si="149"/>
        <v>116398.06217600001</v>
      </c>
    </row>
    <row r="1979" spans="1:9" x14ac:dyDescent="0.35">
      <c r="A1979" s="18" t="s">
        <v>6461</v>
      </c>
      <c r="B1979" s="24" t="s">
        <v>6462</v>
      </c>
      <c r="C1979" s="20">
        <v>45675</v>
      </c>
      <c r="D1979" s="11">
        <v>63307.69</v>
      </c>
      <c r="E1979" s="27">
        <f t="shared" si="150"/>
        <v>70474.120508000007</v>
      </c>
      <c r="F1979" s="6">
        <f t="shared" si="146"/>
        <v>91616.356660400008</v>
      </c>
      <c r="G1979" s="7">
        <f t="shared" si="147"/>
        <v>98663.768711199999</v>
      </c>
      <c r="H1979" s="8">
        <f t="shared" si="148"/>
        <v>105711.180762</v>
      </c>
      <c r="I1979" s="9">
        <f t="shared" si="149"/>
        <v>112758.59281280002</v>
      </c>
    </row>
    <row r="1980" spans="1:9" x14ac:dyDescent="0.35">
      <c r="A1980" s="18" t="s">
        <v>6460</v>
      </c>
      <c r="B1980" s="24" t="s">
        <v>6463</v>
      </c>
      <c r="C1980" s="20">
        <v>45675</v>
      </c>
      <c r="D1980" s="11">
        <v>75951</v>
      </c>
      <c r="E1980" s="27">
        <f t="shared" si="150"/>
        <v>84548.653200000001</v>
      </c>
      <c r="F1980" s="6">
        <f t="shared" si="146"/>
        <v>109913.24916000001</v>
      </c>
      <c r="G1980" s="7">
        <f t="shared" si="147"/>
        <v>118368.11447999999</v>
      </c>
      <c r="H1980" s="8">
        <f t="shared" si="148"/>
        <v>126822.9798</v>
      </c>
      <c r="I1980" s="9">
        <f t="shared" si="149"/>
        <v>135277.84512000001</v>
      </c>
    </row>
    <row r="1981" spans="1:9" x14ac:dyDescent="0.35">
      <c r="A1981" s="18" t="s">
        <v>6466</v>
      </c>
      <c r="B1981" s="24" t="s">
        <v>6464</v>
      </c>
      <c r="C1981" s="20">
        <v>45675</v>
      </c>
      <c r="D1981" s="11">
        <v>76952.5</v>
      </c>
      <c r="E1981" s="27">
        <f t="shared" si="150"/>
        <v>85663.523000000001</v>
      </c>
      <c r="F1981" s="6">
        <f t="shared" si="146"/>
        <v>111362.57990000001</v>
      </c>
      <c r="G1981" s="7">
        <f t="shared" si="147"/>
        <v>119928.9322</v>
      </c>
      <c r="H1981" s="8">
        <f t="shared" si="148"/>
        <v>128495.28450000001</v>
      </c>
      <c r="I1981" s="9">
        <f t="shared" si="149"/>
        <v>137061.63680000001</v>
      </c>
    </row>
    <row r="1982" spans="1:9" x14ac:dyDescent="0.35">
      <c r="A1982" s="18" t="s">
        <v>6467</v>
      </c>
      <c r="B1982" s="24" t="s">
        <v>6465</v>
      </c>
      <c r="C1982" s="20">
        <v>45675</v>
      </c>
      <c r="D1982" s="11">
        <v>123122.64</v>
      </c>
      <c r="E1982" s="27">
        <f t="shared" si="150"/>
        <v>137060.122848</v>
      </c>
      <c r="F1982" s="6">
        <f t="shared" si="146"/>
        <v>178178.15970240001</v>
      </c>
      <c r="G1982" s="7">
        <f t="shared" si="147"/>
        <v>191884.17198719998</v>
      </c>
      <c r="H1982" s="8">
        <f t="shared" si="148"/>
        <v>205590.18427199998</v>
      </c>
      <c r="I1982" s="9">
        <f t="shared" si="149"/>
        <v>219296.19655680002</v>
      </c>
    </row>
    <row r="1983" spans="1:9" x14ac:dyDescent="0.35">
      <c r="A1983" s="18" t="s">
        <v>6541</v>
      </c>
      <c r="B1983" s="24" t="s">
        <v>6542</v>
      </c>
      <c r="C1983" s="20">
        <v>45675</v>
      </c>
      <c r="D1983" s="11">
        <v>236945.85</v>
      </c>
      <c r="E1983" s="27">
        <f t="shared" si="150"/>
        <v>263768.12022000004</v>
      </c>
      <c r="F1983" s="6">
        <f t="shared" si="146"/>
        <v>342898.55628600006</v>
      </c>
      <c r="G1983" s="7">
        <f t="shared" si="147"/>
        <v>369275.36830800003</v>
      </c>
      <c r="H1983" s="8">
        <f t="shared" si="148"/>
        <v>395652.18033000006</v>
      </c>
      <c r="I1983" s="9">
        <f t="shared" si="149"/>
        <v>422028.99235200009</v>
      </c>
    </row>
    <row r="1984" spans="1:9" ht="15.75" customHeight="1" x14ac:dyDescent="0.4">
      <c r="B1984" s="21" t="s">
        <v>212</v>
      </c>
      <c r="D1984" s="11">
        <v>0</v>
      </c>
      <c r="E1984" s="27">
        <f t="shared" si="150"/>
        <v>0</v>
      </c>
      <c r="F1984" s="6">
        <f t="shared" si="146"/>
        <v>0</v>
      </c>
      <c r="G1984" s="7">
        <f t="shared" si="147"/>
        <v>0</v>
      </c>
      <c r="H1984" s="8">
        <f t="shared" si="148"/>
        <v>0</v>
      </c>
      <c r="I1984" s="9">
        <f t="shared" si="149"/>
        <v>0</v>
      </c>
    </row>
    <row r="1985" spans="1:9" x14ac:dyDescent="0.35">
      <c r="A1985" s="18" t="s">
        <v>131</v>
      </c>
      <c r="B1985" s="18" t="s">
        <v>1009</v>
      </c>
      <c r="C1985" s="20">
        <v>45674</v>
      </c>
      <c r="D1985" s="11">
        <v>5341.9982428800267</v>
      </c>
      <c r="E1985" s="27">
        <f t="shared" si="150"/>
        <v>5946.7124439740455</v>
      </c>
      <c r="F1985" s="6">
        <f t="shared" si="146"/>
        <v>7730.7261771662597</v>
      </c>
      <c r="G1985" s="7">
        <f t="shared" si="147"/>
        <v>8325.3974215636626</v>
      </c>
      <c r="H1985" s="8">
        <f t="shared" si="148"/>
        <v>8920.0686659610692</v>
      </c>
      <c r="I1985" s="9">
        <f t="shared" si="149"/>
        <v>9514.7399103584739</v>
      </c>
    </row>
    <row r="1986" spans="1:9" x14ac:dyDescent="0.35">
      <c r="A1986" s="18" t="s">
        <v>132</v>
      </c>
      <c r="B1986" s="18" t="s">
        <v>1010</v>
      </c>
      <c r="C1986" s="20">
        <v>45674</v>
      </c>
      <c r="D1986" s="11">
        <v>5388.1294885007528</v>
      </c>
      <c r="E1986" s="27">
        <f t="shared" si="150"/>
        <v>5998.065746599038</v>
      </c>
      <c r="F1986" s="6">
        <f t="shared" si="146"/>
        <v>7797.4854705787493</v>
      </c>
      <c r="G1986" s="7">
        <f t="shared" si="147"/>
        <v>8397.2920452386534</v>
      </c>
      <c r="H1986" s="8">
        <f t="shared" si="148"/>
        <v>8997.0986198985574</v>
      </c>
      <c r="I1986" s="9">
        <f t="shared" si="149"/>
        <v>9596.9051945584615</v>
      </c>
    </row>
    <row r="1987" spans="1:9" x14ac:dyDescent="0.35">
      <c r="A1987" s="18" t="s">
        <v>133</v>
      </c>
      <c r="B1987" s="18" t="s">
        <v>2299</v>
      </c>
      <c r="C1987" s="20">
        <v>45674</v>
      </c>
      <c r="D1987" s="11">
        <v>995.39394670581532</v>
      </c>
      <c r="E1987" s="27">
        <f t="shared" si="150"/>
        <v>1108.0725414729136</v>
      </c>
      <c r="F1987" s="6">
        <f t="shared" si="146"/>
        <v>1440.4943039147877</v>
      </c>
      <c r="G1987" s="7">
        <f t="shared" si="147"/>
        <v>1551.301558062079</v>
      </c>
      <c r="H1987" s="8">
        <f t="shared" si="148"/>
        <v>1662.1088122093704</v>
      </c>
      <c r="I1987" s="9">
        <f t="shared" si="149"/>
        <v>1772.9160663566618</v>
      </c>
    </row>
    <row r="1988" spans="1:9" x14ac:dyDescent="0.35">
      <c r="A1988" s="18" t="s">
        <v>134</v>
      </c>
      <c r="B1988" s="18" t="s">
        <v>2300</v>
      </c>
      <c r="C1988" s="20">
        <v>45674</v>
      </c>
      <c r="D1988" s="11">
        <v>995.39394670581532</v>
      </c>
      <c r="E1988" s="27">
        <f t="shared" si="150"/>
        <v>1108.0725414729136</v>
      </c>
      <c r="F1988" s="6">
        <f t="shared" si="146"/>
        <v>1440.4943039147877</v>
      </c>
      <c r="G1988" s="7">
        <f t="shared" si="147"/>
        <v>1551.301558062079</v>
      </c>
      <c r="H1988" s="8">
        <f t="shared" si="148"/>
        <v>1662.1088122093704</v>
      </c>
      <c r="I1988" s="9">
        <f t="shared" si="149"/>
        <v>1772.9160663566618</v>
      </c>
    </row>
    <row r="1989" spans="1:9" x14ac:dyDescent="0.35">
      <c r="A1989" s="18" t="s">
        <v>1157</v>
      </c>
      <c r="B1989" s="18" t="s">
        <v>1159</v>
      </c>
      <c r="C1989" s="20">
        <v>45674</v>
      </c>
      <c r="D1989" s="11">
        <v>2171.7686109945057</v>
      </c>
      <c r="E1989" s="27">
        <f t="shared" si="150"/>
        <v>2417.6128177590836</v>
      </c>
      <c r="F1989" s="6">
        <f t="shared" si="146"/>
        <v>3142.8966630868085</v>
      </c>
      <c r="G1989" s="7">
        <f t="shared" si="147"/>
        <v>3384.6579448627167</v>
      </c>
      <c r="H1989" s="8">
        <f t="shared" si="148"/>
        <v>3626.4192266386253</v>
      </c>
      <c r="I1989" s="9">
        <f t="shared" si="149"/>
        <v>3868.180508414534</v>
      </c>
    </row>
    <row r="1990" spans="1:9" x14ac:dyDescent="0.35">
      <c r="A1990" s="18" t="s">
        <v>1158</v>
      </c>
      <c r="B1990" s="18" t="s">
        <v>1160</v>
      </c>
      <c r="C1990" s="20">
        <v>45674</v>
      </c>
      <c r="D1990" s="11">
        <v>2171.7686109945057</v>
      </c>
      <c r="E1990" s="27">
        <f t="shared" si="150"/>
        <v>2417.6128177590836</v>
      </c>
      <c r="F1990" s="6">
        <f t="shared" si="146"/>
        <v>3142.8966630868085</v>
      </c>
      <c r="G1990" s="7">
        <f t="shared" si="147"/>
        <v>3384.6579448627167</v>
      </c>
      <c r="H1990" s="8">
        <f t="shared" si="148"/>
        <v>3626.4192266386253</v>
      </c>
      <c r="I1990" s="9">
        <f t="shared" si="149"/>
        <v>3868.180508414534</v>
      </c>
    </row>
    <row r="1991" spans="1:9" ht="15.75" customHeight="1" x14ac:dyDescent="0.4">
      <c r="B1991" s="21" t="s">
        <v>213</v>
      </c>
      <c r="D1991" s="11">
        <v>0</v>
      </c>
      <c r="E1991" s="27">
        <f t="shared" si="150"/>
        <v>0</v>
      </c>
      <c r="F1991" s="6">
        <f t="shared" si="146"/>
        <v>0</v>
      </c>
      <c r="G1991" s="7">
        <f t="shared" si="147"/>
        <v>0</v>
      </c>
      <c r="H1991" s="8">
        <f t="shared" si="148"/>
        <v>0</v>
      </c>
      <c r="I1991" s="9">
        <f t="shared" si="149"/>
        <v>0</v>
      </c>
    </row>
    <row r="1992" spans="1:9" x14ac:dyDescent="0.35">
      <c r="A1992" s="18" t="s">
        <v>135</v>
      </c>
      <c r="B1992" s="18" t="s">
        <v>2301</v>
      </c>
      <c r="C1992" s="20">
        <v>45504</v>
      </c>
      <c r="D1992" s="11">
        <v>660</v>
      </c>
      <c r="E1992" s="27">
        <f t="shared" si="150"/>
        <v>734.7120000000001</v>
      </c>
      <c r="F1992" s="6">
        <f t="shared" si="146"/>
        <v>955.12560000000019</v>
      </c>
      <c r="G1992" s="7">
        <f t="shared" si="147"/>
        <v>1028.5968</v>
      </c>
      <c r="H1992" s="8">
        <f t="shared" si="148"/>
        <v>1102.0680000000002</v>
      </c>
      <c r="I1992" s="9">
        <f t="shared" si="149"/>
        <v>1175.5392000000002</v>
      </c>
    </row>
    <row r="1993" spans="1:9" x14ac:dyDescent="0.35">
      <c r="A1993" s="18" t="s">
        <v>136</v>
      </c>
      <c r="B1993" s="18" t="s">
        <v>426</v>
      </c>
      <c r="C1993" s="20">
        <v>45363</v>
      </c>
      <c r="D1993" s="11">
        <v>0</v>
      </c>
      <c r="E1993" s="27">
        <f t="shared" si="150"/>
        <v>0</v>
      </c>
      <c r="F1993" s="6">
        <f t="shared" si="146"/>
        <v>0</v>
      </c>
      <c r="G1993" s="7">
        <f t="shared" si="147"/>
        <v>0</v>
      </c>
      <c r="H1993" s="8">
        <f t="shared" si="148"/>
        <v>0</v>
      </c>
      <c r="I1993" s="9">
        <f t="shared" si="149"/>
        <v>0</v>
      </c>
    </row>
    <row r="1994" spans="1:9" ht="15.75" customHeight="1" x14ac:dyDescent="0.4">
      <c r="B1994" s="19" t="s">
        <v>214</v>
      </c>
      <c r="D1994" s="11">
        <v>0</v>
      </c>
      <c r="E1994" s="27">
        <f t="shared" si="150"/>
        <v>0</v>
      </c>
      <c r="F1994" s="6">
        <f t="shared" si="146"/>
        <v>0</v>
      </c>
      <c r="G1994" s="7">
        <f t="shared" si="147"/>
        <v>0</v>
      </c>
      <c r="H1994" s="8">
        <f t="shared" si="148"/>
        <v>0</v>
      </c>
      <c r="I1994" s="9">
        <f t="shared" si="149"/>
        <v>0</v>
      </c>
    </row>
    <row r="1995" spans="1:9" x14ac:dyDescent="0.35">
      <c r="A1995" s="18" t="s">
        <v>137</v>
      </c>
      <c r="B1995" s="18" t="s">
        <v>427</v>
      </c>
      <c r="C1995" s="20">
        <v>45513</v>
      </c>
      <c r="D1995" s="11">
        <v>1769.85</v>
      </c>
      <c r="E1995" s="27">
        <f t="shared" si="150"/>
        <v>1970.1970199999998</v>
      </c>
      <c r="F1995" s="6">
        <f t="shared" si="146"/>
        <v>2561.2561259999998</v>
      </c>
      <c r="G1995" s="7">
        <f t="shared" si="147"/>
        <v>2758.2758279999998</v>
      </c>
      <c r="H1995" s="8">
        <f t="shared" si="148"/>
        <v>2955.2955299999999</v>
      </c>
      <c r="I1995" s="9">
        <f t="shared" si="149"/>
        <v>3152.3152319999999</v>
      </c>
    </row>
    <row r="1996" spans="1:9" x14ac:dyDescent="0.35">
      <c r="A1996" s="18" t="s">
        <v>138</v>
      </c>
      <c r="B1996" s="18" t="s">
        <v>428</v>
      </c>
      <c r="C1996" s="20">
        <v>45513</v>
      </c>
      <c r="D1996" s="11">
        <v>995.12582400000031</v>
      </c>
      <c r="E1996" s="27">
        <f t="shared" ref="E1996:E2059" si="151">D1996*1.21*0.92</f>
        <v>1107.7740672768002</v>
      </c>
      <c r="F1996" s="6">
        <f t="shared" si="146"/>
        <v>1440.1062874598404</v>
      </c>
      <c r="G1996" s="7">
        <f t="shared" si="147"/>
        <v>1550.8836941875202</v>
      </c>
      <c r="H1996" s="8">
        <f t="shared" si="148"/>
        <v>1661.6611009152002</v>
      </c>
      <c r="I1996" s="9">
        <f t="shared" si="149"/>
        <v>1772.4385076428805</v>
      </c>
    </row>
    <row r="1997" spans="1:9" x14ac:dyDescent="0.35">
      <c r="A1997" s="18" t="s">
        <v>139</v>
      </c>
      <c r="B1997" s="18" t="s">
        <v>429</v>
      </c>
      <c r="C1997" s="20">
        <v>45513</v>
      </c>
      <c r="D1997" s="11">
        <v>1769.85</v>
      </c>
      <c r="E1997" s="27">
        <f t="shared" si="151"/>
        <v>1970.1970199999998</v>
      </c>
      <c r="F1997" s="6">
        <f t="shared" si="146"/>
        <v>2561.2561259999998</v>
      </c>
      <c r="G1997" s="7">
        <f t="shared" si="147"/>
        <v>2758.2758279999998</v>
      </c>
      <c r="H1997" s="8">
        <f t="shared" si="148"/>
        <v>2955.2955299999999</v>
      </c>
      <c r="I1997" s="9">
        <f t="shared" si="149"/>
        <v>3152.3152319999999</v>
      </c>
    </row>
    <row r="1998" spans="1:9" x14ac:dyDescent="0.35">
      <c r="A1998" s="18" t="s">
        <v>140</v>
      </c>
      <c r="B1998" s="18" t="s">
        <v>430</v>
      </c>
      <c r="C1998" s="20">
        <v>45513</v>
      </c>
      <c r="D1998" s="11">
        <v>995.12582400000031</v>
      </c>
      <c r="E1998" s="27">
        <f t="shared" si="151"/>
        <v>1107.7740672768002</v>
      </c>
      <c r="F1998" s="6">
        <f t="shared" si="146"/>
        <v>1440.1062874598404</v>
      </c>
      <c r="G1998" s="7">
        <f t="shared" si="147"/>
        <v>1550.8836941875202</v>
      </c>
      <c r="H1998" s="8">
        <f t="shared" si="148"/>
        <v>1661.6611009152002</v>
      </c>
      <c r="I1998" s="9">
        <f t="shared" si="149"/>
        <v>1772.4385076428805</v>
      </c>
    </row>
    <row r="1999" spans="1:9" x14ac:dyDescent="0.35">
      <c r="A1999" s="18" t="s">
        <v>141</v>
      </c>
      <c r="B1999" s="18" t="s">
        <v>431</v>
      </c>
      <c r="C1999" s="20">
        <v>45513</v>
      </c>
      <c r="D1999" s="11">
        <v>807.11769600000025</v>
      </c>
      <c r="E1999" s="27">
        <f t="shared" si="151"/>
        <v>898.4834191872003</v>
      </c>
      <c r="F1999" s="6">
        <f t="shared" si="146"/>
        <v>1168.0284449433605</v>
      </c>
      <c r="G1999" s="7">
        <f t="shared" si="147"/>
        <v>1257.8767868620803</v>
      </c>
      <c r="H1999" s="8">
        <f t="shared" si="148"/>
        <v>1347.7251287808003</v>
      </c>
      <c r="I1999" s="9">
        <f t="shared" si="149"/>
        <v>1437.5734706995206</v>
      </c>
    </row>
    <row r="2000" spans="1:9" x14ac:dyDescent="0.35">
      <c r="A2000" s="18" t="s">
        <v>142</v>
      </c>
      <c r="B2000" s="18" t="s">
        <v>432</v>
      </c>
      <c r="C2000" s="20">
        <v>45513</v>
      </c>
      <c r="D2000" s="11">
        <v>1359.1670400000003</v>
      </c>
      <c r="E2000" s="27">
        <f t="shared" si="151"/>
        <v>1513.0247489280005</v>
      </c>
      <c r="F2000" s="6">
        <f t="shared" ref="F2000:F2063" si="152">E2000*1.3</f>
        <v>1966.9321736064007</v>
      </c>
      <c r="G2000" s="7">
        <f t="shared" ref="G2000:G2063" si="153">E2000*1.4</f>
        <v>2118.2346484992004</v>
      </c>
      <c r="H2000" s="8">
        <f t="shared" ref="H2000:H2063" si="154">E2000*1.5</f>
        <v>2269.5371233920005</v>
      </c>
      <c r="I2000" s="9">
        <f t="shared" ref="I2000:I2063" si="155">E2000*1.6</f>
        <v>2420.839598284801</v>
      </c>
    </row>
    <row r="2001" spans="1:9" x14ac:dyDescent="0.35">
      <c r="A2001" s="18" t="s">
        <v>143</v>
      </c>
      <c r="B2001" s="18" t="s">
        <v>433</v>
      </c>
      <c r="C2001" s="20">
        <v>45513</v>
      </c>
      <c r="D2001" s="11">
        <v>1836.3</v>
      </c>
      <c r="E2001" s="27">
        <f t="shared" si="151"/>
        <v>2044.1691599999999</v>
      </c>
      <c r="F2001" s="6">
        <f t="shared" si="152"/>
        <v>2657.4199079999999</v>
      </c>
      <c r="G2001" s="7">
        <f t="shared" si="153"/>
        <v>2861.8368239999995</v>
      </c>
      <c r="H2001" s="8">
        <f t="shared" si="154"/>
        <v>3066.2537400000001</v>
      </c>
      <c r="I2001" s="9">
        <f t="shared" si="155"/>
        <v>3270.6706560000002</v>
      </c>
    </row>
    <row r="2002" spans="1:9" x14ac:dyDescent="0.35">
      <c r="A2002" s="18" t="s">
        <v>3448</v>
      </c>
      <c r="B2002" s="18" t="s">
        <v>3449</v>
      </c>
      <c r="C2002" s="20">
        <v>45513</v>
      </c>
      <c r="D2002" s="11">
        <v>2093</v>
      </c>
      <c r="E2002" s="27">
        <f t="shared" si="151"/>
        <v>2329.9276</v>
      </c>
      <c r="F2002" s="6">
        <f t="shared" si="152"/>
        <v>3028.9058800000003</v>
      </c>
      <c r="G2002" s="7">
        <f t="shared" si="153"/>
        <v>3261.8986399999999</v>
      </c>
      <c r="H2002" s="8">
        <f t="shared" si="154"/>
        <v>3494.8914</v>
      </c>
      <c r="I2002" s="9">
        <f t="shared" si="155"/>
        <v>3727.8841600000001</v>
      </c>
    </row>
    <row r="2003" spans="1:9" ht="15.75" customHeight="1" x14ac:dyDescent="0.4">
      <c r="B2003" s="21" t="s">
        <v>1019</v>
      </c>
      <c r="D2003" s="11">
        <v>0</v>
      </c>
      <c r="E2003" s="27">
        <f t="shared" si="151"/>
        <v>0</v>
      </c>
      <c r="F2003" s="6">
        <f t="shared" si="152"/>
        <v>0</v>
      </c>
      <c r="G2003" s="7">
        <f t="shared" si="153"/>
        <v>0</v>
      </c>
      <c r="H2003" s="8">
        <f t="shared" si="154"/>
        <v>0</v>
      </c>
      <c r="I2003" s="9">
        <f t="shared" si="155"/>
        <v>0</v>
      </c>
    </row>
    <row r="2004" spans="1:9" x14ac:dyDescent="0.35">
      <c r="A2004" s="18" t="s">
        <v>147</v>
      </c>
      <c r="B2004" s="18" t="s">
        <v>434</v>
      </c>
      <c r="C2004" s="20">
        <v>45726</v>
      </c>
      <c r="D2004" s="11">
        <v>791.02094982877009</v>
      </c>
      <c r="E2004" s="27">
        <f t="shared" si="151"/>
        <v>880.56452134938684</v>
      </c>
      <c r="F2004" s="6">
        <f t="shared" si="152"/>
        <v>1144.7338777542029</v>
      </c>
      <c r="G2004" s="7">
        <f t="shared" si="153"/>
        <v>1232.7903298891415</v>
      </c>
      <c r="H2004" s="8">
        <f t="shared" si="154"/>
        <v>1320.8467820240803</v>
      </c>
      <c r="I2004" s="9">
        <f t="shared" si="155"/>
        <v>1408.9032341590191</v>
      </c>
    </row>
    <row r="2005" spans="1:9" x14ac:dyDescent="0.35">
      <c r="A2005" s="18" t="s">
        <v>3269</v>
      </c>
      <c r="B2005" s="18" t="s">
        <v>3270</v>
      </c>
      <c r="C2005" s="20">
        <v>45726</v>
      </c>
      <c r="D2005" s="11">
        <v>1155</v>
      </c>
      <c r="E2005" s="27">
        <f t="shared" si="151"/>
        <v>1285.7460000000001</v>
      </c>
      <c r="F2005" s="6">
        <f t="shared" si="152"/>
        <v>1671.4698000000001</v>
      </c>
      <c r="G2005" s="7">
        <f t="shared" si="153"/>
        <v>1800.0444</v>
      </c>
      <c r="H2005" s="8">
        <f t="shared" si="154"/>
        <v>1928.6190000000001</v>
      </c>
      <c r="I2005" s="9">
        <f t="shared" si="155"/>
        <v>2057.1936000000001</v>
      </c>
    </row>
    <row r="2006" spans="1:9" x14ac:dyDescent="0.35">
      <c r="A2006" s="18" t="s">
        <v>148</v>
      </c>
      <c r="B2006" s="18" t="s">
        <v>435</v>
      </c>
      <c r="C2006" s="20">
        <v>45726</v>
      </c>
      <c r="D2006" s="11">
        <v>1235.9946848168167</v>
      </c>
      <c r="E2006" s="27">
        <f t="shared" si="151"/>
        <v>1375.9092831380804</v>
      </c>
      <c r="F2006" s="6">
        <f t="shared" si="152"/>
        <v>1788.6820680795045</v>
      </c>
      <c r="G2006" s="7">
        <f t="shared" si="153"/>
        <v>1926.2729963933123</v>
      </c>
      <c r="H2006" s="8">
        <f t="shared" si="154"/>
        <v>2063.8639247071205</v>
      </c>
      <c r="I2006" s="9">
        <f t="shared" si="155"/>
        <v>2201.4548530209286</v>
      </c>
    </row>
    <row r="2007" spans="1:9" x14ac:dyDescent="0.35">
      <c r="A2007" s="18" t="s">
        <v>149</v>
      </c>
      <c r="B2007" s="18" t="s">
        <v>436</v>
      </c>
      <c r="C2007" s="20">
        <v>45726</v>
      </c>
      <c r="D2007" s="11">
        <v>2252.7873653794936</v>
      </c>
      <c r="E2007" s="27">
        <f t="shared" si="151"/>
        <v>2507.8028951404522</v>
      </c>
      <c r="F2007" s="6">
        <f t="shared" si="152"/>
        <v>3260.1437636825881</v>
      </c>
      <c r="G2007" s="7">
        <f t="shared" si="153"/>
        <v>3510.9240531966329</v>
      </c>
      <c r="H2007" s="8">
        <f t="shared" si="154"/>
        <v>3761.7043427106782</v>
      </c>
      <c r="I2007" s="9">
        <f t="shared" si="155"/>
        <v>4012.4846322247236</v>
      </c>
    </row>
    <row r="2008" spans="1:9" x14ac:dyDescent="0.35">
      <c r="A2008" s="18" t="s">
        <v>150</v>
      </c>
      <c r="B2008" s="18" t="s">
        <v>437</v>
      </c>
      <c r="C2008" s="20">
        <v>45726</v>
      </c>
      <c r="D2008" s="11">
        <v>2670.8722277832562</v>
      </c>
      <c r="E2008" s="27">
        <f t="shared" si="151"/>
        <v>2973.2149639683207</v>
      </c>
      <c r="F2008" s="6">
        <f t="shared" si="152"/>
        <v>3865.1794531588171</v>
      </c>
      <c r="G2008" s="7">
        <f t="shared" si="153"/>
        <v>4162.5009495556487</v>
      </c>
      <c r="H2008" s="8">
        <f t="shared" si="154"/>
        <v>4459.8224459524808</v>
      </c>
      <c r="I2008" s="9">
        <f t="shared" si="155"/>
        <v>4757.143942349313</v>
      </c>
    </row>
    <row r="2009" spans="1:9" x14ac:dyDescent="0.35">
      <c r="A2009" s="18" t="s">
        <v>151</v>
      </c>
      <c r="B2009" s="18" t="s">
        <v>438</v>
      </c>
      <c r="C2009" s="20">
        <v>45726</v>
      </c>
      <c r="D2009" s="11">
        <v>2788.5854414697524</v>
      </c>
      <c r="E2009" s="27">
        <f t="shared" si="151"/>
        <v>3104.2533134441283</v>
      </c>
      <c r="F2009" s="6">
        <f t="shared" si="152"/>
        <v>4035.5293074773667</v>
      </c>
      <c r="G2009" s="7">
        <f t="shared" si="153"/>
        <v>4345.9546388217796</v>
      </c>
      <c r="H2009" s="8">
        <f t="shared" si="154"/>
        <v>4656.3799701661919</v>
      </c>
      <c r="I2009" s="9">
        <f t="shared" si="155"/>
        <v>4966.8053015106052</v>
      </c>
    </row>
    <row r="2010" spans="1:9" x14ac:dyDescent="0.35">
      <c r="A2010" s="18" t="s">
        <v>152</v>
      </c>
      <c r="B2010" s="18" t="s">
        <v>439</v>
      </c>
      <c r="C2010" s="20">
        <v>45726</v>
      </c>
      <c r="D2010" s="11">
        <v>10460.239712762082</v>
      </c>
      <c r="E2010" s="27">
        <f t="shared" si="151"/>
        <v>11644.338848246749</v>
      </c>
      <c r="F2010" s="6">
        <f t="shared" si="152"/>
        <v>15137.640502720775</v>
      </c>
      <c r="G2010" s="7">
        <f t="shared" si="153"/>
        <v>16302.074387545448</v>
      </c>
      <c r="H2010" s="8">
        <f t="shared" si="154"/>
        <v>17466.508272370123</v>
      </c>
      <c r="I2010" s="9">
        <f t="shared" si="155"/>
        <v>18630.942157194801</v>
      </c>
    </row>
    <row r="2011" spans="1:9" x14ac:dyDescent="0.35">
      <c r="A2011" s="18" t="s">
        <v>153</v>
      </c>
      <c r="B2011" s="18" t="s">
        <v>440</v>
      </c>
      <c r="C2011" s="20">
        <v>45726</v>
      </c>
      <c r="D2011" s="11">
        <v>15551.133250886338</v>
      </c>
      <c r="E2011" s="27">
        <f t="shared" si="151"/>
        <v>17311.52153488667</v>
      </c>
      <c r="F2011" s="6">
        <f t="shared" si="152"/>
        <v>22504.97799535267</v>
      </c>
      <c r="G2011" s="7">
        <f t="shared" si="153"/>
        <v>24236.130148841337</v>
      </c>
      <c r="H2011" s="8">
        <f t="shared" si="154"/>
        <v>25967.282302330004</v>
      </c>
      <c r="I2011" s="9">
        <f t="shared" si="155"/>
        <v>27698.434455818671</v>
      </c>
    </row>
    <row r="2012" spans="1:9" x14ac:dyDescent="0.35">
      <c r="A2012" s="18" t="s">
        <v>154</v>
      </c>
      <c r="B2012" s="18" t="s">
        <v>441</v>
      </c>
      <c r="C2012" s="20">
        <v>45726</v>
      </c>
      <c r="D2012" s="11">
        <v>17523.032533951853</v>
      </c>
      <c r="E2012" s="27">
        <f t="shared" si="151"/>
        <v>19506.639816795203</v>
      </c>
      <c r="F2012" s="6">
        <f t="shared" si="152"/>
        <v>25358.631761833763</v>
      </c>
      <c r="G2012" s="7">
        <f t="shared" si="153"/>
        <v>27309.295743513281</v>
      </c>
      <c r="H2012" s="8">
        <f t="shared" si="154"/>
        <v>29259.959725192806</v>
      </c>
      <c r="I2012" s="9">
        <f t="shared" si="155"/>
        <v>31210.623706872328</v>
      </c>
    </row>
    <row r="2013" spans="1:9" ht="15.75" customHeight="1" x14ac:dyDescent="0.4">
      <c r="B2013" s="21" t="s">
        <v>955</v>
      </c>
      <c r="D2013" s="11">
        <v>0</v>
      </c>
      <c r="E2013" s="27">
        <f t="shared" si="151"/>
        <v>0</v>
      </c>
      <c r="F2013" s="6">
        <f t="shared" si="152"/>
        <v>0</v>
      </c>
      <c r="G2013" s="7">
        <f t="shared" si="153"/>
        <v>0</v>
      </c>
      <c r="H2013" s="8">
        <f t="shared" si="154"/>
        <v>0</v>
      </c>
      <c r="I2013" s="9">
        <f t="shared" si="155"/>
        <v>0</v>
      </c>
    </row>
    <row r="2014" spans="1:9" x14ac:dyDescent="0.35">
      <c r="A2014" s="18" t="s">
        <v>155</v>
      </c>
      <c r="B2014" s="18" t="s">
        <v>442</v>
      </c>
      <c r="C2014" s="20">
        <v>45363</v>
      </c>
      <c r="D2014" s="11">
        <v>0</v>
      </c>
      <c r="E2014" s="27">
        <f t="shared" si="151"/>
        <v>0</v>
      </c>
      <c r="F2014" s="6">
        <f t="shared" si="152"/>
        <v>0</v>
      </c>
      <c r="G2014" s="7">
        <f t="shared" si="153"/>
        <v>0</v>
      </c>
      <c r="H2014" s="8">
        <f t="shared" si="154"/>
        <v>0</v>
      </c>
      <c r="I2014" s="9">
        <f t="shared" si="155"/>
        <v>0</v>
      </c>
    </row>
    <row r="2015" spans="1:9" x14ac:dyDescent="0.35">
      <c r="A2015" s="18" t="s">
        <v>156</v>
      </c>
      <c r="B2015" s="18" t="s">
        <v>443</v>
      </c>
      <c r="C2015" s="20">
        <v>45363</v>
      </c>
      <c r="D2015" s="11">
        <v>0</v>
      </c>
      <c r="E2015" s="27">
        <f t="shared" si="151"/>
        <v>0</v>
      </c>
      <c r="F2015" s="6">
        <f t="shared" si="152"/>
        <v>0</v>
      </c>
      <c r="G2015" s="7">
        <f t="shared" si="153"/>
        <v>0</v>
      </c>
      <c r="H2015" s="8">
        <f t="shared" si="154"/>
        <v>0</v>
      </c>
      <c r="I2015" s="9">
        <f t="shared" si="155"/>
        <v>0</v>
      </c>
    </row>
    <row r="2016" spans="1:9" x14ac:dyDescent="0.35">
      <c r="A2016" s="18" t="s">
        <v>2490</v>
      </c>
      <c r="B2016" s="18" t="s">
        <v>444</v>
      </c>
      <c r="C2016" s="20">
        <v>45363</v>
      </c>
      <c r="D2016" s="11">
        <v>287.94527999999997</v>
      </c>
      <c r="E2016" s="27">
        <f t="shared" si="151"/>
        <v>320.54068569599997</v>
      </c>
      <c r="F2016" s="6">
        <f t="shared" si="152"/>
        <v>416.70289140479997</v>
      </c>
      <c r="G2016" s="7">
        <f t="shared" si="153"/>
        <v>448.75695997439993</v>
      </c>
      <c r="H2016" s="8">
        <f t="shared" si="154"/>
        <v>480.81102854399995</v>
      </c>
      <c r="I2016" s="9">
        <f t="shared" si="155"/>
        <v>512.86509711359997</v>
      </c>
    </row>
    <row r="2017" spans="1:9" x14ac:dyDescent="0.35">
      <c r="A2017" s="18" t="s">
        <v>2491</v>
      </c>
      <c r="B2017" s="18" t="s">
        <v>445</v>
      </c>
      <c r="C2017" s="20">
        <v>45363</v>
      </c>
      <c r="D2017" s="11">
        <v>479.90879999999999</v>
      </c>
      <c r="E2017" s="27">
        <f t="shared" si="151"/>
        <v>534.23447615999999</v>
      </c>
      <c r="F2017" s="6">
        <f t="shared" si="152"/>
        <v>694.50481900800003</v>
      </c>
      <c r="G2017" s="7">
        <f t="shared" si="153"/>
        <v>747.92826662399989</v>
      </c>
      <c r="H2017" s="8">
        <f t="shared" si="154"/>
        <v>801.35171423999998</v>
      </c>
      <c r="I2017" s="9">
        <f t="shared" si="155"/>
        <v>854.77516185600007</v>
      </c>
    </row>
    <row r="2018" spans="1:9" x14ac:dyDescent="0.35">
      <c r="A2018" s="18" t="s">
        <v>2492</v>
      </c>
      <c r="B2018" s="18" t="s">
        <v>446</v>
      </c>
      <c r="C2018" s="20">
        <v>45363</v>
      </c>
      <c r="D2018" s="11">
        <v>479.90879999999999</v>
      </c>
      <c r="E2018" s="27">
        <f t="shared" si="151"/>
        <v>534.23447615999999</v>
      </c>
      <c r="F2018" s="6">
        <f t="shared" si="152"/>
        <v>694.50481900800003</v>
      </c>
      <c r="G2018" s="7">
        <f t="shared" si="153"/>
        <v>747.92826662399989</v>
      </c>
      <c r="H2018" s="8">
        <f t="shared" si="154"/>
        <v>801.35171423999998</v>
      </c>
      <c r="I2018" s="9">
        <f t="shared" si="155"/>
        <v>854.77516185600007</v>
      </c>
    </row>
    <row r="2019" spans="1:9" x14ac:dyDescent="0.35">
      <c r="A2019" s="18" t="s">
        <v>2493</v>
      </c>
      <c r="B2019" s="18" t="s">
        <v>754</v>
      </c>
      <c r="C2019" s="20">
        <v>45363</v>
      </c>
      <c r="D2019" s="11">
        <v>0</v>
      </c>
      <c r="E2019" s="27">
        <f t="shared" si="151"/>
        <v>0</v>
      </c>
      <c r="F2019" s="6">
        <f t="shared" si="152"/>
        <v>0</v>
      </c>
      <c r="G2019" s="7">
        <f t="shared" si="153"/>
        <v>0</v>
      </c>
      <c r="H2019" s="8">
        <f t="shared" si="154"/>
        <v>0</v>
      </c>
      <c r="I2019" s="9">
        <f t="shared" si="155"/>
        <v>0</v>
      </c>
    </row>
    <row r="2020" spans="1:9" x14ac:dyDescent="0.35">
      <c r="A2020" s="18" t="s">
        <v>2494</v>
      </c>
      <c r="B2020" s="18" t="s">
        <v>755</v>
      </c>
      <c r="C2020" s="20">
        <v>45363</v>
      </c>
      <c r="D2020" s="11">
        <v>0</v>
      </c>
      <c r="E2020" s="27">
        <f t="shared" si="151"/>
        <v>0</v>
      </c>
      <c r="F2020" s="6">
        <f t="shared" si="152"/>
        <v>0</v>
      </c>
      <c r="G2020" s="7">
        <f t="shared" si="153"/>
        <v>0</v>
      </c>
      <c r="H2020" s="8">
        <f t="shared" si="154"/>
        <v>0</v>
      </c>
      <c r="I2020" s="9">
        <f t="shared" si="155"/>
        <v>0</v>
      </c>
    </row>
    <row r="2021" spans="1:9" x14ac:dyDescent="0.35">
      <c r="A2021" s="18" t="s">
        <v>2495</v>
      </c>
      <c r="B2021" s="18" t="s">
        <v>756</v>
      </c>
      <c r="C2021" s="20">
        <v>45363</v>
      </c>
      <c r="D2021" s="11">
        <v>422.31974399999996</v>
      </c>
      <c r="E2021" s="27">
        <f t="shared" si="151"/>
        <v>470.1263390208</v>
      </c>
      <c r="F2021" s="6">
        <f t="shared" si="152"/>
        <v>611.16424072704001</v>
      </c>
      <c r="G2021" s="7">
        <f t="shared" si="153"/>
        <v>658.17687462911999</v>
      </c>
      <c r="H2021" s="8">
        <f t="shared" si="154"/>
        <v>705.18950853119998</v>
      </c>
      <c r="I2021" s="9">
        <f t="shared" si="155"/>
        <v>752.20214243328007</v>
      </c>
    </row>
    <row r="2022" spans="1:9" ht="15.75" customHeight="1" x14ac:dyDescent="0.4">
      <c r="B2022" s="19" t="s">
        <v>956</v>
      </c>
      <c r="D2022" s="11">
        <v>0</v>
      </c>
      <c r="E2022" s="27">
        <f t="shared" si="151"/>
        <v>0</v>
      </c>
      <c r="F2022" s="6">
        <f t="shared" si="152"/>
        <v>0</v>
      </c>
      <c r="G2022" s="7">
        <f t="shared" si="153"/>
        <v>0</v>
      </c>
      <c r="H2022" s="8">
        <f t="shared" si="154"/>
        <v>0</v>
      </c>
      <c r="I2022" s="9">
        <f t="shared" si="155"/>
        <v>0</v>
      </c>
    </row>
    <row r="2023" spans="1:9" x14ac:dyDescent="0.35">
      <c r="A2023" s="18" t="s">
        <v>2496</v>
      </c>
      <c r="B2023" s="18" t="s">
        <v>3296</v>
      </c>
      <c r="C2023" s="20">
        <v>45440</v>
      </c>
      <c r="D2023" s="11">
        <v>1140</v>
      </c>
      <c r="E2023" s="27">
        <f t="shared" si="151"/>
        <v>1269.048</v>
      </c>
      <c r="F2023" s="6">
        <f t="shared" si="152"/>
        <v>1649.7624000000001</v>
      </c>
      <c r="G2023" s="7">
        <f t="shared" si="153"/>
        <v>1776.6671999999999</v>
      </c>
      <c r="H2023" s="8">
        <f t="shared" si="154"/>
        <v>1903.5720000000001</v>
      </c>
      <c r="I2023" s="9">
        <f t="shared" si="155"/>
        <v>2030.4768000000001</v>
      </c>
    </row>
    <row r="2024" spans="1:9" x14ac:dyDescent="0.35">
      <c r="A2024" s="18" t="s">
        <v>3295</v>
      </c>
      <c r="B2024" s="18" t="s">
        <v>3297</v>
      </c>
      <c r="C2024" s="20">
        <v>45440</v>
      </c>
      <c r="D2024" s="11">
        <v>1140</v>
      </c>
      <c r="E2024" s="27">
        <f t="shared" si="151"/>
        <v>1269.048</v>
      </c>
      <c r="F2024" s="6">
        <f t="shared" si="152"/>
        <v>1649.7624000000001</v>
      </c>
      <c r="G2024" s="7">
        <f t="shared" si="153"/>
        <v>1776.6671999999999</v>
      </c>
      <c r="H2024" s="8">
        <f t="shared" si="154"/>
        <v>1903.5720000000001</v>
      </c>
      <c r="I2024" s="9">
        <f t="shared" si="155"/>
        <v>2030.4768000000001</v>
      </c>
    </row>
    <row r="2025" spans="1:9" x14ac:dyDescent="0.35">
      <c r="A2025" s="18" t="s">
        <v>2497</v>
      </c>
      <c r="B2025" s="18" t="s">
        <v>957</v>
      </c>
      <c r="C2025" s="20">
        <v>45440</v>
      </c>
      <c r="D2025" s="11">
        <v>1140</v>
      </c>
      <c r="E2025" s="27">
        <f t="shared" si="151"/>
        <v>1269.048</v>
      </c>
      <c r="F2025" s="6">
        <f t="shared" si="152"/>
        <v>1649.7624000000001</v>
      </c>
      <c r="G2025" s="7">
        <f t="shared" si="153"/>
        <v>1776.6671999999999</v>
      </c>
      <c r="H2025" s="8">
        <f t="shared" si="154"/>
        <v>1903.5720000000001</v>
      </c>
      <c r="I2025" s="9">
        <f t="shared" si="155"/>
        <v>2030.4768000000001</v>
      </c>
    </row>
    <row r="2026" spans="1:9" x14ac:dyDescent="0.35">
      <c r="A2026" s="18" t="s">
        <v>3131</v>
      </c>
      <c r="B2026" s="18" t="s">
        <v>6483</v>
      </c>
      <c r="C2026" s="20">
        <v>45513</v>
      </c>
      <c r="D2026" s="11">
        <v>6625</v>
      </c>
      <c r="E2026" s="27">
        <f t="shared" si="151"/>
        <v>7374.9500000000007</v>
      </c>
      <c r="F2026" s="6">
        <f t="shared" si="152"/>
        <v>9587.4350000000013</v>
      </c>
      <c r="G2026" s="7">
        <f t="shared" si="153"/>
        <v>10324.93</v>
      </c>
      <c r="H2026" s="8">
        <f t="shared" si="154"/>
        <v>11062.425000000001</v>
      </c>
      <c r="I2026" s="9">
        <f t="shared" si="155"/>
        <v>11799.920000000002</v>
      </c>
    </row>
    <row r="2027" spans="1:9" x14ac:dyDescent="0.35">
      <c r="A2027" s="18" t="s">
        <v>3255</v>
      </c>
      <c r="B2027" s="18" t="s">
        <v>3451</v>
      </c>
      <c r="C2027" s="20">
        <v>45549</v>
      </c>
      <c r="D2027" s="11">
        <v>2198.81</v>
      </c>
      <c r="E2027" s="27">
        <f t="shared" si="151"/>
        <v>2447.7152919999999</v>
      </c>
      <c r="F2027" s="6">
        <f t="shared" si="152"/>
        <v>3182.0298795999997</v>
      </c>
      <c r="G2027" s="7">
        <f t="shared" si="153"/>
        <v>3426.8014087999995</v>
      </c>
      <c r="H2027" s="8">
        <f t="shared" si="154"/>
        <v>3671.5729379999998</v>
      </c>
      <c r="I2027" s="9">
        <f t="shared" si="155"/>
        <v>3916.3444672000001</v>
      </c>
    </row>
    <row r="2028" spans="1:9" x14ac:dyDescent="0.35">
      <c r="A2028" s="18" t="s">
        <v>2498</v>
      </c>
      <c r="B2028" s="18" t="s">
        <v>122</v>
      </c>
      <c r="C2028" s="20">
        <v>45504</v>
      </c>
      <c r="D2028" s="11">
        <v>3329.42</v>
      </c>
      <c r="E2028" s="27">
        <f t="shared" si="151"/>
        <v>3706.310344</v>
      </c>
      <c r="F2028" s="6">
        <f t="shared" si="152"/>
        <v>4818.2034472000005</v>
      </c>
      <c r="G2028" s="7">
        <f t="shared" si="153"/>
        <v>5188.8344815999999</v>
      </c>
      <c r="H2028" s="8">
        <f t="shared" si="154"/>
        <v>5559.4655160000002</v>
      </c>
      <c r="I2028" s="9">
        <f t="shared" si="155"/>
        <v>5930.0965504000005</v>
      </c>
    </row>
    <row r="2029" spans="1:9" x14ac:dyDescent="0.35">
      <c r="A2029" s="18" t="s">
        <v>1170</v>
      </c>
      <c r="B2029" s="18" t="s">
        <v>6209</v>
      </c>
      <c r="C2029" s="20">
        <v>45363</v>
      </c>
      <c r="D2029" s="11">
        <v>3660</v>
      </c>
      <c r="E2029" s="27">
        <f t="shared" si="151"/>
        <v>4074.3119999999999</v>
      </c>
      <c r="F2029" s="6">
        <f t="shared" si="152"/>
        <v>5296.6055999999999</v>
      </c>
      <c r="G2029" s="7">
        <f t="shared" si="153"/>
        <v>5704.0367999999999</v>
      </c>
      <c r="H2029" s="8">
        <f t="shared" si="154"/>
        <v>6111.4679999999998</v>
      </c>
      <c r="I2029" s="9">
        <f t="shared" si="155"/>
        <v>6518.8991999999998</v>
      </c>
    </row>
    <row r="2030" spans="1:9" x14ac:dyDescent="0.35">
      <c r="A2030" s="18" t="s">
        <v>6210</v>
      </c>
      <c r="B2030" s="18" t="s">
        <v>6211</v>
      </c>
      <c r="C2030" s="20">
        <v>45504</v>
      </c>
      <c r="D2030" s="11">
        <v>3857.44</v>
      </c>
      <c r="E2030" s="27">
        <f t="shared" si="151"/>
        <v>4294.1022080000002</v>
      </c>
      <c r="F2030" s="6">
        <f t="shared" si="152"/>
        <v>5582.3328704000005</v>
      </c>
      <c r="G2030" s="7">
        <f t="shared" si="153"/>
        <v>6011.7430912</v>
      </c>
      <c r="H2030" s="8">
        <f t="shared" si="154"/>
        <v>6441.1533120000004</v>
      </c>
      <c r="I2030" s="9">
        <f t="shared" si="155"/>
        <v>6870.5635328000008</v>
      </c>
    </row>
    <row r="2031" spans="1:9" x14ac:dyDescent="0.35">
      <c r="A2031" s="18" t="s">
        <v>620</v>
      </c>
      <c r="B2031" s="18" t="s">
        <v>621</v>
      </c>
      <c r="C2031" s="20">
        <v>45635</v>
      </c>
      <c r="D2031" s="11">
        <v>1048</v>
      </c>
      <c r="E2031" s="27">
        <f t="shared" si="151"/>
        <v>1166.6335999999999</v>
      </c>
      <c r="F2031" s="6">
        <f t="shared" si="152"/>
        <v>1516.6236799999999</v>
      </c>
      <c r="G2031" s="7">
        <f t="shared" si="153"/>
        <v>1633.2870399999997</v>
      </c>
      <c r="H2031" s="8">
        <f t="shared" si="154"/>
        <v>1749.9503999999997</v>
      </c>
      <c r="I2031" s="9">
        <f t="shared" si="155"/>
        <v>1866.61376</v>
      </c>
    </row>
    <row r="2032" spans="1:9" x14ac:dyDescent="0.35">
      <c r="A2032" s="18" t="s">
        <v>3410</v>
      </c>
      <c r="B2032" s="18" t="s">
        <v>4737</v>
      </c>
      <c r="C2032" s="20">
        <v>45513</v>
      </c>
      <c r="D2032" s="11">
        <v>17098.046999999999</v>
      </c>
      <c r="E2032" s="27">
        <f t="shared" si="151"/>
        <v>19033.5459204</v>
      </c>
      <c r="F2032" s="6">
        <f t="shared" si="152"/>
        <v>24743.609696520001</v>
      </c>
      <c r="G2032" s="7">
        <f t="shared" si="153"/>
        <v>26646.964288559997</v>
      </c>
      <c r="H2032" s="8">
        <f t="shared" si="154"/>
        <v>28550.3188806</v>
      </c>
      <c r="I2032" s="9">
        <f t="shared" si="155"/>
        <v>30453.673472640003</v>
      </c>
    </row>
    <row r="2033" spans="1:9" x14ac:dyDescent="0.35">
      <c r="A2033" s="18" t="s">
        <v>3411</v>
      </c>
      <c r="B2033" s="18" t="s">
        <v>4736</v>
      </c>
      <c r="C2033" s="20">
        <v>45513</v>
      </c>
      <c r="D2033" s="11">
        <v>17007.732</v>
      </c>
      <c r="E2033" s="27">
        <f t="shared" si="151"/>
        <v>18933.007262400002</v>
      </c>
      <c r="F2033" s="6">
        <f t="shared" si="152"/>
        <v>24612.909441120002</v>
      </c>
      <c r="G2033" s="7">
        <f t="shared" si="153"/>
        <v>26506.210167360001</v>
      </c>
      <c r="H2033" s="8">
        <f t="shared" si="154"/>
        <v>28399.510893600003</v>
      </c>
      <c r="I2033" s="9">
        <f t="shared" si="155"/>
        <v>30292.811619840006</v>
      </c>
    </row>
    <row r="2034" spans="1:9" x14ac:dyDescent="0.35">
      <c r="A2034" s="18" t="s">
        <v>4787</v>
      </c>
      <c r="B2034" s="18" t="s">
        <v>4788</v>
      </c>
      <c r="C2034" s="20">
        <v>45513</v>
      </c>
      <c r="D2034" s="11">
        <v>0</v>
      </c>
      <c r="E2034" s="27">
        <f t="shared" si="151"/>
        <v>0</v>
      </c>
      <c r="F2034" s="6">
        <f t="shared" si="152"/>
        <v>0</v>
      </c>
      <c r="G2034" s="7">
        <f t="shared" si="153"/>
        <v>0</v>
      </c>
      <c r="H2034" s="8">
        <f t="shared" si="154"/>
        <v>0</v>
      </c>
      <c r="I2034" s="9">
        <f t="shared" si="155"/>
        <v>0</v>
      </c>
    </row>
    <row r="2035" spans="1:9" x14ac:dyDescent="0.35">
      <c r="A2035" s="18" t="s">
        <v>4804</v>
      </c>
      <c r="B2035" s="18" t="s">
        <v>4805</v>
      </c>
      <c r="C2035" s="20">
        <v>45513</v>
      </c>
      <c r="D2035" s="11">
        <v>7993.89</v>
      </c>
      <c r="E2035" s="27">
        <f t="shared" si="151"/>
        <v>8898.7983480000003</v>
      </c>
      <c r="F2035" s="6">
        <f t="shared" si="152"/>
        <v>11568.4378524</v>
      </c>
      <c r="G2035" s="7">
        <f t="shared" si="153"/>
        <v>12458.3176872</v>
      </c>
      <c r="H2035" s="8">
        <f t="shared" si="154"/>
        <v>13348.197522</v>
      </c>
      <c r="I2035" s="9">
        <f t="shared" si="155"/>
        <v>14238.0773568</v>
      </c>
    </row>
    <row r="2036" spans="1:9" x14ac:dyDescent="0.35">
      <c r="A2036" s="18" t="s">
        <v>4873</v>
      </c>
      <c r="B2036" s="18" t="s">
        <v>4874</v>
      </c>
      <c r="C2036" s="20">
        <v>45513</v>
      </c>
      <c r="D2036" s="11">
        <v>5212.76</v>
      </c>
      <c r="E2036" s="27">
        <f t="shared" si="151"/>
        <v>5802.8444319999999</v>
      </c>
      <c r="F2036" s="6">
        <f t="shared" si="152"/>
        <v>7543.6977616000004</v>
      </c>
      <c r="G2036" s="7">
        <f t="shared" si="153"/>
        <v>8123.9822047999996</v>
      </c>
      <c r="H2036" s="8">
        <f t="shared" si="154"/>
        <v>8704.2666480000007</v>
      </c>
      <c r="I2036" s="9">
        <f t="shared" si="155"/>
        <v>9284.5510912000009</v>
      </c>
    </row>
    <row r="2037" spans="1:9" x14ac:dyDescent="0.35">
      <c r="A2037" s="18" t="s">
        <v>5453</v>
      </c>
      <c r="B2037" s="18" t="s">
        <v>5454</v>
      </c>
      <c r="C2037" s="20">
        <v>45513</v>
      </c>
      <c r="D2037" s="11">
        <v>10964.943000000001</v>
      </c>
      <c r="E2037" s="27">
        <f t="shared" si="151"/>
        <v>12206.174547600001</v>
      </c>
      <c r="F2037" s="6">
        <f t="shared" si="152"/>
        <v>15868.026911880002</v>
      </c>
      <c r="G2037" s="7">
        <f t="shared" si="153"/>
        <v>17088.644366640001</v>
      </c>
      <c r="H2037" s="8">
        <f t="shared" si="154"/>
        <v>18309.261821400003</v>
      </c>
      <c r="I2037" s="9">
        <f t="shared" si="155"/>
        <v>19529.879276160002</v>
      </c>
    </row>
    <row r="2038" spans="1:9" x14ac:dyDescent="0.35">
      <c r="A2038" s="18" t="s">
        <v>5455</v>
      </c>
      <c r="B2038" s="18" t="s">
        <v>5456</v>
      </c>
      <c r="C2038" s="20">
        <v>45513</v>
      </c>
      <c r="D2038" s="11">
        <v>10959.462000000001</v>
      </c>
      <c r="E2038" s="27">
        <f t="shared" si="151"/>
        <v>12200.073098400002</v>
      </c>
      <c r="F2038" s="6">
        <f t="shared" si="152"/>
        <v>15860.095027920002</v>
      </c>
      <c r="G2038" s="7">
        <f t="shared" si="153"/>
        <v>17080.102337760003</v>
      </c>
      <c r="H2038" s="8">
        <f t="shared" si="154"/>
        <v>18300.109647600002</v>
      </c>
      <c r="I2038" s="9">
        <f t="shared" si="155"/>
        <v>19520.116957440005</v>
      </c>
    </row>
    <row r="2039" spans="1:9" x14ac:dyDescent="0.35">
      <c r="A2039" s="18" t="s">
        <v>5729</v>
      </c>
      <c r="B2039" s="18" t="s">
        <v>5730</v>
      </c>
      <c r="C2039" s="20">
        <v>45513</v>
      </c>
      <c r="D2039" s="11">
        <v>5457.4290000000001</v>
      </c>
      <c r="E2039" s="27">
        <f t="shared" si="151"/>
        <v>6075.2099628000005</v>
      </c>
      <c r="F2039" s="6">
        <f t="shared" si="152"/>
        <v>7897.7729516400013</v>
      </c>
      <c r="G2039" s="7">
        <f t="shared" si="153"/>
        <v>8505.2939479199995</v>
      </c>
      <c r="H2039" s="8">
        <f t="shared" si="154"/>
        <v>9112.8149442000013</v>
      </c>
      <c r="I2039" s="9">
        <f t="shared" si="155"/>
        <v>9720.3359404800012</v>
      </c>
    </row>
    <row r="2040" spans="1:9" ht="18" x14ac:dyDescent="0.4">
      <c r="B2040" s="19" t="s">
        <v>5689</v>
      </c>
      <c r="D2040" s="11">
        <v>0</v>
      </c>
      <c r="E2040" s="27">
        <f t="shared" si="151"/>
        <v>0</v>
      </c>
      <c r="F2040" s="6">
        <f t="shared" si="152"/>
        <v>0</v>
      </c>
      <c r="G2040" s="7">
        <f t="shared" si="153"/>
        <v>0</v>
      </c>
      <c r="H2040" s="8">
        <f t="shared" si="154"/>
        <v>0</v>
      </c>
      <c r="I2040" s="9">
        <f t="shared" si="155"/>
        <v>0</v>
      </c>
    </row>
    <row r="2041" spans="1:9" x14ac:dyDescent="0.35">
      <c r="A2041" s="18" t="s">
        <v>1161</v>
      </c>
      <c r="B2041" s="18" t="s">
        <v>534</v>
      </c>
      <c r="C2041" s="20">
        <v>45488</v>
      </c>
      <c r="D2041" s="11">
        <v>0</v>
      </c>
      <c r="E2041" s="27">
        <f t="shared" si="151"/>
        <v>0</v>
      </c>
      <c r="F2041" s="6">
        <f t="shared" si="152"/>
        <v>0</v>
      </c>
      <c r="G2041" s="7">
        <f t="shared" si="153"/>
        <v>0</v>
      </c>
      <c r="H2041" s="8">
        <f t="shared" si="154"/>
        <v>0</v>
      </c>
      <c r="I2041" s="9">
        <f t="shared" si="155"/>
        <v>0</v>
      </c>
    </row>
    <row r="2042" spans="1:9" x14ac:dyDescent="0.35">
      <c r="A2042" s="18" t="s">
        <v>535</v>
      </c>
      <c r="B2042" s="18" t="s">
        <v>533</v>
      </c>
      <c r="C2042" s="20">
        <v>45488</v>
      </c>
      <c r="D2042" s="11">
        <v>0</v>
      </c>
      <c r="E2042" s="27">
        <f t="shared" si="151"/>
        <v>0</v>
      </c>
      <c r="F2042" s="6">
        <f t="shared" si="152"/>
        <v>0</v>
      </c>
      <c r="G2042" s="7">
        <f t="shared" si="153"/>
        <v>0</v>
      </c>
      <c r="H2042" s="8">
        <f t="shared" si="154"/>
        <v>0</v>
      </c>
      <c r="I2042" s="9">
        <f t="shared" si="155"/>
        <v>0</v>
      </c>
    </row>
    <row r="2043" spans="1:9" x14ac:dyDescent="0.35">
      <c r="A2043" s="18" t="s">
        <v>1162</v>
      </c>
      <c r="B2043" s="18" t="s">
        <v>532</v>
      </c>
      <c r="C2043" s="20">
        <v>45488</v>
      </c>
      <c r="D2043" s="11">
        <v>4137</v>
      </c>
      <c r="E2043" s="27">
        <f t="shared" si="151"/>
        <v>4605.3083999999999</v>
      </c>
      <c r="F2043" s="6">
        <f t="shared" si="152"/>
        <v>5986.90092</v>
      </c>
      <c r="G2043" s="7">
        <f t="shared" si="153"/>
        <v>6447.4317599999995</v>
      </c>
      <c r="H2043" s="8">
        <f t="shared" si="154"/>
        <v>6907.9625999999998</v>
      </c>
      <c r="I2043" s="9">
        <f t="shared" si="155"/>
        <v>7368.4934400000002</v>
      </c>
    </row>
    <row r="2044" spans="1:9" x14ac:dyDescent="0.35">
      <c r="A2044" s="18" t="s">
        <v>3262</v>
      </c>
      <c r="B2044" s="18" t="s">
        <v>3424</v>
      </c>
      <c r="C2044" s="20">
        <v>45488</v>
      </c>
      <c r="D2044" s="11">
        <v>0</v>
      </c>
      <c r="E2044" s="27">
        <f t="shared" si="151"/>
        <v>0</v>
      </c>
      <c r="F2044" s="6">
        <f t="shared" si="152"/>
        <v>0</v>
      </c>
      <c r="G2044" s="7">
        <f t="shared" si="153"/>
        <v>0</v>
      </c>
      <c r="H2044" s="8">
        <f t="shared" si="154"/>
        <v>0</v>
      </c>
      <c r="I2044" s="9">
        <f t="shared" si="155"/>
        <v>0</v>
      </c>
    </row>
    <row r="2045" spans="1:9" x14ac:dyDescent="0.35">
      <c r="A2045" s="18" t="s">
        <v>3276</v>
      </c>
      <c r="B2045" s="18" t="s">
        <v>3277</v>
      </c>
      <c r="C2045" s="20">
        <v>45488</v>
      </c>
      <c r="D2045" s="11">
        <v>5373</v>
      </c>
      <c r="E2045" s="27">
        <f t="shared" si="151"/>
        <v>5981.2236000000003</v>
      </c>
      <c r="F2045" s="6">
        <f t="shared" si="152"/>
        <v>7775.5906800000002</v>
      </c>
      <c r="G2045" s="7">
        <f t="shared" si="153"/>
        <v>8373.7130400000005</v>
      </c>
      <c r="H2045" s="8">
        <f t="shared" si="154"/>
        <v>8971.8353999999999</v>
      </c>
      <c r="I2045" s="9">
        <f t="shared" si="155"/>
        <v>9569.9577600000011</v>
      </c>
    </row>
    <row r="2046" spans="1:9" x14ac:dyDescent="0.35">
      <c r="A2046" s="18" t="s">
        <v>3379</v>
      </c>
      <c r="B2046" s="18" t="s">
        <v>3380</v>
      </c>
      <c r="C2046" s="20">
        <v>45488</v>
      </c>
      <c r="D2046" s="11">
        <v>0</v>
      </c>
      <c r="E2046" s="27">
        <f t="shared" si="151"/>
        <v>0</v>
      </c>
      <c r="F2046" s="6">
        <f t="shared" si="152"/>
        <v>0</v>
      </c>
      <c r="G2046" s="7">
        <f t="shared" si="153"/>
        <v>0</v>
      </c>
      <c r="H2046" s="8">
        <f t="shared" si="154"/>
        <v>0</v>
      </c>
      <c r="I2046" s="9">
        <f t="shared" si="155"/>
        <v>0</v>
      </c>
    </row>
    <row r="2047" spans="1:9" ht="15.75" customHeight="1" x14ac:dyDescent="0.4">
      <c r="B2047" s="21" t="s">
        <v>1889</v>
      </c>
      <c r="D2047" s="11">
        <v>0</v>
      </c>
      <c r="E2047" s="27">
        <f t="shared" si="151"/>
        <v>0</v>
      </c>
      <c r="F2047" s="6">
        <f t="shared" si="152"/>
        <v>0</v>
      </c>
      <c r="G2047" s="7">
        <f t="shared" si="153"/>
        <v>0</v>
      </c>
      <c r="H2047" s="8">
        <f t="shared" si="154"/>
        <v>0</v>
      </c>
      <c r="I2047" s="9">
        <f t="shared" si="155"/>
        <v>0</v>
      </c>
    </row>
    <row r="2048" spans="1:9" x14ac:dyDescent="0.35">
      <c r="A2048" s="18" t="s">
        <v>2499</v>
      </c>
      <c r="B2048" s="18" t="s">
        <v>352</v>
      </c>
      <c r="C2048" s="20">
        <v>45363</v>
      </c>
      <c r="D2048" s="11">
        <v>1155.21175475985</v>
      </c>
      <c r="E2048" s="27">
        <f t="shared" si="151"/>
        <v>1285.981725398665</v>
      </c>
      <c r="F2048" s="6">
        <f t="shared" si="152"/>
        <v>1671.7762430182647</v>
      </c>
      <c r="G2048" s="7">
        <f t="shared" si="153"/>
        <v>1800.374415558131</v>
      </c>
      <c r="H2048" s="8">
        <f t="shared" si="154"/>
        <v>1928.9725880979977</v>
      </c>
      <c r="I2048" s="9">
        <f t="shared" si="155"/>
        <v>2057.5707606378642</v>
      </c>
    </row>
    <row r="2049" spans="1:9" x14ac:dyDescent="0.35">
      <c r="A2049" s="18" t="s">
        <v>2500</v>
      </c>
      <c r="B2049" s="18" t="s">
        <v>353</v>
      </c>
      <c r="C2049" s="20">
        <v>45363</v>
      </c>
      <c r="D2049" s="11">
        <v>50.667182226309222</v>
      </c>
      <c r="E2049" s="27">
        <f t="shared" si="151"/>
        <v>56.402707254327431</v>
      </c>
      <c r="F2049" s="6">
        <f t="shared" si="152"/>
        <v>73.323519430625666</v>
      </c>
      <c r="G2049" s="7">
        <f t="shared" si="153"/>
        <v>78.963790156058394</v>
      </c>
      <c r="H2049" s="8">
        <f t="shared" si="154"/>
        <v>84.604060881491151</v>
      </c>
      <c r="I2049" s="9">
        <f t="shared" si="155"/>
        <v>90.244331606923893</v>
      </c>
    </row>
    <row r="2050" spans="1:9" x14ac:dyDescent="0.35">
      <c r="A2050" s="18" t="s">
        <v>2501</v>
      </c>
      <c r="B2050" s="18" t="s">
        <v>354</v>
      </c>
      <c r="C2050" s="20">
        <v>45363</v>
      </c>
      <c r="D2050" s="11">
        <v>50.667182226309222</v>
      </c>
      <c r="E2050" s="27">
        <f t="shared" si="151"/>
        <v>56.402707254327431</v>
      </c>
      <c r="F2050" s="6">
        <f t="shared" si="152"/>
        <v>73.323519430625666</v>
      </c>
      <c r="G2050" s="7">
        <f t="shared" si="153"/>
        <v>78.963790156058394</v>
      </c>
      <c r="H2050" s="8">
        <f t="shared" si="154"/>
        <v>84.604060881491151</v>
      </c>
      <c r="I2050" s="9">
        <f t="shared" si="155"/>
        <v>90.244331606923893</v>
      </c>
    </row>
    <row r="2051" spans="1:9" x14ac:dyDescent="0.35">
      <c r="A2051" s="18" t="s">
        <v>2502</v>
      </c>
      <c r="B2051" s="18" t="s">
        <v>355</v>
      </c>
      <c r="C2051" s="20">
        <v>45363</v>
      </c>
      <c r="D2051" s="11">
        <v>50.667182226309222</v>
      </c>
      <c r="E2051" s="27">
        <f t="shared" si="151"/>
        <v>56.402707254327431</v>
      </c>
      <c r="F2051" s="6">
        <f t="shared" si="152"/>
        <v>73.323519430625666</v>
      </c>
      <c r="G2051" s="7">
        <f t="shared" si="153"/>
        <v>78.963790156058394</v>
      </c>
      <c r="H2051" s="8">
        <f t="shared" si="154"/>
        <v>84.604060881491151</v>
      </c>
      <c r="I2051" s="9">
        <f t="shared" si="155"/>
        <v>90.244331606923893</v>
      </c>
    </row>
    <row r="2052" spans="1:9" x14ac:dyDescent="0.35">
      <c r="A2052" s="28" t="s">
        <v>2503</v>
      </c>
      <c r="B2052" s="28" t="s">
        <v>356</v>
      </c>
      <c r="C2052" s="29">
        <v>45363</v>
      </c>
      <c r="D2052" s="11">
        <v>50.667182226309222</v>
      </c>
      <c r="E2052" s="27">
        <f t="shared" si="151"/>
        <v>56.402707254327431</v>
      </c>
      <c r="F2052" s="6">
        <f t="shared" si="152"/>
        <v>73.323519430625666</v>
      </c>
      <c r="G2052" s="7">
        <f t="shared" si="153"/>
        <v>78.963790156058394</v>
      </c>
      <c r="H2052" s="8">
        <f t="shared" si="154"/>
        <v>84.604060881491151</v>
      </c>
      <c r="I2052" s="9">
        <f t="shared" si="155"/>
        <v>90.244331606923893</v>
      </c>
    </row>
    <row r="2053" spans="1:9" ht="15.75" customHeight="1" x14ac:dyDescent="0.4">
      <c r="A2053" s="28"/>
      <c r="B2053" s="34" t="s">
        <v>1890</v>
      </c>
      <c r="C2053" s="29"/>
      <c r="D2053" s="11">
        <v>0</v>
      </c>
      <c r="E2053" s="27">
        <f t="shared" si="151"/>
        <v>0</v>
      </c>
      <c r="F2053" s="6">
        <f t="shared" si="152"/>
        <v>0</v>
      </c>
      <c r="G2053" s="7">
        <f t="shared" si="153"/>
        <v>0</v>
      </c>
      <c r="H2053" s="8">
        <f t="shared" si="154"/>
        <v>0</v>
      </c>
      <c r="I2053" s="9">
        <f t="shared" si="155"/>
        <v>0</v>
      </c>
    </row>
    <row r="2054" spans="1:9" ht="18" x14ac:dyDescent="0.4">
      <c r="A2054" s="43">
        <v>2002</v>
      </c>
      <c r="B2054" s="44" t="s">
        <v>5814</v>
      </c>
      <c r="C2054" s="29">
        <v>45737</v>
      </c>
      <c r="D2054" s="11">
        <v>13266.186885000003</v>
      </c>
      <c r="E2054" s="27">
        <f t="shared" si="151"/>
        <v>14767.919240382003</v>
      </c>
      <c r="F2054" s="6">
        <f t="shared" si="152"/>
        <v>19198.295012496605</v>
      </c>
      <c r="G2054" s="7">
        <f t="shared" si="153"/>
        <v>20675.086936534804</v>
      </c>
      <c r="H2054" s="8">
        <f t="shared" si="154"/>
        <v>22151.878860573004</v>
      </c>
      <c r="I2054" s="9">
        <f t="shared" si="155"/>
        <v>23628.670784611208</v>
      </c>
    </row>
    <row r="2055" spans="1:9" ht="18" x14ac:dyDescent="0.4">
      <c r="A2055" s="43">
        <v>2003</v>
      </c>
      <c r="B2055" s="44" t="s">
        <v>5815</v>
      </c>
      <c r="C2055" s="29">
        <v>45737</v>
      </c>
      <c r="D2055" s="11">
        <v>11740.786218000003</v>
      </c>
      <c r="E2055" s="27">
        <f t="shared" si="151"/>
        <v>13069.843217877604</v>
      </c>
      <c r="F2055" s="6">
        <f t="shared" si="152"/>
        <v>16990.796183240887</v>
      </c>
      <c r="G2055" s="7">
        <f t="shared" si="153"/>
        <v>18297.780505028644</v>
      </c>
      <c r="H2055" s="8">
        <f t="shared" si="154"/>
        <v>19604.764826816405</v>
      </c>
      <c r="I2055" s="9">
        <f t="shared" si="155"/>
        <v>20911.749148604169</v>
      </c>
    </row>
    <row r="2056" spans="1:9" ht="18" x14ac:dyDescent="0.4">
      <c r="A2056" s="43">
        <v>2004</v>
      </c>
      <c r="B2056" s="44" t="s">
        <v>5816</v>
      </c>
      <c r="C2056" s="29">
        <v>45737</v>
      </c>
      <c r="D2056" s="11">
        <v>7931.8286586000013</v>
      </c>
      <c r="E2056" s="27">
        <f t="shared" si="151"/>
        <v>8829.7116627535215</v>
      </c>
      <c r="F2056" s="6">
        <f t="shared" si="152"/>
        <v>11478.625161579579</v>
      </c>
      <c r="G2056" s="7">
        <f t="shared" si="153"/>
        <v>12361.59632785493</v>
      </c>
      <c r="H2056" s="8">
        <f t="shared" si="154"/>
        <v>13244.567494130282</v>
      </c>
      <c r="I2056" s="9">
        <f t="shared" si="155"/>
        <v>14127.538660405635</v>
      </c>
    </row>
    <row r="2057" spans="1:9" ht="18" x14ac:dyDescent="0.4">
      <c r="A2057" s="43">
        <v>2009</v>
      </c>
      <c r="B2057" s="44" t="s">
        <v>5817</v>
      </c>
      <c r="C2057" s="29">
        <v>45737</v>
      </c>
      <c r="D2057" s="11">
        <v>8797.4660844000009</v>
      </c>
      <c r="E2057" s="27">
        <f t="shared" si="151"/>
        <v>9793.3392451540822</v>
      </c>
      <c r="F2057" s="6">
        <f t="shared" si="152"/>
        <v>12731.341018700306</v>
      </c>
      <c r="G2057" s="7">
        <f t="shared" si="153"/>
        <v>13710.674943215714</v>
      </c>
      <c r="H2057" s="8">
        <f t="shared" si="154"/>
        <v>14690.008867731123</v>
      </c>
      <c r="I2057" s="9">
        <f t="shared" si="155"/>
        <v>15669.342792246533</v>
      </c>
    </row>
    <row r="2058" spans="1:9" ht="18" x14ac:dyDescent="0.4">
      <c r="A2058" s="43">
        <v>2011</v>
      </c>
      <c r="B2058" s="44" t="s">
        <v>5818</v>
      </c>
      <c r="C2058" s="29">
        <v>45737</v>
      </c>
      <c r="D2058" s="11">
        <v>6656.1901308000015</v>
      </c>
      <c r="E2058" s="27">
        <f t="shared" si="151"/>
        <v>7409.6708536065626</v>
      </c>
      <c r="F2058" s="6">
        <f t="shared" si="152"/>
        <v>9632.5721096885318</v>
      </c>
      <c r="G2058" s="7">
        <f t="shared" si="153"/>
        <v>10373.539195049187</v>
      </c>
      <c r="H2058" s="8">
        <f t="shared" si="154"/>
        <v>11114.506280409843</v>
      </c>
      <c r="I2058" s="9">
        <f t="shared" si="155"/>
        <v>11855.4733657705</v>
      </c>
    </row>
    <row r="2059" spans="1:9" ht="18" x14ac:dyDescent="0.4">
      <c r="A2059" s="43">
        <v>2016</v>
      </c>
      <c r="B2059" s="44" t="s">
        <v>5819</v>
      </c>
      <c r="C2059" s="29">
        <v>45737</v>
      </c>
      <c r="D2059" s="11">
        <v>10076.732618400003</v>
      </c>
      <c r="E2059" s="27">
        <f t="shared" si="151"/>
        <v>11217.418750802884</v>
      </c>
      <c r="F2059" s="6">
        <f t="shared" si="152"/>
        <v>14582.644376043751</v>
      </c>
      <c r="G2059" s="7">
        <f t="shared" si="153"/>
        <v>15704.386251124037</v>
      </c>
      <c r="H2059" s="8">
        <f t="shared" si="154"/>
        <v>16826.128126204327</v>
      </c>
      <c r="I2059" s="9">
        <f t="shared" si="155"/>
        <v>17947.870001284617</v>
      </c>
    </row>
    <row r="2060" spans="1:9" ht="18" x14ac:dyDescent="0.4">
      <c r="A2060" s="43">
        <v>2022</v>
      </c>
      <c r="B2060" s="44" t="s">
        <v>5820</v>
      </c>
      <c r="C2060" s="29">
        <v>45737</v>
      </c>
      <c r="D2060" s="11">
        <v>7188.7668804000014</v>
      </c>
      <c r="E2060" s="27">
        <f t="shared" ref="E2060:E2123" si="156">D2060*1.21*0.92</f>
        <v>8002.5352912612825</v>
      </c>
      <c r="F2060" s="6">
        <f t="shared" si="152"/>
        <v>10403.295878639668</v>
      </c>
      <c r="G2060" s="7">
        <f t="shared" si="153"/>
        <v>11203.549407765795</v>
      </c>
      <c r="H2060" s="8">
        <f t="shared" si="154"/>
        <v>12003.802936891923</v>
      </c>
      <c r="I2060" s="9">
        <f t="shared" si="155"/>
        <v>12804.056466018053</v>
      </c>
    </row>
    <row r="2061" spans="1:9" ht="18" x14ac:dyDescent="0.4">
      <c r="A2061" s="43">
        <v>2026</v>
      </c>
      <c r="B2061" s="44" t="s">
        <v>5821</v>
      </c>
      <c r="C2061" s="29">
        <v>45737</v>
      </c>
      <c r="D2061" s="11">
        <v>12140.473590000001</v>
      </c>
      <c r="E2061" s="27">
        <f t="shared" si="156"/>
        <v>13514.775200388001</v>
      </c>
      <c r="F2061" s="6">
        <f t="shared" si="152"/>
        <v>17569.207760504403</v>
      </c>
      <c r="G2061" s="7">
        <f t="shared" si="153"/>
        <v>18920.685280543199</v>
      </c>
      <c r="H2061" s="8">
        <f t="shared" si="154"/>
        <v>20272.162800582002</v>
      </c>
      <c r="I2061" s="9">
        <f t="shared" si="155"/>
        <v>21623.640320620805</v>
      </c>
    </row>
    <row r="2062" spans="1:9" ht="18" x14ac:dyDescent="0.4">
      <c r="A2062" s="43">
        <v>2027</v>
      </c>
      <c r="B2062" s="44" t="s">
        <v>5822</v>
      </c>
      <c r="C2062" s="29">
        <v>45737</v>
      </c>
      <c r="D2062" s="11">
        <v>11321.988111000002</v>
      </c>
      <c r="E2062" s="27">
        <f t="shared" si="156"/>
        <v>12603.637165165204</v>
      </c>
      <c r="F2062" s="6">
        <f t="shared" si="152"/>
        <v>16384.728314714765</v>
      </c>
      <c r="G2062" s="7">
        <f t="shared" si="153"/>
        <v>17645.092031231285</v>
      </c>
      <c r="H2062" s="8">
        <f t="shared" si="154"/>
        <v>18905.455747747808</v>
      </c>
      <c r="I2062" s="9">
        <f t="shared" si="155"/>
        <v>20165.819464264328</v>
      </c>
    </row>
    <row r="2063" spans="1:9" ht="18" x14ac:dyDescent="0.4">
      <c r="A2063" s="43">
        <v>2029</v>
      </c>
      <c r="B2063" s="44" t="s">
        <v>5823</v>
      </c>
      <c r="C2063" s="29">
        <v>45737</v>
      </c>
      <c r="D2063" s="11">
        <v>7425.7885296000004</v>
      </c>
      <c r="E2063" s="27">
        <f t="shared" si="156"/>
        <v>8266.3877911507207</v>
      </c>
      <c r="F2063" s="6">
        <f t="shared" si="152"/>
        <v>10746.304128495938</v>
      </c>
      <c r="G2063" s="7">
        <f t="shared" si="153"/>
        <v>11572.942907611008</v>
      </c>
      <c r="H2063" s="8">
        <f t="shared" si="154"/>
        <v>12399.58168672608</v>
      </c>
      <c r="I2063" s="9">
        <f t="shared" si="155"/>
        <v>13226.220465841154</v>
      </c>
    </row>
    <row r="2064" spans="1:9" x14ac:dyDescent="0.35">
      <c r="A2064" s="43">
        <v>2030</v>
      </c>
      <c r="B2064" s="44" t="s">
        <v>4618</v>
      </c>
      <c r="C2064" s="29">
        <v>45737</v>
      </c>
      <c r="D2064" s="11">
        <v>7624.0305540000018</v>
      </c>
      <c r="E2064" s="27">
        <f t="shared" si="156"/>
        <v>8487.0708127128019</v>
      </c>
      <c r="F2064" s="6">
        <f t="shared" ref="F2064:F2128" si="157">E2064*1.3</f>
        <v>11033.192056526643</v>
      </c>
      <c r="G2064" s="7">
        <f t="shared" ref="G2064:G2128" si="158">E2064*1.4</f>
        <v>11881.899137797922</v>
      </c>
      <c r="H2064" s="8">
        <f t="shared" ref="H2064:H2128" si="159">E2064*1.5</f>
        <v>12730.606219069203</v>
      </c>
      <c r="I2064" s="9">
        <f t="shared" ref="I2064:I2128" si="160">E2064*1.6</f>
        <v>13579.313300340484</v>
      </c>
    </row>
    <row r="2065" spans="1:9" ht="18" x14ac:dyDescent="0.4">
      <c r="A2065" s="43">
        <v>2031</v>
      </c>
      <c r="B2065" s="44" t="s">
        <v>5824</v>
      </c>
      <c r="C2065" s="29">
        <v>45737</v>
      </c>
      <c r="D2065" s="11">
        <v>7747.0430184000015</v>
      </c>
      <c r="E2065" s="27">
        <f t="shared" si="156"/>
        <v>8624.0082880828813</v>
      </c>
      <c r="F2065" s="6">
        <f t="shared" si="157"/>
        <v>11211.210774507746</v>
      </c>
      <c r="G2065" s="7">
        <f t="shared" si="158"/>
        <v>12073.611603316032</v>
      </c>
      <c r="H2065" s="8">
        <f t="shared" si="159"/>
        <v>12936.012432124322</v>
      </c>
      <c r="I2065" s="9">
        <f t="shared" si="160"/>
        <v>13798.413260932612</v>
      </c>
    </row>
    <row r="2066" spans="1:9" ht="18" x14ac:dyDescent="0.4">
      <c r="A2066" s="43" t="s">
        <v>335</v>
      </c>
      <c r="B2066" s="44" t="s">
        <v>5825</v>
      </c>
      <c r="C2066" s="29">
        <v>45737</v>
      </c>
      <c r="D2066" s="11">
        <v>7926.5140542000017</v>
      </c>
      <c r="E2066" s="27">
        <f t="shared" si="156"/>
        <v>8823.7954451354417</v>
      </c>
      <c r="F2066" s="6">
        <f t="shared" si="157"/>
        <v>11470.934078676075</v>
      </c>
      <c r="G2066" s="7">
        <f t="shared" si="158"/>
        <v>12353.313623189617</v>
      </c>
      <c r="H2066" s="8">
        <f t="shared" si="159"/>
        <v>13235.693167703163</v>
      </c>
      <c r="I2066" s="9">
        <f t="shared" si="160"/>
        <v>14118.072712216708</v>
      </c>
    </row>
    <row r="2067" spans="1:9" ht="18" x14ac:dyDescent="0.4">
      <c r="A2067" s="43">
        <v>2032</v>
      </c>
      <c r="B2067" s="44" t="s">
        <v>5826</v>
      </c>
      <c r="C2067" s="29">
        <v>45737</v>
      </c>
      <c r="D2067" s="11">
        <v>6188.2380000000003</v>
      </c>
      <c r="E2067" s="27">
        <f t="shared" si="156"/>
        <v>6888.7465416000005</v>
      </c>
      <c r="F2067" s="6">
        <f t="shared" si="157"/>
        <v>8955.3705040800014</v>
      </c>
      <c r="G2067" s="7">
        <f t="shared" si="158"/>
        <v>9644.2451582400008</v>
      </c>
      <c r="H2067" s="8">
        <f t="shared" si="159"/>
        <v>10333.1198124</v>
      </c>
      <c r="I2067" s="9">
        <f t="shared" si="160"/>
        <v>11021.994466560001</v>
      </c>
    </row>
    <row r="2068" spans="1:9" x14ac:dyDescent="0.35">
      <c r="A2068" s="43" t="s">
        <v>336</v>
      </c>
      <c r="B2068" s="44" t="s">
        <v>337</v>
      </c>
      <c r="C2068" s="29">
        <v>45737</v>
      </c>
      <c r="D2068" s="11">
        <v>8192.1350700000021</v>
      </c>
      <c r="E2068" s="27">
        <f t="shared" si="156"/>
        <v>9119.484759924002</v>
      </c>
      <c r="F2068" s="6">
        <f t="shared" si="157"/>
        <v>11855.330187901203</v>
      </c>
      <c r="G2068" s="7">
        <f t="shared" si="158"/>
        <v>12767.278663893601</v>
      </c>
      <c r="H2068" s="8">
        <f t="shared" si="159"/>
        <v>13679.227139886003</v>
      </c>
      <c r="I2068" s="9">
        <f t="shared" si="160"/>
        <v>14591.175615878405</v>
      </c>
    </row>
    <row r="2069" spans="1:9" x14ac:dyDescent="0.35">
      <c r="A2069" s="43" t="s">
        <v>338</v>
      </c>
      <c r="B2069" s="44" t="s">
        <v>2187</v>
      </c>
      <c r="C2069" s="29">
        <v>45737</v>
      </c>
      <c r="D2069" s="11">
        <v>8192.1350700000021</v>
      </c>
      <c r="E2069" s="27">
        <f t="shared" si="156"/>
        <v>9119.484759924002</v>
      </c>
      <c r="F2069" s="6">
        <f t="shared" si="157"/>
        <v>11855.330187901203</v>
      </c>
      <c r="G2069" s="7">
        <f t="shared" si="158"/>
        <v>12767.278663893601</v>
      </c>
      <c r="H2069" s="8">
        <f t="shared" si="159"/>
        <v>13679.227139886003</v>
      </c>
      <c r="I2069" s="9">
        <f t="shared" si="160"/>
        <v>14591.175615878405</v>
      </c>
    </row>
    <row r="2070" spans="1:9" ht="18" x14ac:dyDescent="0.4">
      <c r="A2070" s="45">
        <v>2033</v>
      </c>
      <c r="B2070" s="46" t="s">
        <v>1711</v>
      </c>
      <c r="C2070" s="29">
        <v>45737</v>
      </c>
      <c r="D2070" s="11">
        <v>6381.298891800001</v>
      </c>
      <c r="E2070" s="27">
        <f t="shared" si="156"/>
        <v>7103.6619263517614</v>
      </c>
      <c r="F2070" s="6">
        <f t="shared" si="157"/>
        <v>9234.7605042572904</v>
      </c>
      <c r="G2070" s="7">
        <f t="shared" si="158"/>
        <v>9945.1266968924647</v>
      </c>
      <c r="H2070" s="8">
        <f t="shared" si="159"/>
        <v>10655.492889527643</v>
      </c>
      <c r="I2070" s="9">
        <f t="shared" si="160"/>
        <v>11365.859082162819</v>
      </c>
    </row>
    <row r="2071" spans="1:9" ht="18" x14ac:dyDescent="0.4">
      <c r="A2071" s="43">
        <v>2041</v>
      </c>
      <c r="B2071" s="44" t="s">
        <v>5827</v>
      </c>
      <c r="C2071" s="29">
        <v>45737</v>
      </c>
      <c r="D2071" s="11">
        <v>4935.7871640000012</v>
      </c>
      <c r="E2071" s="27">
        <f t="shared" si="156"/>
        <v>5494.5182709648016</v>
      </c>
      <c r="F2071" s="6">
        <f t="shared" si="157"/>
        <v>7142.8737522542424</v>
      </c>
      <c r="G2071" s="7">
        <f t="shared" si="158"/>
        <v>7692.3255793507215</v>
      </c>
      <c r="H2071" s="8">
        <f t="shared" si="159"/>
        <v>8241.7774064472032</v>
      </c>
      <c r="I2071" s="9">
        <f t="shared" si="160"/>
        <v>8791.2292335436832</v>
      </c>
    </row>
    <row r="2072" spans="1:9" ht="18" x14ac:dyDescent="0.4">
      <c r="A2072" s="43" t="s">
        <v>2188</v>
      </c>
      <c r="B2072" s="44" t="s">
        <v>5828</v>
      </c>
      <c r="C2072" s="29">
        <v>45737</v>
      </c>
      <c r="D2072" s="11">
        <v>4975.8287040000005</v>
      </c>
      <c r="E2072" s="27">
        <f t="shared" si="156"/>
        <v>5539.0925132928005</v>
      </c>
      <c r="F2072" s="6">
        <f t="shared" si="157"/>
        <v>7200.820267280641</v>
      </c>
      <c r="G2072" s="7">
        <f t="shared" si="158"/>
        <v>7754.72951860992</v>
      </c>
      <c r="H2072" s="8">
        <f t="shared" si="159"/>
        <v>8308.6387699391998</v>
      </c>
      <c r="I2072" s="9">
        <f t="shared" si="160"/>
        <v>8862.5480212684815</v>
      </c>
    </row>
    <row r="2073" spans="1:9" ht="18" x14ac:dyDescent="0.4">
      <c r="A2073" s="43" t="s">
        <v>2189</v>
      </c>
      <c r="B2073" s="44" t="s">
        <v>5829</v>
      </c>
      <c r="C2073" s="29">
        <v>45737</v>
      </c>
      <c r="D2073" s="11">
        <v>4975.8287040000005</v>
      </c>
      <c r="E2073" s="27">
        <f t="shared" si="156"/>
        <v>5539.0925132928005</v>
      </c>
      <c r="F2073" s="6">
        <f t="shared" si="157"/>
        <v>7200.820267280641</v>
      </c>
      <c r="G2073" s="7">
        <f t="shared" si="158"/>
        <v>7754.72951860992</v>
      </c>
      <c r="H2073" s="8">
        <f t="shared" si="159"/>
        <v>8308.6387699391998</v>
      </c>
      <c r="I2073" s="9">
        <f t="shared" si="160"/>
        <v>8862.5480212684815</v>
      </c>
    </row>
    <row r="2074" spans="1:9" x14ac:dyDescent="0.35">
      <c r="A2074" s="43" t="s">
        <v>2190</v>
      </c>
      <c r="B2074" s="44" t="s">
        <v>2191</v>
      </c>
      <c r="C2074" s="29">
        <v>45737</v>
      </c>
      <c r="D2074" s="11">
        <v>11761.158868200002</v>
      </c>
      <c r="E2074" s="27">
        <f t="shared" si="156"/>
        <v>13092.522052080243</v>
      </c>
      <c r="F2074" s="6">
        <f t="shared" si="157"/>
        <v>17020.278667704315</v>
      </c>
      <c r="G2074" s="7">
        <f t="shared" si="158"/>
        <v>18329.530872912339</v>
      </c>
      <c r="H2074" s="8">
        <f t="shared" si="159"/>
        <v>19638.783078120367</v>
      </c>
      <c r="I2074" s="9">
        <f t="shared" si="160"/>
        <v>20948.035283328391</v>
      </c>
    </row>
    <row r="2075" spans="1:9" ht="18" x14ac:dyDescent="0.4">
      <c r="A2075" s="43" t="s">
        <v>6429</v>
      </c>
      <c r="B2075" s="44" t="s">
        <v>5830</v>
      </c>
      <c r="C2075" s="29">
        <v>45737</v>
      </c>
      <c r="D2075" s="11">
        <v>8967.3635520000007</v>
      </c>
      <c r="E2075" s="27">
        <f t="shared" si="156"/>
        <v>9982.4691060864006</v>
      </c>
      <c r="F2075" s="6">
        <f t="shared" si="157"/>
        <v>12977.209837912322</v>
      </c>
      <c r="G2075" s="7">
        <f t="shared" si="158"/>
        <v>13975.456748520961</v>
      </c>
      <c r="H2075" s="8">
        <f t="shared" si="159"/>
        <v>14973.703659129602</v>
      </c>
      <c r="I2075" s="9">
        <f t="shared" si="160"/>
        <v>15971.950569738241</v>
      </c>
    </row>
    <row r="2076" spans="1:9" x14ac:dyDescent="0.35">
      <c r="A2076" s="43" t="s">
        <v>6430</v>
      </c>
      <c r="B2076" s="44" t="s">
        <v>3372</v>
      </c>
      <c r="C2076" s="29">
        <v>45737</v>
      </c>
      <c r="D2076" s="11">
        <v>10291.585815000002</v>
      </c>
      <c r="E2076" s="27">
        <f t="shared" si="156"/>
        <v>11456.593329258001</v>
      </c>
      <c r="F2076" s="6">
        <f t="shared" si="157"/>
        <v>14893.571328035401</v>
      </c>
      <c r="G2076" s="7">
        <f t="shared" si="158"/>
        <v>16039.230660961201</v>
      </c>
      <c r="H2076" s="8">
        <f t="shared" si="159"/>
        <v>17184.889993887002</v>
      </c>
      <c r="I2076" s="9">
        <f t="shared" si="160"/>
        <v>18330.549326812801</v>
      </c>
    </row>
    <row r="2077" spans="1:9" x14ac:dyDescent="0.35">
      <c r="A2077" s="43" t="s">
        <v>6431</v>
      </c>
      <c r="B2077" s="44" t="s">
        <v>3373</v>
      </c>
      <c r="C2077" s="29">
        <v>45737</v>
      </c>
      <c r="D2077" s="11">
        <v>11216.072170800002</v>
      </c>
      <c r="E2077" s="27">
        <f t="shared" si="156"/>
        <v>12485.731540534562</v>
      </c>
      <c r="F2077" s="6">
        <f t="shared" si="157"/>
        <v>16231.45100269493</v>
      </c>
      <c r="G2077" s="7">
        <f t="shared" si="158"/>
        <v>17480.024156748386</v>
      </c>
      <c r="H2077" s="8">
        <f t="shared" si="159"/>
        <v>18728.597310801844</v>
      </c>
      <c r="I2077" s="9">
        <f t="shared" si="160"/>
        <v>19977.170464855299</v>
      </c>
    </row>
    <row r="2078" spans="1:9" x14ac:dyDescent="0.35">
      <c r="A2078" s="43" t="s">
        <v>6432</v>
      </c>
      <c r="B2078" s="44" t="s">
        <v>3374</v>
      </c>
      <c r="C2078" s="29">
        <v>45737</v>
      </c>
      <c r="D2078" s="11">
        <v>12140.594928000002</v>
      </c>
      <c r="E2078" s="27">
        <f t="shared" si="156"/>
        <v>13514.910273849604</v>
      </c>
      <c r="F2078" s="6">
        <f t="shared" si="157"/>
        <v>17569.383356004484</v>
      </c>
      <c r="G2078" s="7">
        <f t="shared" si="158"/>
        <v>18920.874383389444</v>
      </c>
      <c r="H2078" s="8">
        <f t="shared" si="159"/>
        <v>20272.365410774408</v>
      </c>
      <c r="I2078" s="9">
        <f t="shared" si="160"/>
        <v>21623.856438159368</v>
      </c>
    </row>
    <row r="2079" spans="1:9" x14ac:dyDescent="0.35">
      <c r="A2079" s="43" t="s">
        <v>6433</v>
      </c>
      <c r="B2079" s="44" t="s">
        <v>3375</v>
      </c>
      <c r="C2079" s="29">
        <v>45737</v>
      </c>
      <c r="D2079" s="11">
        <v>8967.3635520000007</v>
      </c>
      <c r="E2079" s="27">
        <f t="shared" si="156"/>
        <v>9982.4691060864006</v>
      </c>
      <c r="F2079" s="6">
        <f t="shared" si="157"/>
        <v>12977.209837912322</v>
      </c>
      <c r="G2079" s="7">
        <f t="shared" si="158"/>
        <v>13975.456748520961</v>
      </c>
      <c r="H2079" s="8">
        <f t="shared" si="159"/>
        <v>14973.703659129602</v>
      </c>
      <c r="I2079" s="9">
        <f t="shared" si="160"/>
        <v>15971.950569738241</v>
      </c>
    </row>
    <row r="2080" spans="1:9" ht="18" x14ac:dyDescent="0.4">
      <c r="A2080" s="43" t="s">
        <v>2192</v>
      </c>
      <c r="B2080" s="44" t="s">
        <v>5831</v>
      </c>
      <c r="C2080" s="29">
        <v>45737</v>
      </c>
      <c r="D2080" s="11">
        <v>11183.007565800002</v>
      </c>
      <c r="E2080" s="27">
        <f t="shared" si="156"/>
        <v>12448.924022248564</v>
      </c>
      <c r="F2080" s="6">
        <f t="shared" si="157"/>
        <v>16183.601228923135</v>
      </c>
      <c r="G2080" s="7">
        <f t="shared" si="158"/>
        <v>17428.493631147987</v>
      </c>
      <c r="H2080" s="8">
        <f t="shared" si="159"/>
        <v>18673.386033372844</v>
      </c>
      <c r="I2080" s="9">
        <f t="shared" si="160"/>
        <v>19918.278435597706</v>
      </c>
    </row>
    <row r="2081" spans="1:9" ht="18" x14ac:dyDescent="0.4">
      <c r="A2081" s="43">
        <v>2042</v>
      </c>
      <c r="B2081" s="44" t="s">
        <v>5832</v>
      </c>
      <c r="C2081" s="29">
        <v>45737</v>
      </c>
      <c r="D2081" s="11">
        <v>10291.464477000001</v>
      </c>
      <c r="E2081" s="27">
        <f t="shared" si="156"/>
        <v>11456.458255796402</v>
      </c>
      <c r="F2081" s="6">
        <f t="shared" si="157"/>
        <v>14893.395732535324</v>
      </c>
      <c r="G2081" s="7">
        <f t="shared" si="158"/>
        <v>16039.041558114963</v>
      </c>
      <c r="H2081" s="8">
        <f t="shared" si="159"/>
        <v>17184.687383694603</v>
      </c>
      <c r="I2081" s="9">
        <f t="shared" si="160"/>
        <v>18330.333209274246</v>
      </c>
    </row>
    <row r="2082" spans="1:9" x14ac:dyDescent="0.35">
      <c r="A2082" s="43" t="s">
        <v>3370</v>
      </c>
      <c r="B2082" s="44" t="s">
        <v>3371</v>
      </c>
      <c r="C2082" s="29">
        <v>45737</v>
      </c>
      <c r="D2082" s="11">
        <v>9706.9186620000019</v>
      </c>
      <c r="E2082" s="27">
        <f t="shared" si="156"/>
        <v>10805.741854538401</v>
      </c>
      <c r="F2082" s="6">
        <f t="shared" si="157"/>
        <v>14047.464410899922</v>
      </c>
      <c r="G2082" s="7">
        <f t="shared" si="158"/>
        <v>15128.038596353759</v>
      </c>
      <c r="H2082" s="8">
        <f t="shared" si="159"/>
        <v>16208.612781807602</v>
      </c>
      <c r="I2082" s="9">
        <f t="shared" si="160"/>
        <v>17289.186967261441</v>
      </c>
    </row>
    <row r="2083" spans="1:9" ht="18" x14ac:dyDescent="0.4">
      <c r="A2083" s="43" t="s">
        <v>6434</v>
      </c>
      <c r="B2083" s="44" t="s">
        <v>5833</v>
      </c>
      <c r="C2083" s="29">
        <v>45737</v>
      </c>
      <c r="D2083" s="11">
        <v>5311.3889430000008</v>
      </c>
      <c r="E2083" s="27">
        <f t="shared" si="156"/>
        <v>5912.6381713476003</v>
      </c>
      <c r="F2083" s="6">
        <f t="shared" si="157"/>
        <v>7686.4296227518807</v>
      </c>
      <c r="G2083" s="7">
        <f t="shared" si="158"/>
        <v>8277.6934398866397</v>
      </c>
      <c r="H2083" s="8">
        <f t="shared" si="159"/>
        <v>8868.9572570214004</v>
      </c>
      <c r="I2083" s="9">
        <f t="shared" si="160"/>
        <v>9460.2210741561612</v>
      </c>
    </row>
    <row r="2084" spans="1:9" ht="18" x14ac:dyDescent="0.4">
      <c r="A2084" s="43">
        <v>2043</v>
      </c>
      <c r="B2084" s="44" t="s">
        <v>5834</v>
      </c>
      <c r="C2084" s="29">
        <v>45737</v>
      </c>
      <c r="D2084" s="11">
        <v>6414.8973840000017</v>
      </c>
      <c r="E2084" s="27">
        <f t="shared" si="156"/>
        <v>7141.0637678688017</v>
      </c>
      <c r="F2084" s="6">
        <f t="shared" si="157"/>
        <v>9283.3828982294417</v>
      </c>
      <c r="G2084" s="7">
        <f t="shared" si="158"/>
        <v>9997.4892750163217</v>
      </c>
      <c r="H2084" s="8">
        <f t="shared" si="159"/>
        <v>10711.595651803204</v>
      </c>
      <c r="I2084" s="9">
        <f t="shared" si="160"/>
        <v>11425.702028590084</v>
      </c>
    </row>
    <row r="2085" spans="1:9" x14ac:dyDescent="0.35">
      <c r="A2085" s="43" t="s">
        <v>4619</v>
      </c>
      <c r="B2085" s="44" t="s">
        <v>4620</v>
      </c>
      <c r="C2085" s="29">
        <v>45737</v>
      </c>
      <c r="D2085" s="11">
        <v>7261.6910184000017</v>
      </c>
      <c r="E2085" s="27">
        <f t="shared" si="156"/>
        <v>8083.7144416828824</v>
      </c>
      <c r="F2085" s="6">
        <f t="shared" si="157"/>
        <v>10508.828774187747</v>
      </c>
      <c r="G2085" s="7">
        <f t="shared" si="158"/>
        <v>11317.200218356034</v>
      </c>
      <c r="H2085" s="8">
        <f t="shared" si="159"/>
        <v>12125.571662524324</v>
      </c>
      <c r="I2085" s="9">
        <f t="shared" si="160"/>
        <v>12933.943106692612</v>
      </c>
    </row>
    <row r="2086" spans="1:9" x14ac:dyDescent="0.35">
      <c r="A2086" s="43">
        <v>2044</v>
      </c>
      <c r="B2086" s="44" t="s">
        <v>636</v>
      </c>
      <c r="C2086" s="29">
        <v>45737</v>
      </c>
      <c r="D2086" s="11">
        <v>6698.2216140000019</v>
      </c>
      <c r="E2086" s="27">
        <f t="shared" si="156"/>
        <v>7456.4603007048026</v>
      </c>
      <c r="F2086" s="6">
        <f t="shared" si="157"/>
        <v>9693.3983909162434</v>
      </c>
      <c r="G2086" s="7">
        <f t="shared" si="158"/>
        <v>10439.044420986724</v>
      </c>
      <c r="H2086" s="8">
        <f t="shared" si="159"/>
        <v>11184.690451057204</v>
      </c>
      <c r="I2086" s="9">
        <f t="shared" si="160"/>
        <v>11930.336481127684</v>
      </c>
    </row>
    <row r="2087" spans="1:9" x14ac:dyDescent="0.35">
      <c r="A2087" s="43" t="s">
        <v>2193</v>
      </c>
      <c r="B2087" s="44" t="s">
        <v>2194</v>
      </c>
      <c r="C2087" s="29">
        <v>45737</v>
      </c>
      <c r="D2087" s="11">
        <v>10975.410381600002</v>
      </c>
      <c r="E2087" s="27">
        <f t="shared" si="156"/>
        <v>12217.826836797123</v>
      </c>
      <c r="F2087" s="6">
        <f t="shared" si="157"/>
        <v>15883.174887836261</v>
      </c>
      <c r="G2087" s="7">
        <f t="shared" si="158"/>
        <v>17104.95757151597</v>
      </c>
      <c r="H2087" s="8">
        <f t="shared" si="159"/>
        <v>18326.740255195684</v>
      </c>
      <c r="I2087" s="9">
        <f t="shared" si="160"/>
        <v>19548.522938875398</v>
      </c>
    </row>
    <row r="2088" spans="1:9" ht="18" x14ac:dyDescent="0.4">
      <c r="A2088" s="43" t="s">
        <v>3311</v>
      </c>
      <c r="B2088" s="44" t="s">
        <v>5835</v>
      </c>
      <c r="C2088" s="29">
        <v>45737</v>
      </c>
      <c r="D2088" s="11">
        <v>12259.384830000001</v>
      </c>
      <c r="E2088" s="27">
        <f t="shared" si="156"/>
        <v>13647.147192756</v>
      </c>
      <c r="F2088" s="6">
        <f t="shared" si="157"/>
        <v>17741.2913505828</v>
      </c>
      <c r="G2088" s="7">
        <f t="shared" si="158"/>
        <v>19106.006069858398</v>
      </c>
      <c r="H2088" s="8">
        <f t="shared" si="159"/>
        <v>20470.720789134</v>
      </c>
      <c r="I2088" s="9">
        <f t="shared" si="160"/>
        <v>21835.435508409602</v>
      </c>
    </row>
    <row r="2089" spans="1:9" ht="18" x14ac:dyDescent="0.4">
      <c r="A2089" s="43" t="s">
        <v>2195</v>
      </c>
      <c r="B2089" s="44" t="s">
        <v>5836</v>
      </c>
      <c r="C2089" s="29">
        <v>45737</v>
      </c>
      <c r="D2089" s="11">
        <v>11497.831140600003</v>
      </c>
      <c r="E2089" s="27">
        <f t="shared" si="156"/>
        <v>12799.385625715922</v>
      </c>
      <c r="F2089" s="6">
        <f t="shared" si="157"/>
        <v>16639.201313430698</v>
      </c>
      <c r="G2089" s="7">
        <f t="shared" si="158"/>
        <v>17919.139876002289</v>
      </c>
      <c r="H2089" s="8">
        <f t="shared" si="159"/>
        <v>19199.078438573884</v>
      </c>
      <c r="I2089" s="9">
        <f t="shared" si="160"/>
        <v>20479.017001145476</v>
      </c>
    </row>
    <row r="2090" spans="1:9" ht="18" x14ac:dyDescent="0.4">
      <c r="A2090" s="43" t="s">
        <v>2196</v>
      </c>
      <c r="B2090" s="44" t="s">
        <v>5837</v>
      </c>
      <c r="C2090" s="29">
        <v>45737</v>
      </c>
      <c r="D2090" s="11">
        <v>13137.022584</v>
      </c>
      <c r="E2090" s="27">
        <f t="shared" si="156"/>
        <v>14624.133540508801</v>
      </c>
      <c r="F2090" s="6">
        <f t="shared" si="157"/>
        <v>19011.373602661442</v>
      </c>
      <c r="G2090" s="7">
        <f t="shared" si="158"/>
        <v>20473.78695671232</v>
      </c>
      <c r="H2090" s="8">
        <f t="shared" si="159"/>
        <v>21936.200310763201</v>
      </c>
      <c r="I2090" s="9">
        <f t="shared" si="160"/>
        <v>23398.613664814082</v>
      </c>
    </row>
    <row r="2091" spans="1:9" x14ac:dyDescent="0.35">
      <c r="A2091" s="43" t="s">
        <v>2197</v>
      </c>
      <c r="B2091" s="44" t="s">
        <v>2198</v>
      </c>
      <c r="C2091" s="29">
        <v>45737</v>
      </c>
      <c r="D2091" s="11">
        <v>10363.357242</v>
      </c>
      <c r="E2091" s="27">
        <f t="shared" si="156"/>
        <v>11536.4892817944</v>
      </c>
      <c r="F2091" s="6">
        <f t="shared" si="157"/>
        <v>14997.436066332721</v>
      </c>
      <c r="G2091" s="7">
        <f t="shared" si="158"/>
        <v>16151.084994512159</v>
      </c>
      <c r="H2091" s="8">
        <f t="shared" si="159"/>
        <v>17304.733922691601</v>
      </c>
      <c r="I2091" s="9">
        <f t="shared" si="160"/>
        <v>18458.382850871039</v>
      </c>
    </row>
    <row r="2092" spans="1:9" x14ac:dyDescent="0.35">
      <c r="A2092" s="43" t="s">
        <v>2199</v>
      </c>
      <c r="B2092" s="44" t="s">
        <v>2200</v>
      </c>
      <c r="C2092" s="29">
        <v>45737</v>
      </c>
      <c r="D2092" s="11">
        <v>10707.714486000003</v>
      </c>
      <c r="E2092" s="27">
        <f t="shared" si="156"/>
        <v>11919.827765815202</v>
      </c>
      <c r="F2092" s="6">
        <f t="shared" si="157"/>
        <v>15495.776095559762</v>
      </c>
      <c r="G2092" s="7">
        <f t="shared" si="158"/>
        <v>16687.758872141283</v>
      </c>
      <c r="H2092" s="8">
        <f t="shared" si="159"/>
        <v>17879.741648722804</v>
      </c>
      <c r="I2092" s="9">
        <f t="shared" si="160"/>
        <v>19071.724425304325</v>
      </c>
    </row>
    <row r="2093" spans="1:9" x14ac:dyDescent="0.35">
      <c r="A2093" s="43" t="s">
        <v>3366</v>
      </c>
      <c r="B2093" s="44" t="s">
        <v>3368</v>
      </c>
      <c r="C2093" s="29">
        <v>45737</v>
      </c>
      <c r="D2093" s="11">
        <v>11216.484720000002</v>
      </c>
      <c r="E2093" s="27">
        <f t="shared" si="156"/>
        <v>12486.190790304003</v>
      </c>
      <c r="F2093" s="6">
        <f t="shared" si="157"/>
        <v>16232.048027395203</v>
      </c>
      <c r="G2093" s="7">
        <f t="shared" si="158"/>
        <v>17480.667106425604</v>
      </c>
      <c r="H2093" s="8">
        <f t="shared" si="159"/>
        <v>18729.286185456003</v>
      </c>
      <c r="I2093" s="9">
        <f t="shared" si="160"/>
        <v>19977.905264486406</v>
      </c>
    </row>
    <row r="2094" spans="1:9" x14ac:dyDescent="0.35">
      <c r="A2094" s="43" t="s">
        <v>3367</v>
      </c>
      <c r="B2094" s="44" t="s">
        <v>3369</v>
      </c>
      <c r="C2094" s="29">
        <v>45737</v>
      </c>
      <c r="D2094" s="11">
        <v>10077.120900000002</v>
      </c>
      <c r="E2094" s="27">
        <f t="shared" si="156"/>
        <v>11217.850985880003</v>
      </c>
      <c r="F2094" s="6">
        <f t="shared" si="157"/>
        <v>14583.206281644003</v>
      </c>
      <c r="G2094" s="7">
        <f t="shared" si="158"/>
        <v>15704.991380232002</v>
      </c>
      <c r="H2094" s="8">
        <f t="shared" si="159"/>
        <v>16826.776478820004</v>
      </c>
      <c r="I2094" s="9">
        <f t="shared" si="160"/>
        <v>17948.561577408003</v>
      </c>
    </row>
    <row r="2095" spans="1:9" ht="18" x14ac:dyDescent="0.4">
      <c r="A2095" s="43">
        <v>2045</v>
      </c>
      <c r="B2095" s="44" t="s">
        <v>5838</v>
      </c>
      <c r="C2095" s="29">
        <v>45737</v>
      </c>
      <c r="D2095" s="11">
        <v>5566.8661020000009</v>
      </c>
      <c r="E2095" s="27">
        <f t="shared" si="156"/>
        <v>6197.0353447464013</v>
      </c>
      <c r="F2095" s="6">
        <f t="shared" si="157"/>
        <v>8056.1459481703223</v>
      </c>
      <c r="G2095" s="7">
        <f t="shared" si="158"/>
        <v>8675.8494826449605</v>
      </c>
      <c r="H2095" s="8">
        <f t="shared" si="159"/>
        <v>9295.5530171196024</v>
      </c>
      <c r="I2095" s="9">
        <f t="shared" si="160"/>
        <v>9915.2565515942424</v>
      </c>
    </row>
    <row r="2096" spans="1:9" ht="18" x14ac:dyDescent="0.4">
      <c r="A2096" s="43" t="s">
        <v>1712</v>
      </c>
      <c r="B2096" s="44" t="s">
        <v>5839</v>
      </c>
      <c r="C2096" s="29">
        <v>45737</v>
      </c>
      <c r="D2096" s="11">
        <v>5767.6804919999995</v>
      </c>
      <c r="E2096" s="27">
        <f t="shared" si="156"/>
        <v>6420.5819236943998</v>
      </c>
      <c r="F2096" s="6">
        <f t="shared" si="157"/>
        <v>8346.7565008027195</v>
      </c>
      <c r="G2096" s="7">
        <f t="shared" si="158"/>
        <v>8988.8146931721585</v>
      </c>
      <c r="H2096" s="8">
        <f t="shared" si="159"/>
        <v>9630.8728855415993</v>
      </c>
      <c r="I2096" s="9">
        <f t="shared" si="160"/>
        <v>10272.93107791104</v>
      </c>
    </row>
    <row r="2097" spans="1:9" ht="18" x14ac:dyDescent="0.4">
      <c r="A2097" s="43">
        <v>2047</v>
      </c>
      <c r="B2097" s="44" t="s">
        <v>5840</v>
      </c>
      <c r="C2097" s="29">
        <v>45737</v>
      </c>
      <c r="D2097" s="11">
        <v>5642.2170000000006</v>
      </c>
      <c r="E2097" s="27">
        <f t="shared" si="156"/>
        <v>6280.915964400001</v>
      </c>
      <c r="F2097" s="6">
        <f t="shared" si="157"/>
        <v>8165.1907537200013</v>
      </c>
      <c r="G2097" s="7">
        <f t="shared" si="158"/>
        <v>8793.2823501600014</v>
      </c>
      <c r="H2097" s="8">
        <f t="shared" si="159"/>
        <v>9421.3739466000006</v>
      </c>
      <c r="I2097" s="9">
        <f t="shared" si="160"/>
        <v>10049.465543040002</v>
      </c>
    </row>
    <row r="2098" spans="1:9" x14ac:dyDescent="0.35">
      <c r="A2098" s="43" t="s">
        <v>2201</v>
      </c>
      <c r="B2098" s="44" t="s">
        <v>2202</v>
      </c>
      <c r="C2098" s="29">
        <v>45737</v>
      </c>
      <c r="D2098" s="11">
        <v>4388.7954600000012</v>
      </c>
      <c r="E2098" s="27">
        <f t="shared" si="156"/>
        <v>4885.6071060720014</v>
      </c>
      <c r="F2098" s="6">
        <f t="shared" si="157"/>
        <v>6351.2892378936021</v>
      </c>
      <c r="G2098" s="7">
        <f t="shared" si="158"/>
        <v>6839.8499485008015</v>
      </c>
      <c r="H2098" s="8">
        <f t="shared" si="159"/>
        <v>7328.4106591080017</v>
      </c>
      <c r="I2098" s="9">
        <f t="shared" si="160"/>
        <v>7816.9713697152029</v>
      </c>
    </row>
    <row r="2099" spans="1:9" ht="18" x14ac:dyDescent="0.4">
      <c r="A2099" s="43">
        <v>2048</v>
      </c>
      <c r="B2099" s="44" t="s">
        <v>5841</v>
      </c>
      <c r="C2099" s="29">
        <v>45737</v>
      </c>
      <c r="D2099" s="11">
        <v>4814.8131780000003</v>
      </c>
      <c r="E2099" s="27">
        <f t="shared" si="156"/>
        <v>5359.8500297496003</v>
      </c>
      <c r="F2099" s="6">
        <f t="shared" si="157"/>
        <v>6967.8050386744808</v>
      </c>
      <c r="G2099" s="7">
        <f t="shared" si="158"/>
        <v>7503.7900416494394</v>
      </c>
      <c r="H2099" s="8">
        <f t="shared" si="159"/>
        <v>8039.7750446244008</v>
      </c>
      <c r="I2099" s="9">
        <f t="shared" si="160"/>
        <v>8575.7600475993604</v>
      </c>
    </row>
    <row r="2100" spans="1:9" ht="18" x14ac:dyDescent="0.4">
      <c r="A2100" s="43" t="s">
        <v>2203</v>
      </c>
      <c r="B2100" s="44" t="s">
        <v>5842</v>
      </c>
      <c r="C2100" s="29">
        <v>45737</v>
      </c>
      <c r="D2100" s="11">
        <v>6398.1527400000014</v>
      </c>
      <c r="E2100" s="27">
        <f t="shared" si="156"/>
        <v>7122.4236301680021</v>
      </c>
      <c r="F2100" s="6">
        <f t="shared" si="157"/>
        <v>9259.1507192184035</v>
      </c>
      <c r="G2100" s="7">
        <f t="shared" si="158"/>
        <v>9971.3930822352031</v>
      </c>
      <c r="H2100" s="8">
        <f t="shared" si="159"/>
        <v>10683.635445252003</v>
      </c>
      <c r="I2100" s="9">
        <f t="shared" si="160"/>
        <v>11395.877808268804</v>
      </c>
    </row>
    <row r="2101" spans="1:9" ht="18" x14ac:dyDescent="0.4">
      <c r="A2101" s="45">
        <v>2049</v>
      </c>
      <c r="B2101" s="46" t="s">
        <v>1713</v>
      </c>
      <c r="C2101" s="29">
        <v>45737</v>
      </c>
      <c r="D2101" s="11">
        <v>3831.7327020000007</v>
      </c>
      <c r="E2101" s="27">
        <f t="shared" si="156"/>
        <v>4265.4848438664003</v>
      </c>
      <c r="F2101" s="6">
        <f t="shared" si="157"/>
        <v>5545.1302970263205</v>
      </c>
      <c r="G2101" s="7">
        <f t="shared" si="158"/>
        <v>5971.6787814129602</v>
      </c>
      <c r="H2101" s="8">
        <f t="shared" si="159"/>
        <v>6398.2272657996</v>
      </c>
      <c r="I2101" s="9">
        <f t="shared" si="160"/>
        <v>6824.7757501862407</v>
      </c>
    </row>
    <row r="2102" spans="1:9" ht="18" x14ac:dyDescent="0.4">
      <c r="A2102" s="45" t="s">
        <v>6435</v>
      </c>
      <c r="B2102" s="46" t="s">
        <v>6436</v>
      </c>
      <c r="C2102" s="29">
        <v>45737</v>
      </c>
      <c r="D2102" s="11">
        <v>3427.1918100000003</v>
      </c>
      <c r="E2102" s="27">
        <f t="shared" si="156"/>
        <v>3815.1499228920006</v>
      </c>
      <c r="F2102" s="6">
        <f t="shared" si="157"/>
        <v>4959.694899759601</v>
      </c>
      <c r="G2102" s="7">
        <f t="shared" si="158"/>
        <v>5341.2098920488006</v>
      </c>
      <c r="H2102" s="8">
        <f t="shared" si="159"/>
        <v>5722.7248843380012</v>
      </c>
      <c r="I2102" s="9">
        <f t="shared" si="160"/>
        <v>6104.2398766272017</v>
      </c>
    </row>
    <row r="2103" spans="1:9" ht="18" x14ac:dyDescent="0.4">
      <c r="A2103" s="43">
        <v>2050</v>
      </c>
      <c r="B2103" s="44" t="s">
        <v>5843</v>
      </c>
      <c r="C2103" s="29">
        <v>45737</v>
      </c>
      <c r="D2103" s="11">
        <v>7072.1853300000012</v>
      </c>
      <c r="E2103" s="27">
        <f t="shared" si="156"/>
        <v>7872.7567093560019</v>
      </c>
      <c r="F2103" s="6">
        <f t="shared" si="157"/>
        <v>10234.583722162803</v>
      </c>
      <c r="G2103" s="7">
        <f t="shared" si="158"/>
        <v>11021.859393098403</v>
      </c>
      <c r="H2103" s="8">
        <f t="shared" si="159"/>
        <v>11809.135064034002</v>
      </c>
      <c r="I2103" s="9">
        <f t="shared" si="160"/>
        <v>12596.410734969604</v>
      </c>
    </row>
    <row r="2104" spans="1:9" ht="18" x14ac:dyDescent="0.4">
      <c r="A2104" s="43">
        <v>2051</v>
      </c>
      <c r="B2104" s="44" t="s">
        <v>5844</v>
      </c>
      <c r="C2104" s="29">
        <v>45737</v>
      </c>
      <c r="D2104" s="11">
        <v>8658.8495532000015</v>
      </c>
      <c r="E2104" s="27">
        <f t="shared" si="156"/>
        <v>9639.0313226222406</v>
      </c>
      <c r="F2104" s="6">
        <f t="shared" si="157"/>
        <v>12530.740719408914</v>
      </c>
      <c r="G2104" s="7">
        <f t="shared" si="158"/>
        <v>13494.643851671137</v>
      </c>
      <c r="H2104" s="8">
        <f t="shared" si="159"/>
        <v>14458.54698393336</v>
      </c>
      <c r="I2104" s="9">
        <f t="shared" si="160"/>
        <v>15422.450116195585</v>
      </c>
    </row>
    <row r="2105" spans="1:9" ht="18" x14ac:dyDescent="0.4">
      <c r="A2105" s="43">
        <v>2054</v>
      </c>
      <c r="B2105" s="44" t="s">
        <v>5845</v>
      </c>
      <c r="C2105" s="29">
        <v>45737</v>
      </c>
      <c r="D2105" s="11">
        <v>5328.5582700000014</v>
      </c>
      <c r="E2105" s="27">
        <f t="shared" si="156"/>
        <v>5931.7510661640017</v>
      </c>
      <c r="F2105" s="6">
        <f t="shared" si="157"/>
        <v>7711.2763860132027</v>
      </c>
      <c r="G2105" s="7">
        <f t="shared" si="158"/>
        <v>8304.4514926296015</v>
      </c>
      <c r="H2105" s="8">
        <f t="shared" si="159"/>
        <v>8897.626599246003</v>
      </c>
      <c r="I2105" s="9">
        <f t="shared" si="160"/>
        <v>9490.8017058624027</v>
      </c>
    </row>
    <row r="2106" spans="1:9" ht="18" x14ac:dyDescent="0.4">
      <c r="A2106" s="43">
        <v>2055</v>
      </c>
      <c r="B2106" s="44" t="s">
        <v>5846</v>
      </c>
      <c r="C2106" s="29">
        <v>45737</v>
      </c>
      <c r="D2106" s="11">
        <v>5518.4522400000005</v>
      </c>
      <c r="E2106" s="27">
        <f t="shared" si="156"/>
        <v>6143.1410335680011</v>
      </c>
      <c r="F2106" s="6">
        <f t="shared" si="157"/>
        <v>7986.0833436384019</v>
      </c>
      <c r="G2106" s="7">
        <f t="shared" si="158"/>
        <v>8600.3974469952009</v>
      </c>
      <c r="H2106" s="8">
        <f t="shared" si="159"/>
        <v>9214.7115503520017</v>
      </c>
      <c r="I2106" s="9">
        <f t="shared" si="160"/>
        <v>9829.0256537088026</v>
      </c>
    </row>
    <row r="2107" spans="1:9" ht="18" x14ac:dyDescent="0.4">
      <c r="A2107" s="43">
        <v>2056</v>
      </c>
      <c r="B2107" s="44" t="s">
        <v>5847</v>
      </c>
      <c r="C2107" s="29">
        <v>45737</v>
      </c>
      <c r="D2107" s="11">
        <v>5808.9354120000007</v>
      </c>
      <c r="E2107" s="27">
        <f t="shared" si="156"/>
        <v>6466.5069006384001</v>
      </c>
      <c r="F2107" s="6">
        <f t="shared" si="157"/>
        <v>8406.4589708299209</v>
      </c>
      <c r="G2107" s="7">
        <f t="shared" si="158"/>
        <v>9053.1096608937587</v>
      </c>
      <c r="H2107" s="8">
        <f t="shared" si="159"/>
        <v>9699.7603509576002</v>
      </c>
      <c r="I2107" s="9">
        <f t="shared" si="160"/>
        <v>10346.411041021442</v>
      </c>
    </row>
    <row r="2108" spans="1:9" ht="18" x14ac:dyDescent="0.4">
      <c r="A2108" s="43">
        <v>2057</v>
      </c>
      <c r="B2108" s="44" t="s">
        <v>5848</v>
      </c>
      <c r="C2108" s="29">
        <v>45737</v>
      </c>
      <c r="D2108" s="11">
        <v>6544.6077059999998</v>
      </c>
      <c r="E2108" s="27">
        <f t="shared" si="156"/>
        <v>7285.4572983191993</v>
      </c>
      <c r="F2108" s="6">
        <f t="shared" si="157"/>
        <v>9471.0944878149585</v>
      </c>
      <c r="G2108" s="7">
        <f t="shared" si="158"/>
        <v>10199.640217646878</v>
      </c>
      <c r="H2108" s="8">
        <f t="shared" si="159"/>
        <v>10928.1859474788</v>
      </c>
      <c r="I2108" s="9">
        <f t="shared" si="160"/>
        <v>11656.73167731072</v>
      </c>
    </row>
    <row r="2109" spans="1:9" ht="18" x14ac:dyDescent="0.4">
      <c r="A2109" s="43">
        <v>2058</v>
      </c>
      <c r="B2109" s="44" t="s">
        <v>5849</v>
      </c>
      <c r="C2109" s="29">
        <v>45737</v>
      </c>
      <c r="D2109" s="11">
        <v>6658.7867640000013</v>
      </c>
      <c r="E2109" s="27">
        <f t="shared" si="156"/>
        <v>7412.5614256848012</v>
      </c>
      <c r="F2109" s="6">
        <f t="shared" si="157"/>
        <v>9636.3298533902416</v>
      </c>
      <c r="G2109" s="7">
        <f t="shared" si="158"/>
        <v>10377.585995958721</v>
      </c>
      <c r="H2109" s="8">
        <f t="shared" si="159"/>
        <v>11118.842138527201</v>
      </c>
      <c r="I2109" s="9">
        <f t="shared" si="160"/>
        <v>11860.098281095683</v>
      </c>
    </row>
    <row r="2110" spans="1:9" ht="18" x14ac:dyDescent="0.4">
      <c r="A2110" s="43">
        <v>2061</v>
      </c>
      <c r="B2110" s="44" t="s">
        <v>5850</v>
      </c>
      <c r="C2110" s="29">
        <v>45737</v>
      </c>
      <c r="D2110" s="11">
        <v>6795.6560280000022</v>
      </c>
      <c r="E2110" s="27">
        <f t="shared" si="156"/>
        <v>7564.9242903696031</v>
      </c>
      <c r="F2110" s="6">
        <f t="shared" si="157"/>
        <v>9834.4015774804848</v>
      </c>
      <c r="G2110" s="7">
        <f t="shared" si="158"/>
        <v>10590.894006517443</v>
      </c>
      <c r="H2110" s="8">
        <f t="shared" si="159"/>
        <v>11347.386435554405</v>
      </c>
      <c r="I2110" s="9">
        <f t="shared" si="160"/>
        <v>12103.878864591366</v>
      </c>
    </row>
    <row r="2111" spans="1:9" ht="18" x14ac:dyDescent="0.4">
      <c r="A2111" s="43" t="s">
        <v>2204</v>
      </c>
      <c r="B2111" s="44" t="s">
        <v>5851</v>
      </c>
      <c r="C2111" s="29">
        <v>45737</v>
      </c>
      <c r="D2111" s="11">
        <v>6969.8973960000003</v>
      </c>
      <c r="E2111" s="27">
        <f t="shared" si="156"/>
        <v>7758.8897812272007</v>
      </c>
      <c r="F2111" s="6">
        <f t="shared" si="157"/>
        <v>10086.556715595361</v>
      </c>
      <c r="G2111" s="7">
        <f t="shared" si="158"/>
        <v>10862.44569371808</v>
      </c>
      <c r="H2111" s="8">
        <f t="shared" si="159"/>
        <v>11638.334671840801</v>
      </c>
      <c r="I2111" s="9">
        <f t="shared" si="160"/>
        <v>12414.223649963522</v>
      </c>
    </row>
    <row r="2112" spans="1:9" ht="18" x14ac:dyDescent="0.4">
      <c r="A2112" s="43">
        <v>2062</v>
      </c>
      <c r="B2112" s="44" t="s">
        <v>5852</v>
      </c>
      <c r="C2112" s="29">
        <v>45737</v>
      </c>
      <c r="D2112" s="11">
        <v>8535.1818636000007</v>
      </c>
      <c r="E2112" s="27">
        <f t="shared" si="156"/>
        <v>9501.3644505595203</v>
      </c>
      <c r="F2112" s="6">
        <f t="shared" si="157"/>
        <v>12351.773785727377</v>
      </c>
      <c r="G2112" s="7">
        <f t="shared" si="158"/>
        <v>13301.910230783327</v>
      </c>
      <c r="H2112" s="8">
        <f t="shared" si="159"/>
        <v>14252.046675839279</v>
      </c>
      <c r="I2112" s="9">
        <f t="shared" si="160"/>
        <v>15202.183120895234</v>
      </c>
    </row>
    <row r="2113" spans="1:9" ht="18" x14ac:dyDescent="0.4">
      <c r="A2113" s="43" t="s">
        <v>2205</v>
      </c>
      <c r="B2113" s="44" t="s">
        <v>5853</v>
      </c>
      <c r="C2113" s="29">
        <v>45737</v>
      </c>
      <c r="D2113" s="11">
        <v>8535.1818636000007</v>
      </c>
      <c r="E2113" s="27">
        <f t="shared" si="156"/>
        <v>9501.3644505595203</v>
      </c>
      <c r="F2113" s="6">
        <f t="shared" si="157"/>
        <v>12351.773785727377</v>
      </c>
      <c r="G2113" s="7">
        <f t="shared" si="158"/>
        <v>13301.910230783327</v>
      </c>
      <c r="H2113" s="8">
        <f t="shared" si="159"/>
        <v>14252.046675839279</v>
      </c>
      <c r="I2113" s="9">
        <f t="shared" si="160"/>
        <v>15202.183120895234</v>
      </c>
    </row>
    <row r="2114" spans="1:9" ht="18" x14ac:dyDescent="0.4">
      <c r="A2114" s="43" t="s">
        <v>1714</v>
      </c>
      <c r="B2114" s="44" t="s">
        <v>5854</v>
      </c>
      <c r="C2114" s="29">
        <v>45737</v>
      </c>
      <c r="D2114" s="11">
        <v>8908.6359600000014</v>
      </c>
      <c r="E2114" s="27">
        <f t="shared" si="156"/>
        <v>9917.0935506720016</v>
      </c>
      <c r="F2114" s="6">
        <f t="shared" si="157"/>
        <v>12892.221615873603</v>
      </c>
      <c r="G2114" s="7">
        <f t="shared" si="158"/>
        <v>13883.930970940801</v>
      </c>
      <c r="H2114" s="8">
        <f t="shared" si="159"/>
        <v>14875.640326008002</v>
      </c>
      <c r="I2114" s="9">
        <f t="shared" si="160"/>
        <v>15867.349681075204</v>
      </c>
    </row>
    <row r="2115" spans="1:9" ht="18" x14ac:dyDescent="0.4">
      <c r="A2115" s="43" t="s">
        <v>2206</v>
      </c>
      <c r="B2115" s="44" t="s">
        <v>5855</v>
      </c>
      <c r="C2115" s="29">
        <v>45737</v>
      </c>
      <c r="D2115" s="11">
        <v>8908.6359600000014</v>
      </c>
      <c r="E2115" s="27">
        <f t="shared" si="156"/>
        <v>9917.0935506720016</v>
      </c>
      <c r="F2115" s="6">
        <f t="shared" si="157"/>
        <v>12892.221615873603</v>
      </c>
      <c r="G2115" s="7">
        <f t="shared" si="158"/>
        <v>13883.930970940801</v>
      </c>
      <c r="H2115" s="8">
        <f t="shared" si="159"/>
        <v>14875.640326008002</v>
      </c>
      <c r="I2115" s="9">
        <f t="shared" si="160"/>
        <v>15867.349681075204</v>
      </c>
    </row>
    <row r="2116" spans="1:9" ht="18" x14ac:dyDescent="0.4">
      <c r="A2116" s="43">
        <v>2063</v>
      </c>
      <c r="B2116" s="44" t="s">
        <v>5856</v>
      </c>
      <c r="C2116" s="29">
        <v>45737</v>
      </c>
      <c r="D2116" s="11">
        <v>12578.673643200002</v>
      </c>
      <c r="E2116" s="27">
        <f t="shared" si="156"/>
        <v>14002.579499610241</v>
      </c>
      <c r="F2116" s="6">
        <f t="shared" si="157"/>
        <v>18203.353349493314</v>
      </c>
      <c r="G2116" s="7">
        <f t="shared" si="158"/>
        <v>19603.611299454336</v>
      </c>
      <c r="H2116" s="8">
        <f t="shared" si="159"/>
        <v>21003.869249415362</v>
      </c>
      <c r="I2116" s="9">
        <f t="shared" si="160"/>
        <v>22404.127199376388</v>
      </c>
    </row>
    <row r="2117" spans="1:9" ht="18" x14ac:dyDescent="0.4">
      <c r="A2117" s="43">
        <v>2064</v>
      </c>
      <c r="B2117" s="44" t="s">
        <v>5857</v>
      </c>
      <c r="C2117" s="29">
        <v>45737</v>
      </c>
      <c r="D2117" s="11">
        <v>12486.723706800005</v>
      </c>
      <c r="E2117" s="27">
        <f t="shared" si="156"/>
        <v>13900.220830409766</v>
      </c>
      <c r="F2117" s="6">
        <f t="shared" si="157"/>
        <v>18070.287079532696</v>
      </c>
      <c r="G2117" s="7">
        <f t="shared" si="158"/>
        <v>19460.309162573671</v>
      </c>
      <c r="H2117" s="8">
        <f t="shared" si="159"/>
        <v>20850.331245614649</v>
      </c>
      <c r="I2117" s="9">
        <f t="shared" si="160"/>
        <v>22240.353328655627</v>
      </c>
    </row>
    <row r="2118" spans="1:9" ht="18" x14ac:dyDescent="0.4">
      <c r="A2118" s="43">
        <v>2065</v>
      </c>
      <c r="B2118" s="44" t="s">
        <v>5858</v>
      </c>
      <c r="C2118" s="29">
        <v>45737</v>
      </c>
      <c r="D2118" s="11">
        <v>8381.5436880000016</v>
      </c>
      <c r="E2118" s="27">
        <f t="shared" si="156"/>
        <v>9330.3344334816029</v>
      </c>
      <c r="F2118" s="6">
        <f t="shared" si="157"/>
        <v>12129.434763526084</v>
      </c>
      <c r="G2118" s="7">
        <f t="shared" si="158"/>
        <v>13062.468206874244</v>
      </c>
      <c r="H2118" s="8">
        <f t="shared" si="159"/>
        <v>13995.501650222404</v>
      </c>
      <c r="I2118" s="9">
        <f t="shared" si="160"/>
        <v>14928.535093570565</v>
      </c>
    </row>
    <row r="2119" spans="1:9" ht="18" x14ac:dyDescent="0.4">
      <c r="A2119" s="43">
        <v>2066</v>
      </c>
      <c r="B2119" s="44" t="s">
        <v>5859</v>
      </c>
      <c r="C2119" s="29">
        <v>45737</v>
      </c>
      <c r="D2119" s="11">
        <v>10770.094351800002</v>
      </c>
      <c r="E2119" s="27">
        <f t="shared" si="156"/>
        <v>11989.269032423763</v>
      </c>
      <c r="F2119" s="6">
        <f t="shared" si="157"/>
        <v>15586.049742150892</v>
      </c>
      <c r="G2119" s="7">
        <f t="shared" si="158"/>
        <v>16784.976645393268</v>
      </c>
      <c r="H2119" s="8">
        <f t="shared" si="159"/>
        <v>17983.903548635644</v>
      </c>
      <c r="I2119" s="9">
        <f t="shared" si="160"/>
        <v>19182.830451878021</v>
      </c>
    </row>
    <row r="2120" spans="1:9" ht="18" x14ac:dyDescent="0.4">
      <c r="A2120" s="43">
        <v>2067</v>
      </c>
      <c r="B2120" s="44" t="s">
        <v>5860</v>
      </c>
      <c r="C2120" s="29">
        <v>45737</v>
      </c>
      <c r="D2120" s="11">
        <v>8786.2059180000033</v>
      </c>
      <c r="E2120" s="27">
        <f t="shared" si="156"/>
        <v>9780.8044279176029</v>
      </c>
      <c r="F2120" s="6">
        <f t="shared" si="157"/>
        <v>12715.045756292884</v>
      </c>
      <c r="G2120" s="7">
        <f t="shared" si="158"/>
        <v>13693.126199084643</v>
      </c>
      <c r="H2120" s="8">
        <f t="shared" si="159"/>
        <v>14671.206641876404</v>
      </c>
      <c r="I2120" s="9">
        <f t="shared" si="160"/>
        <v>15649.287084668165</v>
      </c>
    </row>
    <row r="2121" spans="1:9" ht="18" x14ac:dyDescent="0.4">
      <c r="A2121" s="43" t="s">
        <v>2207</v>
      </c>
      <c r="B2121" s="47" t="s">
        <v>5861</v>
      </c>
      <c r="C2121" s="29">
        <v>45737</v>
      </c>
      <c r="D2121" s="11">
        <v>10020.456054</v>
      </c>
      <c r="E2121" s="27">
        <f t="shared" si="156"/>
        <v>11154.7716793128</v>
      </c>
      <c r="F2121" s="6">
        <f t="shared" si="157"/>
        <v>14501.203183106642</v>
      </c>
      <c r="G2121" s="7">
        <f t="shared" si="158"/>
        <v>15616.68035103792</v>
      </c>
      <c r="H2121" s="8">
        <f t="shared" si="159"/>
        <v>16732.157518969201</v>
      </c>
      <c r="I2121" s="9">
        <f t="shared" si="160"/>
        <v>17847.634686900481</v>
      </c>
    </row>
    <row r="2122" spans="1:9" x14ac:dyDescent="0.35">
      <c r="A2122" s="43" t="s">
        <v>2208</v>
      </c>
      <c r="B2122" s="44" t="s">
        <v>2209</v>
      </c>
      <c r="C2122" s="29">
        <v>45737</v>
      </c>
      <c r="D2122" s="11">
        <v>9149.0672070000019</v>
      </c>
      <c r="E2122" s="27">
        <f t="shared" si="156"/>
        <v>10184.741614832403</v>
      </c>
      <c r="F2122" s="6">
        <f t="shared" si="157"/>
        <v>13240.164099282125</v>
      </c>
      <c r="G2122" s="7">
        <f t="shared" si="158"/>
        <v>14258.638260765363</v>
      </c>
      <c r="H2122" s="8">
        <f t="shared" si="159"/>
        <v>15277.112422248603</v>
      </c>
      <c r="I2122" s="9">
        <f t="shared" si="160"/>
        <v>16295.586583731845</v>
      </c>
    </row>
    <row r="2123" spans="1:9" x14ac:dyDescent="0.35">
      <c r="A2123" s="43" t="s">
        <v>2210</v>
      </c>
      <c r="B2123" s="44" t="s">
        <v>2211</v>
      </c>
      <c r="C2123" s="29">
        <v>45737</v>
      </c>
      <c r="D2123" s="11">
        <v>9149.0672070000019</v>
      </c>
      <c r="E2123" s="27">
        <f t="shared" si="156"/>
        <v>10184.741614832403</v>
      </c>
      <c r="F2123" s="6">
        <f t="shared" si="157"/>
        <v>13240.164099282125</v>
      </c>
      <c r="G2123" s="7">
        <f t="shared" si="158"/>
        <v>14258.638260765363</v>
      </c>
      <c r="H2123" s="8">
        <f t="shared" si="159"/>
        <v>15277.112422248603</v>
      </c>
      <c r="I2123" s="9">
        <f t="shared" si="160"/>
        <v>16295.586583731845</v>
      </c>
    </row>
    <row r="2124" spans="1:9" ht="18" x14ac:dyDescent="0.4">
      <c r="A2124" s="43">
        <v>2068</v>
      </c>
      <c r="B2124" s="44" t="s">
        <v>5862</v>
      </c>
      <c r="C2124" s="29">
        <v>45737</v>
      </c>
      <c r="D2124" s="11">
        <v>6658.7867640000013</v>
      </c>
      <c r="E2124" s="27">
        <f t="shared" ref="E2124:E2187" si="161">D2124*1.21*0.92</f>
        <v>7412.5614256848012</v>
      </c>
      <c r="F2124" s="6">
        <f t="shared" si="157"/>
        <v>9636.3298533902416</v>
      </c>
      <c r="G2124" s="7">
        <f t="shared" si="158"/>
        <v>10377.585995958721</v>
      </c>
      <c r="H2124" s="8">
        <f t="shared" si="159"/>
        <v>11118.842138527201</v>
      </c>
      <c r="I2124" s="9">
        <f t="shared" si="160"/>
        <v>11860.098281095683</v>
      </c>
    </row>
    <row r="2125" spans="1:9" ht="18" x14ac:dyDescent="0.4">
      <c r="A2125" s="43">
        <v>2069</v>
      </c>
      <c r="B2125" s="44" t="s">
        <v>5863</v>
      </c>
      <c r="C2125" s="29">
        <v>45737</v>
      </c>
      <c r="D2125" s="11">
        <v>6429.2759370000003</v>
      </c>
      <c r="E2125" s="27">
        <f t="shared" si="161"/>
        <v>7157.0699730684009</v>
      </c>
      <c r="F2125" s="6">
        <f t="shared" si="157"/>
        <v>9304.1909649889221</v>
      </c>
      <c r="G2125" s="7">
        <f t="shared" si="158"/>
        <v>10019.897962295761</v>
      </c>
      <c r="H2125" s="8">
        <f t="shared" si="159"/>
        <v>10735.604959602602</v>
      </c>
      <c r="I2125" s="9">
        <f t="shared" si="160"/>
        <v>11451.311956909442</v>
      </c>
    </row>
    <row r="2126" spans="1:9" ht="18" x14ac:dyDescent="0.4">
      <c r="A2126" s="43" t="s">
        <v>2212</v>
      </c>
      <c r="B2126" s="44" t="s">
        <v>5864</v>
      </c>
      <c r="C2126" s="29">
        <v>45737</v>
      </c>
      <c r="D2126" s="11">
        <v>5328.5582700000014</v>
      </c>
      <c r="E2126" s="27">
        <f t="shared" si="161"/>
        <v>5931.7510661640017</v>
      </c>
      <c r="F2126" s="6">
        <f t="shared" si="157"/>
        <v>7711.2763860132027</v>
      </c>
      <c r="G2126" s="7">
        <f t="shared" si="158"/>
        <v>8304.4514926296015</v>
      </c>
      <c r="H2126" s="8">
        <f t="shared" si="159"/>
        <v>8897.626599246003</v>
      </c>
      <c r="I2126" s="9">
        <f t="shared" si="160"/>
        <v>9490.8017058624027</v>
      </c>
    </row>
    <row r="2127" spans="1:9" ht="18" x14ac:dyDescent="0.4">
      <c r="A2127" s="43">
        <v>2070</v>
      </c>
      <c r="B2127" s="44" t="s">
        <v>5865</v>
      </c>
      <c r="C2127" s="29">
        <v>45737</v>
      </c>
      <c r="D2127" s="11">
        <v>6301.4463540000006</v>
      </c>
      <c r="E2127" s="27">
        <f t="shared" si="161"/>
        <v>7014.7700812728008</v>
      </c>
      <c r="F2127" s="6">
        <f t="shared" si="157"/>
        <v>9119.2011056546417</v>
      </c>
      <c r="G2127" s="7">
        <f t="shared" si="158"/>
        <v>9820.6781137819198</v>
      </c>
      <c r="H2127" s="8">
        <f t="shared" si="159"/>
        <v>10522.155121909202</v>
      </c>
      <c r="I2127" s="9">
        <f t="shared" si="160"/>
        <v>11223.632130036482</v>
      </c>
    </row>
    <row r="2128" spans="1:9" ht="18" x14ac:dyDescent="0.4">
      <c r="A2128" s="43">
        <v>2071</v>
      </c>
      <c r="B2128" s="44" t="s">
        <v>5866</v>
      </c>
      <c r="C2128" s="29">
        <v>45737</v>
      </c>
      <c r="D2128" s="11">
        <v>4357.5</v>
      </c>
      <c r="E2128" s="27">
        <f t="shared" si="161"/>
        <v>4850.7690000000002</v>
      </c>
      <c r="F2128" s="6">
        <f t="shared" si="157"/>
        <v>6305.9997000000003</v>
      </c>
      <c r="G2128" s="7">
        <f t="shared" si="158"/>
        <v>6791.0766000000003</v>
      </c>
      <c r="H2128" s="8">
        <f t="shared" si="159"/>
        <v>7276.1535000000003</v>
      </c>
      <c r="I2128" s="9">
        <f t="shared" si="160"/>
        <v>7761.2304000000004</v>
      </c>
    </row>
    <row r="2129" spans="1:9" x14ac:dyDescent="0.35">
      <c r="A2129" s="43" t="s">
        <v>2213</v>
      </c>
      <c r="B2129" s="44" t="s">
        <v>2214</v>
      </c>
      <c r="C2129" s="29">
        <v>45737</v>
      </c>
      <c r="D2129" s="11">
        <v>4129.3748160000005</v>
      </c>
      <c r="E2129" s="27">
        <f t="shared" si="161"/>
        <v>4596.8200451712009</v>
      </c>
      <c r="F2129" s="6">
        <f t="shared" ref="F2129:F2191" si="162">E2129*1.3</f>
        <v>5975.8660587225613</v>
      </c>
      <c r="G2129" s="7">
        <f t="shared" ref="G2129:G2191" si="163">E2129*1.4</f>
        <v>6435.5480632396811</v>
      </c>
      <c r="H2129" s="8">
        <f t="shared" ref="H2129:H2191" si="164">E2129*1.5</f>
        <v>6895.2300677568019</v>
      </c>
      <c r="I2129" s="9">
        <f t="shared" ref="I2129:I2191" si="165">E2129*1.6</f>
        <v>7354.9120722739217</v>
      </c>
    </row>
    <row r="2130" spans="1:9" x14ac:dyDescent="0.35">
      <c r="A2130" s="43" t="s">
        <v>2215</v>
      </c>
      <c r="B2130" s="44" t="s">
        <v>2216</v>
      </c>
      <c r="C2130" s="29">
        <v>45737</v>
      </c>
      <c r="D2130" s="11">
        <v>6028.3145160000013</v>
      </c>
      <c r="E2130" s="27">
        <f t="shared" si="161"/>
        <v>6710.7197192112008</v>
      </c>
      <c r="F2130" s="6">
        <f t="shared" si="162"/>
        <v>8723.9356349745613</v>
      </c>
      <c r="G2130" s="7">
        <f t="shared" si="163"/>
        <v>9395.0076068956805</v>
      </c>
      <c r="H2130" s="8">
        <f t="shared" si="164"/>
        <v>10066.079578816802</v>
      </c>
      <c r="I2130" s="9">
        <f t="shared" si="165"/>
        <v>10737.151550737923</v>
      </c>
    </row>
    <row r="2131" spans="1:9" ht="18" x14ac:dyDescent="0.4">
      <c r="A2131" s="43">
        <v>2072</v>
      </c>
      <c r="B2131" s="44" t="s">
        <v>5867</v>
      </c>
      <c r="C2131" s="29">
        <v>45737</v>
      </c>
      <c r="D2131" s="11">
        <v>5183.8500000000004</v>
      </c>
      <c r="E2131" s="27">
        <f t="shared" si="161"/>
        <v>5770.6618200000012</v>
      </c>
      <c r="F2131" s="6">
        <f t="shared" si="162"/>
        <v>7501.8603660000017</v>
      </c>
      <c r="G2131" s="7">
        <f t="shared" si="163"/>
        <v>8078.9265480000013</v>
      </c>
      <c r="H2131" s="8">
        <f t="shared" si="164"/>
        <v>8655.9927300000018</v>
      </c>
      <c r="I2131" s="9">
        <f t="shared" si="165"/>
        <v>9233.0589120000022</v>
      </c>
    </row>
    <row r="2132" spans="1:9" x14ac:dyDescent="0.35">
      <c r="A2132" s="43" t="s">
        <v>2217</v>
      </c>
      <c r="B2132" s="44" t="s">
        <v>2218</v>
      </c>
      <c r="C2132" s="29">
        <v>45737</v>
      </c>
      <c r="D2132" s="11">
        <v>7055.3193480000018</v>
      </c>
      <c r="E2132" s="27">
        <f t="shared" si="161"/>
        <v>7853.9814981936015</v>
      </c>
      <c r="F2132" s="6">
        <f t="shared" si="162"/>
        <v>10210.175947651682</v>
      </c>
      <c r="G2132" s="7">
        <f t="shared" si="163"/>
        <v>10995.574097471041</v>
      </c>
      <c r="H2132" s="8">
        <f t="shared" si="164"/>
        <v>11780.972247290403</v>
      </c>
      <c r="I2132" s="9">
        <f t="shared" si="165"/>
        <v>12566.370397109764</v>
      </c>
    </row>
    <row r="2133" spans="1:9" ht="18" x14ac:dyDescent="0.4">
      <c r="A2133" s="43">
        <v>2073</v>
      </c>
      <c r="B2133" s="44" t="s">
        <v>5868</v>
      </c>
      <c r="C2133" s="29">
        <v>45737</v>
      </c>
      <c r="D2133" s="11">
        <v>8551.2955500000007</v>
      </c>
      <c r="E2133" s="27">
        <f t="shared" si="161"/>
        <v>9519.3022062600012</v>
      </c>
      <c r="F2133" s="6">
        <f t="shared" si="162"/>
        <v>12375.092868138003</v>
      </c>
      <c r="G2133" s="7">
        <f t="shared" si="163"/>
        <v>13327.023088764001</v>
      </c>
      <c r="H2133" s="8">
        <f t="shared" si="164"/>
        <v>14278.953309390003</v>
      </c>
      <c r="I2133" s="9">
        <f t="shared" si="165"/>
        <v>15230.883530016003</v>
      </c>
    </row>
    <row r="2134" spans="1:9" x14ac:dyDescent="0.35">
      <c r="A2134" s="43" t="s">
        <v>2219</v>
      </c>
      <c r="B2134" s="44" t="s">
        <v>2220</v>
      </c>
      <c r="C2134" s="29">
        <v>45737</v>
      </c>
      <c r="D2134" s="11">
        <v>8839.4733000000015</v>
      </c>
      <c r="E2134" s="27">
        <f t="shared" si="161"/>
        <v>9840.1016775600001</v>
      </c>
      <c r="F2134" s="6">
        <f t="shared" si="162"/>
        <v>12792.132180828001</v>
      </c>
      <c r="G2134" s="7">
        <f t="shared" si="163"/>
        <v>13776.142348583999</v>
      </c>
      <c r="H2134" s="8">
        <f t="shared" si="164"/>
        <v>14760.15251634</v>
      </c>
      <c r="I2134" s="9">
        <f t="shared" si="165"/>
        <v>15744.162684096002</v>
      </c>
    </row>
    <row r="2135" spans="1:9" x14ac:dyDescent="0.35">
      <c r="A2135" s="43" t="s">
        <v>2221</v>
      </c>
      <c r="B2135" s="44" t="s">
        <v>2222</v>
      </c>
      <c r="C2135" s="29">
        <v>45737</v>
      </c>
      <c r="D2135" s="11">
        <v>9193.9015980000022</v>
      </c>
      <c r="E2135" s="27">
        <f t="shared" si="161"/>
        <v>10234.651258893604</v>
      </c>
      <c r="F2135" s="6">
        <f t="shared" si="162"/>
        <v>13305.046636561685</v>
      </c>
      <c r="G2135" s="7">
        <f t="shared" si="163"/>
        <v>14328.511762451044</v>
      </c>
      <c r="H2135" s="8">
        <f t="shared" si="164"/>
        <v>15351.976888340407</v>
      </c>
      <c r="I2135" s="9">
        <f t="shared" si="165"/>
        <v>16375.442014229768</v>
      </c>
    </row>
    <row r="2136" spans="1:9" ht="18" x14ac:dyDescent="0.4">
      <c r="A2136" s="43">
        <v>2074</v>
      </c>
      <c r="B2136" s="44" t="s">
        <v>5869</v>
      </c>
      <c r="C2136" s="29">
        <v>45737</v>
      </c>
      <c r="D2136" s="11">
        <v>9213.9223680000032</v>
      </c>
      <c r="E2136" s="27">
        <f t="shared" si="161"/>
        <v>10256.938380057603</v>
      </c>
      <c r="F2136" s="6">
        <f t="shared" si="162"/>
        <v>13334.019894074885</v>
      </c>
      <c r="G2136" s="7">
        <f t="shared" si="163"/>
        <v>14359.713732080643</v>
      </c>
      <c r="H2136" s="8">
        <f t="shared" si="164"/>
        <v>15385.407570086405</v>
      </c>
      <c r="I2136" s="9">
        <f t="shared" si="165"/>
        <v>16411.101408092167</v>
      </c>
    </row>
    <row r="2137" spans="1:9" ht="18" x14ac:dyDescent="0.4">
      <c r="A2137" s="45">
        <v>2078</v>
      </c>
      <c r="B2137" s="46" t="s">
        <v>1715</v>
      </c>
      <c r="C2137" s="29">
        <v>45737</v>
      </c>
      <c r="D2137" s="11">
        <v>4336.5</v>
      </c>
      <c r="E2137" s="27">
        <f t="shared" si="161"/>
        <v>4827.3918000000003</v>
      </c>
      <c r="F2137" s="6">
        <f t="shared" si="162"/>
        <v>6275.6093400000009</v>
      </c>
      <c r="G2137" s="7">
        <f t="shared" si="163"/>
        <v>6758.3485200000005</v>
      </c>
      <c r="H2137" s="8">
        <f t="shared" si="164"/>
        <v>7241.0877</v>
      </c>
      <c r="I2137" s="9">
        <f t="shared" si="165"/>
        <v>7723.8268800000005</v>
      </c>
    </row>
    <row r="2138" spans="1:9" ht="18" x14ac:dyDescent="0.4">
      <c r="A2138" s="45" t="s">
        <v>2223</v>
      </c>
      <c r="B2138" s="46" t="s">
        <v>2224</v>
      </c>
      <c r="C2138" s="29">
        <v>45737</v>
      </c>
      <c r="D2138" s="11">
        <v>5513.9991354000003</v>
      </c>
      <c r="E2138" s="27">
        <f t="shared" si="161"/>
        <v>6138.18383752728</v>
      </c>
      <c r="F2138" s="6">
        <f t="shared" si="162"/>
        <v>7979.6389887854639</v>
      </c>
      <c r="G2138" s="7">
        <f t="shared" si="163"/>
        <v>8593.4573725381924</v>
      </c>
      <c r="H2138" s="8">
        <f t="shared" si="164"/>
        <v>9207.275756290921</v>
      </c>
      <c r="I2138" s="9">
        <f t="shared" si="165"/>
        <v>9821.0941400436477</v>
      </c>
    </row>
    <row r="2139" spans="1:9" ht="18" x14ac:dyDescent="0.4">
      <c r="A2139" s="45" t="s">
        <v>2225</v>
      </c>
      <c r="B2139" s="46" t="s">
        <v>2226</v>
      </c>
      <c r="C2139" s="29">
        <v>45737</v>
      </c>
      <c r="D2139" s="11">
        <v>6535.0220040000022</v>
      </c>
      <c r="E2139" s="27">
        <f t="shared" si="161"/>
        <v>7274.7864948528022</v>
      </c>
      <c r="F2139" s="6">
        <f t="shared" si="162"/>
        <v>9457.2224433086431</v>
      </c>
      <c r="G2139" s="7">
        <f t="shared" si="163"/>
        <v>10184.701092793923</v>
      </c>
      <c r="H2139" s="8">
        <f t="shared" si="164"/>
        <v>10912.179742279204</v>
      </c>
      <c r="I2139" s="9">
        <f t="shared" si="165"/>
        <v>11639.658391764484</v>
      </c>
    </row>
    <row r="2140" spans="1:9" ht="18" x14ac:dyDescent="0.4">
      <c r="A2140" s="45" t="s">
        <v>2227</v>
      </c>
      <c r="B2140" s="46" t="s">
        <v>2228</v>
      </c>
      <c r="C2140" s="29">
        <v>45737</v>
      </c>
      <c r="D2140" s="11">
        <v>6535.0220040000022</v>
      </c>
      <c r="E2140" s="27">
        <f t="shared" si="161"/>
        <v>7274.7864948528022</v>
      </c>
      <c r="F2140" s="6">
        <f t="shared" si="162"/>
        <v>9457.2224433086431</v>
      </c>
      <c r="G2140" s="7">
        <f t="shared" si="163"/>
        <v>10184.701092793923</v>
      </c>
      <c r="H2140" s="8">
        <f t="shared" si="164"/>
        <v>10912.179742279204</v>
      </c>
      <c r="I2140" s="9">
        <f t="shared" si="165"/>
        <v>11639.658391764484</v>
      </c>
    </row>
    <row r="2141" spans="1:9" ht="18" x14ac:dyDescent="0.4">
      <c r="A2141" s="45" t="s">
        <v>2229</v>
      </c>
      <c r="B2141" s="46" t="s">
        <v>2230</v>
      </c>
      <c r="C2141" s="29">
        <v>45737</v>
      </c>
      <c r="D2141" s="11">
        <v>6800.9342310000011</v>
      </c>
      <c r="E2141" s="27">
        <f t="shared" si="161"/>
        <v>7570.799985949202</v>
      </c>
      <c r="F2141" s="6">
        <f t="shared" si="162"/>
        <v>9842.0399817339621</v>
      </c>
      <c r="G2141" s="7">
        <f t="shared" si="163"/>
        <v>10599.119980328882</v>
      </c>
      <c r="H2141" s="8">
        <f t="shared" si="164"/>
        <v>11356.199978923803</v>
      </c>
      <c r="I2141" s="9">
        <f t="shared" si="165"/>
        <v>12113.279977518723</v>
      </c>
    </row>
    <row r="2142" spans="1:9" ht="18" x14ac:dyDescent="0.4">
      <c r="A2142" s="45" t="s">
        <v>2231</v>
      </c>
      <c r="B2142" s="46" t="s">
        <v>2232</v>
      </c>
      <c r="C2142" s="29">
        <v>45737</v>
      </c>
      <c r="D2142" s="11">
        <v>10753.835059800002</v>
      </c>
      <c r="E2142" s="27">
        <f t="shared" si="161"/>
        <v>11971.169188569362</v>
      </c>
      <c r="F2142" s="6">
        <f t="shared" si="162"/>
        <v>15562.519945140171</v>
      </c>
      <c r="G2142" s="7">
        <f t="shared" si="163"/>
        <v>16759.636863997104</v>
      </c>
      <c r="H2142" s="8">
        <f t="shared" si="164"/>
        <v>17956.753782854044</v>
      </c>
      <c r="I2142" s="9">
        <f t="shared" si="165"/>
        <v>19153.870701710981</v>
      </c>
    </row>
    <row r="2143" spans="1:9" ht="18" x14ac:dyDescent="0.4">
      <c r="A2143" s="45" t="s">
        <v>3364</v>
      </c>
      <c r="B2143" s="46" t="s">
        <v>3365</v>
      </c>
      <c r="C2143" s="29">
        <v>45737</v>
      </c>
      <c r="D2143" s="11">
        <v>9894.6285480000006</v>
      </c>
      <c r="E2143" s="27">
        <f t="shared" si="161"/>
        <v>11014.700499633602</v>
      </c>
      <c r="F2143" s="6">
        <f t="shared" si="162"/>
        <v>14319.110649523684</v>
      </c>
      <c r="G2143" s="7">
        <f t="shared" si="163"/>
        <v>15420.580699487042</v>
      </c>
      <c r="H2143" s="8">
        <f t="shared" si="164"/>
        <v>16522.050749450402</v>
      </c>
      <c r="I2143" s="9">
        <f t="shared" si="165"/>
        <v>17623.520799413764</v>
      </c>
    </row>
    <row r="2144" spans="1:9" ht="18" x14ac:dyDescent="0.4">
      <c r="A2144" s="45">
        <v>2079</v>
      </c>
      <c r="B2144" s="46" t="s">
        <v>1716</v>
      </c>
      <c r="C2144" s="29">
        <v>45737</v>
      </c>
      <c r="D2144" s="11">
        <v>5319.3</v>
      </c>
      <c r="E2144" s="27">
        <f t="shared" si="161"/>
        <v>5921.4447600000003</v>
      </c>
      <c r="F2144" s="6">
        <f t="shared" si="162"/>
        <v>7697.8781880000006</v>
      </c>
      <c r="G2144" s="7">
        <f t="shared" si="163"/>
        <v>8290.0226640000001</v>
      </c>
      <c r="H2144" s="8">
        <f t="shared" si="164"/>
        <v>8882.1671400000014</v>
      </c>
      <c r="I2144" s="9">
        <f t="shared" si="165"/>
        <v>9474.3116160000009</v>
      </c>
    </row>
    <row r="2145" spans="1:9" ht="18" x14ac:dyDescent="0.4">
      <c r="A2145" s="45" t="s">
        <v>2233</v>
      </c>
      <c r="B2145" s="46" t="s">
        <v>2234</v>
      </c>
      <c r="C2145" s="29">
        <v>45737</v>
      </c>
      <c r="D2145" s="11">
        <v>6864.0906600000008</v>
      </c>
      <c r="E2145" s="27">
        <f t="shared" si="161"/>
        <v>7641.105722712</v>
      </c>
      <c r="F2145" s="6">
        <f t="shared" si="162"/>
        <v>9933.4374395256</v>
      </c>
      <c r="G2145" s="7">
        <f t="shared" si="163"/>
        <v>10697.5480117968</v>
      </c>
      <c r="H2145" s="8">
        <f t="shared" si="164"/>
        <v>11461.658584068</v>
      </c>
      <c r="I2145" s="9">
        <f t="shared" si="165"/>
        <v>12225.7691563392</v>
      </c>
    </row>
    <row r="2146" spans="1:9" ht="18" x14ac:dyDescent="0.4">
      <c r="A2146" s="45" t="s">
        <v>2235</v>
      </c>
      <c r="B2146" s="46" t="s">
        <v>2236</v>
      </c>
      <c r="C2146" s="29">
        <v>45737</v>
      </c>
      <c r="D2146" s="11">
        <v>6225.0034140000007</v>
      </c>
      <c r="E2146" s="27">
        <f t="shared" si="161"/>
        <v>6929.6738004648005</v>
      </c>
      <c r="F2146" s="6">
        <f t="shared" si="162"/>
        <v>9008.5759406042416</v>
      </c>
      <c r="G2146" s="7">
        <f t="shared" si="163"/>
        <v>9701.5433206507205</v>
      </c>
      <c r="H2146" s="8">
        <f t="shared" si="164"/>
        <v>10394.510700697201</v>
      </c>
      <c r="I2146" s="9">
        <f t="shared" si="165"/>
        <v>11087.478080743682</v>
      </c>
    </row>
    <row r="2147" spans="1:9" ht="18" x14ac:dyDescent="0.4">
      <c r="A2147" s="45" t="s">
        <v>2237</v>
      </c>
      <c r="B2147" s="46" t="s">
        <v>2238</v>
      </c>
      <c r="C2147" s="29">
        <v>45737</v>
      </c>
      <c r="D2147" s="11">
        <v>6225.0034140000007</v>
      </c>
      <c r="E2147" s="27">
        <f t="shared" si="161"/>
        <v>6929.6738004648005</v>
      </c>
      <c r="F2147" s="6">
        <f t="shared" si="162"/>
        <v>9008.5759406042416</v>
      </c>
      <c r="G2147" s="7">
        <f t="shared" si="163"/>
        <v>9701.5433206507205</v>
      </c>
      <c r="H2147" s="8">
        <f t="shared" si="164"/>
        <v>10394.510700697201</v>
      </c>
      <c r="I2147" s="9">
        <f t="shared" si="165"/>
        <v>11087.478080743682</v>
      </c>
    </row>
    <row r="2148" spans="1:9" ht="18" x14ac:dyDescent="0.4">
      <c r="A2148" s="45" t="s">
        <v>2239</v>
      </c>
      <c r="B2148" s="46" t="s">
        <v>2240</v>
      </c>
      <c r="C2148" s="29">
        <v>45737</v>
      </c>
      <c r="D2148" s="11">
        <v>7261.7152860000015</v>
      </c>
      <c r="E2148" s="27">
        <f t="shared" si="161"/>
        <v>8083.7414563752009</v>
      </c>
      <c r="F2148" s="6">
        <f t="shared" si="162"/>
        <v>10508.863893287762</v>
      </c>
      <c r="G2148" s="7">
        <f t="shared" si="163"/>
        <v>11317.238038925281</v>
      </c>
      <c r="H2148" s="8">
        <f t="shared" si="164"/>
        <v>12125.6121845628</v>
      </c>
      <c r="I2148" s="9">
        <f t="shared" si="165"/>
        <v>12933.986330200321</v>
      </c>
    </row>
    <row r="2149" spans="1:9" ht="18" x14ac:dyDescent="0.4">
      <c r="A2149" s="45" t="s">
        <v>2241</v>
      </c>
      <c r="B2149" s="46" t="s">
        <v>2242</v>
      </c>
      <c r="C2149" s="29">
        <v>45737</v>
      </c>
      <c r="D2149" s="11">
        <v>12246.037650000002</v>
      </c>
      <c r="E2149" s="27">
        <f t="shared" si="161"/>
        <v>13632.289111980002</v>
      </c>
      <c r="F2149" s="6">
        <f t="shared" si="162"/>
        <v>17721.975845574005</v>
      </c>
      <c r="G2149" s="7">
        <f t="shared" si="163"/>
        <v>19085.204756772004</v>
      </c>
      <c r="H2149" s="8">
        <f t="shared" si="164"/>
        <v>20448.433667970003</v>
      </c>
      <c r="I2149" s="9">
        <f t="shared" si="165"/>
        <v>21811.662579168005</v>
      </c>
    </row>
    <row r="2150" spans="1:9" ht="18" x14ac:dyDescent="0.4">
      <c r="A2150" s="45" t="s">
        <v>4629</v>
      </c>
      <c r="B2150" s="46" t="s">
        <v>4630</v>
      </c>
      <c r="C2150" s="29">
        <v>45737</v>
      </c>
      <c r="D2150" s="11">
        <v>8036.7010920000002</v>
      </c>
      <c r="E2150" s="27">
        <f t="shared" si="161"/>
        <v>8946.4556556143998</v>
      </c>
      <c r="F2150" s="6">
        <f t="shared" si="162"/>
        <v>11630.392352298721</v>
      </c>
      <c r="G2150" s="7">
        <f t="shared" si="163"/>
        <v>12525.03791786016</v>
      </c>
      <c r="H2150" s="8">
        <f t="shared" si="164"/>
        <v>13419.683483421599</v>
      </c>
      <c r="I2150" s="9">
        <f t="shared" si="165"/>
        <v>14314.32904898304</v>
      </c>
    </row>
    <row r="2151" spans="1:9" ht="18" x14ac:dyDescent="0.4">
      <c r="A2151" s="43">
        <v>2080</v>
      </c>
      <c r="B2151" s="44" t="s">
        <v>5870</v>
      </c>
      <c r="C2151" s="29">
        <v>45737</v>
      </c>
      <c r="D2151" s="11">
        <v>5135.6308500000005</v>
      </c>
      <c r="E2151" s="27">
        <f t="shared" si="161"/>
        <v>5716.9842622200003</v>
      </c>
      <c r="F2151" s="6">
        <f t="shared" si="162"/>
        <v>7432.0795408860004</v>
      </c>
      <c r="G2151" s="7">
        <f t="shared" si="163"/>
        <v>8003.7779671079998</v>
      </c>
      <c r="H2151" s="8">
        <f t="shared" si="164"/>
        <v>8575.4763933300001</v>
      </c>
      <c r="I2151" s="9">
        <f t="shared" si="165"/>
        <v>9147.1748195520013</v>
      </c>
    </row>
    <row r="2152" spans="1:9" ht="18" x14ac:dyDescent="0.4">
      <c r="A2152" s="43" t="s">
        <v>1717</v>
      </c>
      <c r="B2152" s="44" t="s">
        <v>5871</v>
      </c>
      <c r="C2152" s="29">
        <v>45737</v>
      </c>
      <c r="D2152" s="11">
        <v>5309.9935560000004</v>
      </c>
      <c r="E2152" s="27">
        <f t="shared" si="161"/>
        <v>5911.0848265392005</v>
      </c>
      <c r="F2152" s="6">
        <f t="shared" si="162"/>
        <v>7684.4102745009613</v>
      </c>
      <c r="G2152" s="7">
        <f t="shared" si="163"/>
        <v>8275.5187571548795</v>
      </c>
      <c r="H2152" s="8">
        <f t="shared" si="164"/>
        <v>8866.6272398088004</v>
      </c>
      <c r="I2152" s="9">
        <f t="shared" si="165"/>
        <v>9457.7357224627212</v>
      </c>
    </row>
    <row r="2153" spans="1:9" ht="18" x14ac:dyDescent="0.4">
      <c r="A2153" s="43">
        <v>2084</v>
      </c>
      <c r="B2153" s="44" t="s">
        <v>5872</v>
      </c>
      <c r="C2153" s="29">
        <v>45737</v>
      </c>
      <c r="D2153" s="11">
        <v>11309.793642000001</v>
      </c>
      <c r="E2153" s="27">
        <f t="shared" si="161"/>
        <v>12590.062282274401</v>
      </c>
      <c r="F2153" s="6">
        <f t="shared" si="162"/>
        <v>16367.080966956722</v>
      </c>
      <c r="G2153" s="7">
        <f t="shared" si="163"/>
        <v>17626.087195184158</v>
      </c>
      <c r="H2153" s="8">
        <f t="shared" si="164"/>
        <v>18885.093423411599</v>
      </c>
      <c r="I2153" s="9">
        <f t="shared" si="165"/>
        <v>20144.099651639044</v>
      </c>
    </row>
    <row r="2154" spans="1:9" x14ac:dyDescent="0.35">
      <c r="A2154" s="43" t="s">
        <v>2243</v>
      </c>
      <c r="B2154" s="44" t="s">
        <v>2244</v>
      </c>
      <c r="C2154" s="29">
        <v>45737</v>
      </c>
      <c r="D2154" s="11">
        <v>9167.2679070000013</v>
      </c>
      <c r="E2154" s="27">
        <f t="shared" si="161"/>
        <v>10205.002634072402</v>
      </c>
      <c r="F2154" s="6">
        <f t="shared" si="162"/>
        <v>13266.503424294122</v>
      </c>
      <c r="G2154" s="7">
        <f t="shared" si="163"/>
        <v>14287.003687701361</v>
      </c>
      <c r="H2154" s="8">
        <f t="shared" si="164"/>
        <v>15307.503951108603</v>
      </c>
      <c r="I2154" s="9">
        <f t="shared" si="165"/>
        <v>16328.004214515844</v>
      </c>
    </row>
    <row r="2155" spans="1:9" x14ac:dyDescent="0.35">
      <c r="A2155" s="43" t="s">
        <v>4631</v>
      </c>
      <c r="B2155" s="44" t="s">
        <v>4632</v>
      </c>
      <c r="C2155" s="29">
        <v>45737</v>
      </c>
      <c r="D2155" s="11">
        <v>9560.099682</v>
      </c>
      <c r="E2155" s="27">
        <f t="shared" si="161"/>
        <v>10642.3029660024</v>
      </c>
      <c r="F2155" s="6">
        <f t="shared" si="162"/>
        <v>13834.993855803121</v>
      </c>
      <c r="G2155" s="7">
        <f t="shared" si="163"/>
        <v>14899.22415240336</v>
      </c>
      <c r="H2155" s="8">
        <f t="shared" si="164"/>
        <v>15963.454449003601</v>
      </c>
      <c r="I2155" s="9">
        <f t="shared" si="165"/>
        <v>17027.684745603841</v>
      </c>
    </row>
    <row r="2156" spans="1:9" x14ac:dyDescent="0.35">
      <c r="A2156" s="43" t="s">
        <v>4634</v>
      </c>
      <c r="B2156" s="44" t="s">
        <v>4633</v>
      </c>
      <c r="C2156" s="29">
        <v>45737</v>
      </c>
      <c r="D2156" s="11">
        <v>11267.992701000003</v>
      </c>
      <c r="E2156" s="27">
        <f t="shared" si="161"/>
        <v>12543.529474753204</v>
      </c>
      <c r="F2156" s="6">
        <f t="shared" si="162"/>
        <v>16306.588317179167</v>
      </c>
      <c r="G2156" s="7">
        <f t="shared" si="163"/>
        <v>17560.941264654484</v>
      </c>
      <c r="H2156" s="8">
        <f t="shared" si="164"/>
        <v>18815.294212129807</v>
      </c>
      <c r="I2156" s="9">
        <f t="shared" si="165"/>
        <v>20069.647159605127</v>
      </c>
    </row>
    <row r="2157" spans="1:9" ht="18" x14ac:dyDescent="0.4">
      <c r="A2157" s="43">
        <v>2085</v>
      </c>
      <c r="B2157" s="44" t="s">
        <v>5873</v>
      </c>
      <c r="C2157" s="29">
        <v>45737</v>
      </c>
      <c r="D2157" s="11">
        <v>11139.920442000001</v>
      </c>
      <c r="E2157" s="27">
        <f t="shared" si="161"/>
        <v>12400.9594360344</v>
      </c>
      <c r="F2157" s="6">
        <f t="shared" si="162"/>
        <v>16121.247266844721</v>
      </c>
      <c r="G2157" s="7">
        <f t="shared" si="163"/>
        <v>17361.343210448158</v>
      </c>
      <c r="H2157" s="8">
        <f t="shared" si="164"/>
        <v>18601.439154051601</v>
      </c>
      <c r="I2157" s="9">
        <f t="shared" si="165"/>
        <v>19841.53509765504</v>
      </c>
    </row>
    <row r="2158" spans="1:9" x14ac:dyDescent="0.35">
      <c r="A2158" s="43" t="s">
        <v>3362</v>
      </c>
      <c r="B2158" s="44" t="s">
        <v>3363</v>
      </c>
      <c r="C2158" s="29">
        <v>45737</v>
      </c>
      <c r="D2158" s="11">
        <v>11634.251454000001</v>
      </c>
      <c r="E2158" s="27">
        <f t="shared" si="161"/>
        <v>12951.248718592802</v>
      </c>
      <c r="F2158" s="6">
        <f t="shared" si="162"/>
        <v>16836.623334170643</v>
      </c>
      <c r="G2158" s="7">
        <f t="shared" si="163"/>
        <v>18131.748206029923</v>
      </c>
      <c r="H2158" s="8">
        <f t="shared" si="164"/>
        <v>19426.873077889202</v>
      </c>
      <c r="I2158" s="9">
        <f t="shared" si="165"/>
        <v>20721.997949748486</v>
      </c>
    </row>
    <row r="2159" spans="1:9" ht="18" x14ac:dyDescent="0.4">
      <c r="A2159" s="43">
        <v>2086</v>
      </c>
      <c r="B2159" s="44" t="s">
        <v>5874</v>
      </c>
      <c r="C2159" s="29">
        <v>45737</v>
      </c>
      <c r="D2159" s="11">
        <v>6018.4861380000011</v>
      </c>
      <c r="E2159" s="27">
        <f t="shared" si="161"/>
        <v>6699.7787688216013</v>
      </c>
      <c r="F2159" s="6">
        <f t="shared" si="162"/>
        <v>8709.7123994680824</v>
      </c>
      <c r="G2159" s="7">
        <f t="shared" si="163"/>
        <v>9379.6902763502403</v>
      </c>
      <c r="H2159" s="8">
        <f t="shared" si="164"/>
        <v>10049.668153232402</v>
      </c>
      <c r="I2159" s="9">
        <f t="shared" si="165"/>
        <v>10719.646030114563</v>
      </c>
    </row>
    <row r="2160" spans="1:9" ht="18" x14ac:dyDescent="0.4">
      <c r="A2160" s="43">
        <v>2087</v>
      </c>
      <c r="B2160" s="44" t="s">
        <v>5875</v>
      </c>
      <c r="C2160" s="29">
        <v>45737</v>
      </c>
      <c r="D2160" s="11">
        <v>6185.6899020000001</v>
      </c>
      <c r="E2160" s="27">
        <f t="shared" si="161"/>
        <v>6885.9099989064007</v>
      </c>
      <c r="F2160" s="6">
        <f t="shared" si="162"/>
        <v>8951.6829985783206</v>
      </c>
      <c r="G2160" s="7">
        <f t="shared" si="163"/>
        <v>9640.2739984689597</v>
      </c>
      <c r="H2160" s="8">
        <f t="shared" si="164"/>
        <v>10328.864998359601</v>
      </c>
      <c r="I2160" s="9">
        <f t="shared" si="165"/>
        <v>11017.455998250241</v>
      </c>
    </row>
    <row r="2161" spans="1:9" ht="18" x14ac:dyDescent="0.4">
      <c r="A2161" s="43">
        <v>2090</v>
      </c>
      <c r="B2161" s="44" t="s">
        <v>5876</v>
      </c>
      <c r="C2161" s="29">
        <v>45737</v>
      </c>
      <c r="D2161" s="11">
        <v>6020.184870000001</v>
      </c>
      <c r="E2161" s="27">
        <f t="shared" si="161"/>
        <v>6701.6697972840011</v>
      </c>
      <c r="F2161" s="6">
        <f t="shared" si="162"/>
        <v>8712.1707364692011</v>
      </c>
      <c r="G2161" s="7">
        <f t="shared" si="163"/>
        <v>9382.3377161976005</v>
      </c>
      <c r="H2161" s="8">
        <f t="shared" si="164"/>
        <v>10052.504695926002</v>
      </c>
      <c r="I2161" s="9">
        <f t="shared" si="165"/>
        <v>10722.671675654403</v>
      </c>
    </row>
    <row r="2162" spans="1:9" ht="18" x14ac:dyDescent="0.4">
      <c r="A2162" s="43" t="s">
        <v>1110</v>
      </c>
      <c r="B2162" s="44" t="s">
        <v>5877</v>
      </c>
      <c r="C2162" s="29">
        <v>45737</v>
      </c>
      <c r="D2162" s="11">
        <v>7858.0308870000008</v>
      </c>
      <c r="E2162" s="27">
        <f t="shared" si="161"/>
        <v>8747.5599834084023</v>
      </c>
      <c r="F2162" s="6">
        <f t="shared" si="162"/>
        <v>11371.827978430923</v>
      </c>
      <c r="G2162" s="7">
        <f t="shared" si="163"/>
        <v>12246.583976771763</v>
      </c>
      <c r="H2162" s="8">
        <f t="shared" si="164"/>
        <v>13121.339975112603</v>
      </c>
      <c r="I2162" s="9">
        <f t="shared" si="165"/>
        <v>13996.095973453444</v>
      </c>
    </row>
    <row r="2163" spans="1:9" x14ac:dyDescent="0.35">
      <c r="A2163" s="43" t="s">
        <v>1111</v>
      </c>
      <c r="B2163" s="44" t="s">
        <v>1112</v>
      </c>
      <c r="C2163" s="29">
        <v>45737</v>
      </c>
      <c r="D2163" s="11">
        <v>8289.9941670000007</v>
      </c>
      <c r="E2163" s="27">
        <f t="shared" si="161"/>
        <v>9228.4215067044006</v>
      </c>
      <c r="F2163" s="6">
        <f t="shared" si="162"/>
        <v>11996.947958715722</v>
      </c>
      <c r="G2163" s="7">
        <f t="shared" si="163"/>
        <v>12919.79010938616</v>
      </c>
      <c r="H2163" s="8">
        <f t="shared" si="164"/>
        <v>13842.632260056602</v>
      </c>
      <c r="I2163" s="9">
        <f t="shared" si="165"/>
        <v>14765.474410727042</v>
      </c>
    </row>
    <row r="2164" spans="1:9" ht="18" x14ac:dyDescent="0.4">
      <c r="A2164" s="43">
        <v>2091</v>
      </c>
      <c r="B2164" s="44" t="s">
        <v>5878</v>
      </c>
      <c r="C2164" s="29">
        <v>45737</v>
      </c>
      <c r="D2164" s="11">
        <v>5664.7858680000018</v>
      </c>
      <c r="E2164" s="27">
        <f t="shared" si="161"/>
        <v>6306.0396282576021</v>
      </c>
      <c r="F2164" s="6">
        <f t="shared" si="162"/>
        <v>8197.8515167348833</v>
      </c>
      <c r="G2164" s="7">
        <f t="shared" si="163"/>
        <v>8828.4554795606418</v>
      </c>
      <c r="H2164" s="8">
        <f t="shared" si="164"/>
        <v>9459.0594423864022</v>
      </c>
      <c r="I2164" s="9">
        <f t="shared" si="165"/>
        <v>10089.663405212164</v>
      </c>
    </row>
    <row r="2165" spans="1:9" ht="18" x14ac:dyDescent="0.4">
      <c r="A2165" s="43">
        <v>2092</v>
      </c>
      <c r="B2165" s="44" t="s">
        <v>5879</v>
      </c>
      <c r="C2165" s="29">
        <v>45737</v>
      </c>
      <c r="D2165" s="11">
        <v>5664.7858680000018</v>
      </c>
      <c r="E2165" s="27">
        <f t="shared" si="161"/>
        <v>6306.0396282576021</v>
      </c>
      <c r="F2165" s="6">
        <f t="shared" si="162"/>
        <v>8197.8515167348833</v>
      </c>
      <c r="G2165" s="7">
        <f t="shared" si="163"/>
        <v>8828.4554795606418</v>
      </c>
      <c r="H2165" s="8">
        <f t="shared" si="164"/>
        <v>9459.0594423864022</v>
      </c>
      <c r="I2165" s="9">
        <f t="shared" si="165"/>
        <v>10089.663405212164</v>
      </c>
    </row>
    <row r="2166" spans="1:9" ht="18" x14ac:dyDescent="0.4">
      <c r="A2166" s="43">
        <v>2093</v>
      </c>
      <c r="B2166" s="44" t="s">
        <v>5880</v>
      </c>
      <c r="C2166" s="29">
        <v>45737</v>
      </c>
      <c r="D2166" s="11">
        <v>6013.3899420000007</v>
      </c>
      <c r="E2166" s="27">
        <f t="shared" si="161"/>
        <v>6694.1056834344008</v>
      </c>
      <c r="F2166" s="6">
        <f t="shared" si="162"/>
        <v>8702.3373884647208</v>
      </c>
      <c r="G2166" s="7">
        <f t="shared" si="163"/>
        <v>9371.7479568081599</v>
      </c>
      <c r="H2166" s="8">
        <f t="shared" si="164"/>
        <v>10041.158525151601</v>
      </c>
      <c r="I2166" s="9">
        <f t="shared" si="165"/>
        <v>10710.569093495042</v>
      </c>
    </row>
    <row r="2167" spans="1:9" ht="18" x14ac:dyDescent="0.4">
      <c r="A2167" s="43">
        <v>2094</v>
      </c>
      <c r="B2167" s="44" t="s">
        <v>5881</v>
      </c>
      <c r="C2167" s="29">
        <v>45737</v>
      </c>
      <c r="D2167" s="11">
        <v>6320.4964200000004</v>
      </c>
      <c r="E2167" s="27">
        <f t="shared" si="161"/>
        <v>7035.9766147440005</v>
      </c>
      <c r="F2167" s="6">
        <f t="shared" si="162"/>
        <v>9146.7695991672008</v>
      </c>
      <c r="G2167" s="7">
        <f t="shared" si="163"/>
        <v>9850.3672606416003</v>
      </c>
      <c r="H2167" s="8">
        <f t="shared" si="164"/>
        <v>10553.964922116</v>
      </c>
      <c r="I2167" s="9">
        <f t="shared" si="165"/>
        <v>11257.562583590401</v>
      </c>
    </row>
    <row r="2168" spans="1:9" ht="18" x14ac:dyDescent="0.4">
      <c r="A2168" s="43">
        <v>2095</v>
      </c>
      <c r="B2168" s="44" t="s">
        <v>5882</v>
      </c>
      <c r="C2168" s="29">
        <v>45737</v>
      </c>
      <c r="D2168" s="11">
        <v>7564.3929270000008</v>
      </c>
      <c r="E2168" s="27">
        <f t="shared" si="161"/>
        <v>8420.6822063363998</v>
      </c>
      <c r="F2168" s="6">
        <f t="shared" si="162"/>
        <v>10946.88686823732</v>
      </c>
      <c r="G2168" s="7">
        <f t="shared" si="163"/>
        <v>11788.955088870958</v>
      </c>
      <c r="H2168" s="8">
        <f t="shared" si="164"/>
        <v>12631.023309504599</v>
      </c>
      <c r="I2168" s="9">
        <f t="shared" si="165"/>
        <v>13473.091530138241</v>
      </c>
    </row>
    <row r="2169" spans="1:9" ht="18" x14ac:dyDescent="0.4">
      <c r="A2169" s="43">
        <v>2097</v>
      </c>
      <c r="B2169" s="44" t="s">
        <v>5883</v>
      </c>
      <c r="C2169" s="29">
        <v>45737</v>
      </c>
      <c r="D2169" s="11">
        <v>7164.644886000001</v>
      </c>
      <c r="E2169" s="27">
        <f t="shared" si="161"/>
        <v>7975.6826870952009</v>
      </c>
      <c r="F2169" s="6">
        <f t="shared" si="162"/>
        <v>10368.387493223761</v>
      </c>
      <c r="G2169" s="7">
        <f t="shared" si="163"/>
        <v>11165.955761933281</v>
      </c>
      <c r="H2169" s="8">
        <f t="shared" si="164"/>
        <v>11963.524030642802</v>
      </c>
      <c r="I2169" s="9">
        <f t="shared" si="165"/>
        <v>12761.092299352322</v>
      </c>
    </row>
    <row r="2170" spans="1:9" ht="18" x14ac:dyDescent="0.4">
      <c r="A2170" s="43" t="s">
        <v>1113</v>
      </c>
      <c r="B2170" s="47" t="s">
        <v>5884</v>
      </c>
      <c r="C2170" s="29">
        <v>45737</v>
      </c>
      <c r="D2170" s="11">
        <v>7164.644886000001</v>
      </c>
      <c r="E2170" s="27">
        <f t="shared" si="161"/>
        <v>7975.6826870952009</v>
      </c>
      <c r="F2170" s="6">
        <f t="shared" si="162"/>
        <v>10368.387493223761</v>
      </c>
      <c r="G2170" s="7">
        <f t="shared" si="163"/>
        <v>11165.955761933281</v>
      </c>
      <c r="H2170" s="8">
        <f t="shared" si="164"/>
        <v>11963.524030642802</v>
      </c>
      <c r="I2170" s="9">
        <f t="shared" si="165"/>
        <v>12761.092299352322</v>
      </c>
    </row>
    <row r="2171" spans="1:9" ht="18" x14ac:dyDescent="0.4">
      <c r="A2171" s="43">
        <v>2098</v>
      </c>
      <c r="B2171" s="44" t="s">
        <v>5885</v>
      </c>
      <c r="C2171" s="29">
        <v>45737</v>
      </c>
      <c r="D2171" s="11">
        <v>8026.6300380000012</v>
      </c>
      <c r="E2171" s="27">
        <f t="shared" si="161"/>
        <v>8935.2445583016015</v>
      </c>
      <c r="F2171" s="6">
        <f t="shared" si="162"/>
        <v>11615.817925792082</v>
      </c>
      <c r="G2171" s="7">
        <f t="shared" si="163"/>
        <v>12509.342381622242</v>
      </c>
      <c r="H2171" s="8">
        <f t="shared" si="164"/>
        <v>13402.866837452402</v>
      </c>
      <c r="I2171" s="9">
        <f t="shared" si="165"/>
        <v>14296.391293282562</v>
      </c>
    </row>
    <row r="2172" spans="1:9" ht="18" x14ac:dyDescent="0.4">
      <c r="A2172" s="43" t="s">
        <v>377</v>
      </c>
      <c r="B2172" s="44" t="s">
        <v>5886</v>
      </c>
      <c r="C2172" s="29">
        <v>45737</v>
      </c>
      <c r="D2172" s="11">
        <v>8211.5491500000007</v>
      </c>
      <c r="E2172" s="27">
        <f t="shared" si="161"/>
        <v>9141.0965137799994</v>
      </c>
      <c r="F2172" s="6">
        <f t="shared" si="162"/>
        <v>11883.425467913999</v>
      </c>
      <c r="G2172" s="7">
        <f t="shared" si="163"/>
        <v>12797.535119291999</v>
      </c>
      <c r="H2172" s="8">
        <f t="shared" si="164"/>
        <v>13711.644770669998</v>
      </c>
      <c r="I2172" s="9">
        <f t="shared" si="165"/>
        <v>14625.754422047999</v>
      </c>
    </row>
    <row r="2173" spans="1:9" ht="18" x14ac:dyDescent="0.4">
      <c r="A2173" s="43">
        <v>2099</v>
      </c>
      <c r="B2173" s="44" t="s">
        <v>5887</v>
      </c>
      <c r="C2173" s="29">
        <v>45737</v>
      </c>
      <c r="D2173" s="11">
        <v>5637.3634800000009</v>
      </c>
      <c r="E2173" s="27">
        <f t="shared" si="161"/>
        <v>6275.5130259360012</v>
      </c>
      <c r="F2173" s="6">
        <f t="shared" si="162"/>
        <v>8158.1669337168023</v>
      </c>
      <c r="G2173" s="7">
        <f t="shared" si="163"/>
        <v>8785.7182363104002</v>
      </c>
      <c r="H2173" s="8">
        <f t="shared" si="164"/>
        <v>9413.2695389040018</v>
      </c>
      <c r="I2173" s="9">
        <f t="shared" si="165"/>
        <v>10040.820841497603</v>
      </c>
    </row>
    <row r="2174" spans="1:9" x14ac:dyDescent="0.35">
      <c r="A2174" s="43" t="s">
        <v>1114</v>
      </c>
      <c r="B2174" s="44" t="s">
        <v>1115</v>
      </c>
      <c r="C2174" s="29">
        <v>45737</v>
      </c>
      <c r="D2174" s="11">
        <v>5990.0930460000009</v>
      </c>
      <c r="E2174" s="27">
        <f t="shared" si="161"/>
        <v>6668.1715788072006</v>
      </c>
      <c r="F2174" s="6">
        <f t="shared" si="162"/>
        <v>8668.6230524493603</v>
      </c>
      <c r="G2174" s="7">
        <f t="shared" si="163"/>
        <v>9335.4402103300799</v>
      </c>
      <c r="H2174" s="8">
        <f t="shared" si="164"/>
        <v>10002.257368210801</v>
      </c>
      <c r="I2174" s="9">
        <f t="shared" si="165"/>
        <v>10669.074526091521</v>
      </c>
    </row>
    <row r="2175" spans="1:9" ht="18" x14ac:dyDescent="0.4">
      <c r="A2175" s="43">
        <v>2100</v>
      </c>
      <c r="B2175" s="44" t="s">
        <v>5888</v>
      </c>
      <c r="C2175" s="29">
        <v>45737</v>
      </c>
      <c r="D2175" s="11">
        <v>6032.3186700000006</v>
      </c>
      <c r="E2175" s="27">
        <f t="shared" si="161"/>
        <v>6715.1771434440016</v>
      </c>
      <c r="F2175" s="6">
        <f t="shared" si="162"/>
        <v>8729.7302864772028</v>
      </c>
      <c r="G2175" s="7">
        <f t="shared" si="163"/>
        <v>9401.2480008216007</v>
      </c>
      <c r="H2175" s="8">
        <f t="shared" si="164"/>
        <v>10072.765715166002</v>
      </c>
      <c r="I2175" s="9">
        <f t="shared" si="165"/>
        <v>10744.283429510404</v>
      </c>
    </row>
    <row r="2176" spans="1:9" x14ac:dyDescent="0.35">
      <c r="A2176" s="43" t="s">
        <v>1116</v>
      </c>
      <c r="B2176" s="44" t="s">
        <v>1117</v>
      </c>
      <c r="C2176" s="29">
        <v>45737</v>
      </c>
      <c r="D2176" s="11">
        <v>5757.7307760000003</v>
      </c>
      <c r="E2176" s="27">
        <f t="shared" si="161"/>
        <v>6409.5058998432005</v>
      </c>
      <c r="F2176" s="6">
        <f t="shared" si="162"/>
        <v>8332.3576697961616</v>
      </c>
      <c r="G2176" s="7">
        <f t="shared" si="163"/>
        <v>8973.3082597804805</v>
      </c>
      <c r="H2176" s="8">
        <f t="shared" si="164"/>
        <v>9614.2588497648012</v>
      </c>
      <c r="I2176" s="9">
        <f t="shared" si="165"/>
        <v>10255.209439749122</v>
      </c>
    </row>
    <row r="2177" spans="1:9" x14ac:dyDescent="0.35">
      <c r="A2177" s="43" t="s">
        <v>4635</v>
      </c>
      <c r="B2177" s="44" t="s">
        <v>4636</v>
      </c>
      <c r="C2177" s="29">
        <v>45737</v>
      </c>
      <c r="D2177" s="11">
        <v>5809.5421020000003</v>
      </c>
      <c r="E2177" s="27">
        <f t="shared" si="161"/>
        <v>6467.1822679464003</v>
      </c>
      <c r="F2177" s="6">
        <f t="shared" si="162"/>
        <v>8407.3369483303213</v>
      </c>
      <c r="G2177" s="7">
        <f t="shared" si="163"/>
        <v>9054.0551751249604</v>
      </c>
      <c r="H2177" s="8">
        <f t="shared" si="164"/>
        <v>9700.7734019195996</v>
      </c>
      <c r="I2177" s="9">
        <f t="shared" si="165"/>
        <v>10347.491628714241</v>
      </c>
    </row>
    <row r="2178" spans="1:9" ht="18" x14ac:dyDescent="0.4">
      <c r="A2178" s="43">
        <v>2103</v>
      </c>
      <c r="B2178" s="44" t="s">
        <v>5889</v>
      </c>
      <c r="C2178" s="29">
        <v>45737</v>
      </c>
      <c r="D2178" s="11">
        <v>6406.7677380000014</v>
      </c>
      <c r="E2178" s="27">
        <f t="shared" si="161"/>
        <v>7132.0138459416021</v>
      </c>
      <c r="F2178" s="6">
        <f t="shared" si="162"/>
        <v>9271.6179997240833</v>
      </c>
      <c r="G2178" s="7">
        <f t="shared" si="163"/>
        <v>9984.8193843182416</v>
      </c>
      <c r="H2178" s="8">
        <f t="shared" si="164"/>
        <v>10698.020768912404</v>
      </c>
      <c r="I2178" s="9">
        <f t="shared" si="165"/>
        <v>11411.222153506564</v>
      </c>
    </row>
    <row r="2179" spans="1:9" ht="18" x14ac:dyDescent="0.4">
      <c r="A2179" s="43">
        <v>2104</v>
      </c>
      <c r="B2179" s="44" t="s">
        <v>5890</v>
      </c>
      <c r="C2179" s="29">
        <v>45737</v>
      </c>
      <c r="D2179" s="11">
        <v>6440.1356880000012</v>
      </c>
      <c r="E2179" s="27">
        <f t="shared" si="161"/>
        <v>7169.1590478816015</v>
      </c>
      <c r="F2179" s="6">
        <f t="shared" si="162"/>
        <v>9319.9067622460825</v>
      </c>
      <c r="G2179" s="7">
        <f t="shared" si="163"/>
        <v>10036.822667034241</v>
      </c>
      <c r="H2179" s="8">
        <f t="shared" si="164"/>
        <v>10753.738571822403</v>
      </c>
      <c r="I2179" s="9">
        <f t="shared" si="165"/>
        <v>11470.654476610564</v>
      </c>
    </row>
    <row r="2180" spans="1:9" ht="18" x14ac:dyDescent="0.4">
      <c r="A2180" s="43">
        <v>2105</v>
      </c>
      <c r="B2180" s="44" t="s">
        <v>5891</v>
      </c>
      <c r="C2180" s="29">
        <v>45737</v>
      </c>
      <c r="D2180" s="11">
        <v>6348.5254980000009</v>
      </c>
      <c r="E2180" s="27">
        <f t="shared" si="161"/>
        <v>7067.1785843736006</v>
      </c>
      <c r="F2180" s="6">
        <f t="shared" si="162"/>
        <v>9187.3321596856804</v>
      </c>
      <c r="G2180" s="7">
        <f t="shared" si="163"/>
        <v>9894.05001812304</v>
      </c>
      <c r="H2180" s="8">
        <f t="shared" si="164"/>
        <v>10600.767876560401</v>
      </c>
      <c r="I2180" s="9">
        <f t="shared" si="165"/>
        <v>11307.485734997761</v>
      </c>
    </row>
    <row r="2181" spans="1:9" ht="18" x14ac:dyDescent="0.4">
      <c r="A2181" s="43">
        <v>2106</v>
      </c>
      <c r="B2181" s="44" t="s">
        <v>5892</v>
      </c>
      <c r="C2181" s="29">
        <v>45737</v>
      </c>
      <c r="D2181" s="11">
        <v>6756.2818470000002</v>
      </c>
      <c r="E2181" s="27">
        <f t="shared" si="161"/>
        <v>7521.0929520804002</v>
      </c>
      <c r="F2181" s="6">
        <f t="shared" si="162"/>
        <v>9777.4208377045197</v>
      </c>
      <c r="G2181" s="7">
        <f t="shared" si="163"/>
        <v>10529.53013291256</v>
      </c>
      <c r="H2181" s="8">
        <f t="shared" si="164"/>
        <v>11281.639428120601</v>
      </c>
      <c r="I2181" s="9">
        <f t="shared" si="165"/>
        <v>12033.748723328641</v>
      </c>
    </row>
    <row r="2182" spans="1:9" ht="18" x14ac:dyDescent="0.4">
      <c r="A2182" s="43">
        <v>2107</v>
      </c>
      <c r="B2182" s="44" t="s">
        <v>5893</v>
      </c>
      <c r="C2182" s="29">
        <v>45737</v>
      </c>
      <c r="D2182" s="11">
        <v>8586.3622319999995</v>
      </c>
      <c r="E2182" s="27">
        <f t="shared" si="161"/>
        <v>9558.3384366623995</v>
      </c>
      <c r="F2182" s="6">
        <f t="shared" si="162"/>
        <v>12425.839967661121</v>
      </c>
      <c r="G2182" s="7">
        <f t="shared" si="163"/>
        <v>13381.673811327359</v>
      </c>
      <c r="H2182" s="8">
        <f t="shared" si="164"/>
        <v>14337.507654993598</v>
      </c>
      <c r="I2182" s="9">
        <f t="shared" si="165"/>
        <v>15293.34149865984</v>
      </c>
    </row>
    <row r="2183" spans="1:9" ht="18" x14ac:dyDescent="0.4">
      <c r="A2183" s="43">
        <v>2108</v>
      </c>
      <c r="B2183" s="44" t="s">
        <v>5894</v>
      </c>
      <c r="C2183" s="29">
        <v>45737</v>
      </c>
      <c r="D2183" s="11">
        <v>7262.3219760000011</v>
      </c>
      <c r="E2183" s="27">
        <f t="shared" si="161"/>
        <v>8084.416823683202</v>
      </c>
      <c r="F2183" s="6">
        <f t="shared" si="162"/>
        <v>10509.741870788162</v>
      </c>
      <c r="G2183" s="7">
        <f t="shared" si="163"/>
        <v>11318.183553156483</v>
      </c>
      <c r="H2183" s="8">
        <f t="shared" si="164"/>
        <v>12126.625235524803</v>
      </c>
      <c r="I2183" s="9">
        <f t="shared" si="165"/>
        <v>12935.066917893124</v>
      </c>
    </row>
    <row r="2184" spans="1:9" ht="18" x14ac:dyDescent="0.4">
      <c r="A2184" s="43">
        <v>2110</v>
      </c>
      <c r="B2184" s="44" t="s">
        <v>5895</v>
      </c>
      <c r="C2184" s="29">
        <v>45737</v>
      </c>
      <c r="D2184" s="11">
        <v>5098.1374080000023</v>
      </c>
      <c r="E2184" s="27">
        <f t="shared" si="161"/>
        <v>5675.246562585603</v>
      </c>
      <c r="F2184" s="6">
        <f t="shared" si="162"/>
        <v>7377.8205313612843</v>
      </c>
      <c r="G2184" s="7">
        <f t="shared" si="163"/>
        <v>7945.3451876198433</v>
      </c>
      <c r="H2184" s="8">
        <f t="shared" si="164"/>
        <v>8512.8698438784049</v>
      </c>
      <c r="I2184" s="9">
        <f t="shared" si="165"/>
        <v>9080.3945001369648</v>
      </c>
    </row>
    <row r="2185" spans="1:9" ht="18" x14ac:dyDescent="0.4">
      <c r="A2185" s="43">
        <v>2111</v>
      </c>
      <c r="B2185" s="47" t="s">
        <v>5896</v>
      </c>
      <c r="C2185" s="29">
        <v>45737</v>
      </c>
      <c r="D2185" s="11">
        <v>5757.9734520000011</v>
      </c>
      <c r="E2185" s="27">
        <f t="shared" si="161"/>
        <v>6409.7760467664011</v>
      </c>
      <c r="F2185" s="6">
        <f t="shared" si="162"/>
        <v>8332.7088607963215</v>
      </c>
      <c r="G2185" s="7">
        <f t="shared" si="163"/>
        <v>8973.6864654729616</v>
      </c>
      <c r="H2185" s="8">
        <f t="shared" si="164"/>
        <v>9614.6640701496017</v>
      </c>
      <c r="I2185" s="9">
        <f t="shared" si="165"/>
        <v>10255.641674826242</v>
      </c>
    </row>
    <row r="2186" spans="1:9" ht="18" x14ac:dyDescent="0.4">
      <c r="A2186" s="43">
        <v>2112</v>
      </c>
      <c r="B2186" s="47" t="s">
        <v>5897</v>
      </c>
      <c r="C2186" s="29">
        <v>45737</v>
      </c>
      <c r="D2186" s="11">
        <v>7842.0749400000022</v>
      </c>
      <c r="E2186" s="27">
        <f t="shared" si="161"/>
        <v>8729.7978232080022</v>
      </c>
      <c r="F2186" s="6">
        <f t="shared" si="162"/>
        <v>11348.737170170403</v>
      </c>
      <c r="G2186" s="7">
        <f t="shared" si="163"/>
        <v>12221.716952491202</v>
      </c>
      <c r="H2186" s="8">
        <f t="shared" si="164"/>
        <v>13094.696734812003</v>
      </c>
      <c r="I2186" s="9">
        <f t="shared" si="165"/>
        <v>13967.676517132804</v>
      </c>
    </row>
    <row r="2187" spans="1:9" x14ac:dyDescent="0.35">
      <c r="A2187" s="43" t="s">
        <v>1118</v>
      </c>
      <c r="B2187" s="47" t="s">
        <v>1119</v>
      </c>
      <c r="C2187" s="29">
        <v>45737</v>
      </c>
      <c r="D2187" s="11">
        <v>7470.0526320000008</v>
      </c>
      <c r="E2187" s="27">
        <f t="shared" si="161"/>
        <v>8315.6625899424016</v>
      </c>
      <c r="F2187" s="6">
        <f t="shared" si="162"/>
        <v>10810.361366925123</v>
      </c>
      <c r="G2187" s="7">
        <f t="shared" si="163"/>
        <v>11641.927625919361</v>
      </c>
      <c r="H2187" s="8">
        <f t="shared" si="164"/>
        <v>12473.493884913602</v>
      </c>
      <c r="I2187" s="9">
        <f t="shared" si="165"/>
        <v>13305.060143907844</v>
      </c>
    </row>
    <row r="2188" spans="1:9" ht="18" x14ac:dyDescent="0.4">
      <c r="A2188" s="43">
        <v>2113</v>
      </c>
      <c r="B2188" s="47" t="s">
        <v>5898</v>
      </c>
      <c r="C2188" s="29">
        <v>45737</v>
      </c>
      <c r="D2188" s="11">
        <v>6304.3584660000006</v>
      </c>
      <c r="E2188" s="27">
        <f t="shared" ref="E2188:E2251" si="166">D2188*1.21*0.92</f>
        <v>7018.011844351201</v>
      </c>
      <c r="F2188" s="6">
        <f t="shared" si="162"/>
        <v>9123.4153976565613</v>
      </c>
      <c r="G2188" s="7">
        <f t="shared" si="163"/>
        <v>9825.2165820916816</v>
      </c>
      <c r="H2188" s="8">
        <f t="shared" si="164"/>
        <v>10527.017766526802</v>
      </c>
      <c r="I2188" s="9">
        <f t="shared" si="165"/>
        <v>11228.818950961922</v>
      </c>
    </row>
    <row r="2189" spans="1:9" ht="18" x14ac:dyDescent="0.4">
      <c r="A2189" s="43" t="s">
        <v>1120</v>
      </c>
      <c r="B2189" s="47" t="s">
        <v>5899</v>
      </c>
      <c r="C2189" s="29">
        <v>45737</v>
      </c>
      <c r="D2189" s="11">
        <v>8212.3985160000011</v>
      </c>
      <c r="E2189" s="27">
        <f t="shared" si="166"/>
        <v>9142.0420280112012</v>
      </c>
      <c r="F2189" s="6">
        <f t="shared" si="162"/>
        <v>11884.654636414562</v>
      </c>
      <c r="G2189" s="7">
        <f t="shared" si="163"/>
        <v>12798.858839215682</v>
      </c>
      <c r="H2189" s="8">
        <f t="shared" si="164"/>
        <v>13713.063042016802</v>
      </c>
      <c r="I2189" s="9">
        <f t="shared" si="165"/>
        <v>14627.267244817922</v>
      </c>
    </row>
    <row r="2190" spans="1:9" x14ac:dyDescent="0.35">
      <c r="A2190" s="43" t="s">
        <v>1121</v>
      </c>
      <c r="B2190" s="47" t="s">
        <v>1122</v>
      </c>
      <c r="C2190" s="29">
        <v>45737</v>
      </c>
      <c r="D2190" s="11">
        <v>8212.3985160000011</v>
      </c>
      <c r="E2190" s="27">
        <f t="shared" si="166"/>
        <v>9142.0420280112012</v>
      </c>
      <c r="F2190" s="6">
        <f t="shared" si="162"/>
        <v>11884.654636414562</v>
      </c>
      <c r="G2190" s="7">
        <f t="shared" si="163"/>
        <v>12798.858839215682</v>
      </c>
      <c r="H2190" s="8">
        <f t="shared" si="164"/>
        <v>13713.063042016802</v>
      </c>
      <c r="I2190" s="9">
        <f t="shared" si="165"/>
        <v>14627.267244817922</v>
      </c>
    </row>
    <row r="2191" spans="1:9" x14ac:dyDescent="0.35">
      <c r="A2191" s="43" t="s">
        <v>3319</v>
      </c>
      <c r="B2191" s="47" t="s">
        <v>3316</v>
      </c>
      <c r="C2191" s="29">
        <v>45737</v>
      </c>
      <c r="D2191" s="11">
        <v>8547.2913960000005</v>
      </c>
      <c r="E2191" s="27">
        <f t="shared" si="166"/>
        <v>9514.8447820272013</v>
      </c>
      <c r="F2191" s="6">
        <f t="shared" si="162"/>
        <v>12369.298216635361</v>
      </c>
      <c r="G2191" s="7">
        <f t="shared" si="163"/>
        <v>13320.782694838081</v>
      </c>
      <c r="H2191" s="8">
        <f t="shared" si="164"/>
        <v>14272.267173040802</v>
      </c>
      <c r="I2191" s="9">
        <f t="shared" si="165"/>
        <v>15223.751651243523</v>
      </c>
    </row>
    <row r="2192" spans="1:9" ht="18" x14ac:dyDescent="0.4">
      <c r="A2192" s="45">
        <v>2114</v>
      </c>
      <c r="B2192" s="48" t="s">
        <v>1719</v>
      </c>
      <c r="C2192" s="29">
        <v>45737</v>
      </c>
      <c r="D2192" s="11">
        <v>4465.359738000001</v>
      </c>
      <c r="E2192" s="27">
        <f t="shared" si="166"/>
        <v>4970.8384603416016</v>
      </c>
      <c r="F2192" s="6">
        <f t="shared" ref="F2192:F2255" si="167">E2192*1.3</f>
        <v>6462.0899984440821</v>
      </c>
      <c r="G2192" s="7">
        <f t="shared" ref="G2192:G2255" si="168">E2192*1.4</f>
        <v>6959.1738444782422</v>
      </c>
      <c r="H2192" s="8">
        <f t="shared" ref="H2192:H2255" si="169">E2192*1.5</f>
        <v>7456.2576905124024</v>
      </c>
      <c r="I2192" s="9">
        <f t="shared" ref="I2192:I2255" si="170">E2192*1.6</f>
        <v>7953.3415365465626</v>
      </c>
    </row>
    <row r="2193" spans="1:9" ht="18" x14ac:dyDescent="0.4">
      <c r="A2193" s="43" t="s">
        <v>1123</v>
      </c>
      <c r="B2193" s="47" t="s">
        <v>5900</v>
      </c>
      <c r="C2193" s="29">
        <v>45737</v>
      </c>
      <c r="D2193" s="11">
        <v>6535.0220040000022</v>
      </c>
      <c r="E2193" s="27">
        <f t="shared" si="166"/>
        <v>7274.7864948528022</v>
      </c>
      <c r="F2193" s="6">
        <f t="shared" si="167"/>
        <v>9457.2224433086431</v>
      </c>
      <c r="G2193" s="7">
        <f t="shared" si="168"/>
        <v>10184.701092793923</v>
      </c>
      <c r="H2193" s="8">
        <f t="shared" si="169"/>
        <v>10912.179742279204</v>
      </c>
      <c r="I2193" s="9">
        <f t="shared" si="170"/>
        <v>11639.658391764484</v>
      </c>
    </row>
    <row r="2194" spans="1:9" ht="18" x14ac:dyDescent="0.4">
      <c r="A2194" s="43" t="s">
        <v>1124</v>
      </c>
      <c r="B2194" s="47" t="s">
        <v>5901</v>
      </c>
      <c r="C2194" s="29">
        <v>45737</v>
      </c>
      <c r="D2194" s="11">
        <v>5664.1791780000012</v>
      </c>
      <c r="E2194" s="27">
        <f t="shared" si="166"/>
        <v>6305.364260949601</v>
      </c>
      <c r="F2194" s="6">
        <f t="shared" si="167"/>
        <v>8196.973539234481</v>
      </c>
      <c r="G2194" s="7">
        <f t="shared" si="168"/>
        <v>8827.5099653294401</v>
      </c>
      <c r="H2194" s="8">
        <f t="shared" si="169"/>
        <v>9458.046391424401</v>
      </c>
      <c r="I2194" s="9">
        <f t="shared" si="170"/>
        <v>10088.582817519362</v>
      </c>
    </row>
    <row r="2195" spans="1:9" x14ac:dyDescent="0.35">
      <c r="A2195" s="43" t="s">
        <v>3317</v>
      </c>
      <c r="B2195" s="47" t="s">
        <v>3318</v>
      </c>
      <c r="C2195" s="29">
        <v>45737</v>
      </c>
      <c r="D2195" s="11">
        <v>5792.3121060000012</v>
      </c>
      <c r="E2195" s="27">
        <f t="shared" si="166"/>
        <v>6448.0018363992012</v>
      </c>
      <c r="F2195" s="6">
        <f t="shared" si="167"/>
        <v>8382.4023873189617</v>
      </c>
      <c r="G2195" s="7">
        <f t="shared" si="168"/>
        <v>9027.2025709588816</v>
      </c>
      <c r="H2195" s="8">
        <f t="shared" si="169"/>
        <v>9672.0027545988014</v>
      </c>
      <c r="I2195" s="9">
        <f t="shared" si="170"/>
        <v>10316.802938238723</v>
      </c>
    </row>
    <row r="2196" spans="1:9" ht="18" x14ac:dyDescent="0.4">
      <c r="A2196" s="43">
        <v>2115</v>
      </c>
      <c r="B2196" s="47" t="s">
        <v>5902</v>
      </c>
      <c r="C2196" s="29">
        <v>45737</v>
      </c>
      <c r="D2196" s="11">
        <v>7630.5221370000008</v>
      </c>
      <c r="E2196" s="27">
        <f t="shared" si="166"/>
        <v>8494.2972429084002</v>
      </c>
      <c r="F2196" s="6">
        <f t="shared" si="167"/>
        <v>11042.586415780921</v>
      </c>
      <c r="G2196" s="7">
        <f t="shared" si="168"/>
        <v>11892.016140071759</v>
      </c>
      <c r="H2196" s="8">
        <f t="shared" si="169"/>
        <v>12741.4458643626</v>
      </c>
      <c r="I2196" s="9">
        <f t="shared" si="170"/>
        <v>13590.875588653442</v>
      </c>
    </row>
    <row r="2197" spans="1:9" x14ac:dyDescent="0.35">
      <c r="A2197" s="43" t="s">
        <v>1125</v>
      </c>
      <c r="B2197" s="47" t="s">
        <v>1126</v>
      </c>
      <c r="C2197" s="29">
        <v>45737</v>
      </c>
      <c r="D2197" s="11">
        <v>8225.3816820000011</v>
      </c>
      <c r="E2197" s="27">
        <f t="shared" si="166"/>
        <v>9156.4948884024016</v>
      </c>
      <c r="F2197" s="6">
        <f t="shared" si="167"/>
        <v>11903.443354923122</v>
      </c>
      <c r="G2197" s="7">
        <f t="shared" si="168"/>
        <v>12819.092843763361</v>
      </c>
      <c r="H2197" s="8">
        <f t="shared" si="169"/>
        <v>13734.742332603602</v>
      </c>
      <c r="I2197" s="9">
        <f t="shared" si="170"/>
        <v>14650.391821443844</v>
      </c>
    </row>
    <row r="2198" spans="1:9" x14ac:dyDescent="0.35">
      <c r="A2198" s="43" t="s">
        <v>1127</v>
      </c>
      <c r="B2198" s="47" t="s">
        <v>1128</v>
      </c>
      <c r="C2198" s="29">
        <v>45737</v>
      </c>
      <c r="D2198" s="11">
        <v>8175.5117640000017</v>
      </c>
      <c r="E2198" s="27">
        <f t="shared" si="166"/>
        <v>9100.9796956848022</v>
      </c>
      <c r="F2198" s="6">
        <f t="shared" si="167"/>
        <v>11831.273604390244</v>
      </c>
      <c r="G2198" s="7">
        <f t="shared" si="168"/>
        <v>12741.371573958722</v>
      </c>
      <c r="H2198" s="8">
        <f t="shared" si="169"/>
        <v>13651.469543527204</v>
      </c>
      <c r="I2198" s="9">
        <f t="shared" si="170"/>
        <v>14561.567513095684</v>
      </c>
    </row>
    <row r="2199" spans="1:9" x14ac:dyDescent="0.35">
      <c r="A2199" s="43" t="s">
        <v>3320</v>
      </c>
      <c r="B2199" s="47" t="s">
        <v>3321</v>
      </c>
      <c r="C2199" s="29">
        <v>45737</v>
      </c>
      <c r="D2199" s="11">
        <v>6748.6375530000014</v>
      </c>
      <c r="E2199" s="27">
        <f t="shared" si="166"/>
        <v>7512.5833239996018</v>
      </c>
      <c r="F2199" s="6">
        <f t="shared" si="167"/>
        <v>9766.3583211994828</v>
      </c>
      <c r="G2199" s="7">
        <f t="shared" si="168"/>
        <v>10517.616653599442</v>
      </c>
      <c r="H2199" s="8">
        <f t="shared" si="169"/>
        <v>11268.874985999402</v>
      </c>
      <c r="I2199" s="9">
        <f t="shared" si="170"/>
        <v>12020.133318399363</v>
      </c>
    </row>
    <row r="2200" spans="1:9" x14ac:dyDescent="0.35">
      <c r="A2200" s="43" t="s">
        <v>3322</v>
      </c>
      <c r="B2200" s="47" t="s">
        <v>3323</v>
      </c>
      <c r="C2200" s="29">
        <v>45737</v>
      </c>
      <c r="D2200" s="11">
        <v>7629.2480880000012</v>
      </c>
      <c r="E2200" s="27">
        <f t="shared" si="166"/>
        <v>8492.8789715616003</v>
      </c>
      <c r="F2200" s="6">
        <f t="shared" si="167"/>
        <v>11040.742663030082</v>
      </c>
      <c r="G2200" s="7">
        <f t="shared" si="168"/>
        <v>11890.03056018624</v>
      </c>
      <c r="H2200" s="8">
        <f t="shared" si="169"/>
        <v>12739.318457342401</v>
      </c>
      <c r="I2200" s="9">
        <f t="shared" si="170"/>
        <v>13588.606354498561</v>
      </c>
    </row>
    <row r="2201" spans="1:9" ht="18" x14ac:dyDescent="0.4">
      <c r="A2201" s="45">
        <v>2116</v>
      </c>
      <c r="B2201" s="48" t="s">
        <v>1720</v>
      </c>
      <c r="C2201" s="29">
        <v>45737</v>
      </c>
      <c r="D2201" s="11">
        <v>3472.3295460000004</v>
      </c>
      <c r="E2201" s="27">
        <f t="shared" si="166"/>
        <v>3865.3972506072005</v>
      </c>
      <c r="F2201" s="6">
        <f t="shared" si="167"/>
        <v>5025.0164257893612</v>
      </c>
      <c r="G2201" s="7">
        <f t="shared" si="168"/>
        <v>5411.5561508500805</v>
      </c>
      <c r="H2201" s="8">
        <f t="shared" si="169"/>
        <v>5798.0958759108007</v>
      </c>
      <c r="I2201" s="9">
        <f t="shared" si="170"/>
        <v>6184.6356009715209</v>
      </c>
    </row>
    <row r="2202" spans="1:9" ht="18" x14ac:dyDescent="0.4">
      <c r="A2202" s="45" t="s">
        <v>1129</v>
      </c>
      <c r="B2202" s="48" t="s">
        <v>1130</v>
      </c>
      <c r="C2202" s="29">
        <v>45737</v>
      </c>
      <c r="D2202" s="11">
        <v>4164.4414980000001</v>
      </c>
      <c r="E2202" s="27">
        <f t="shared" si="166"/>
        <v>4635.8562755736002</v>
      </c>
      <c r="F2202" s="6">
        <f t="shared" si="167"/>
        <v>6026.6131582456801</v>
      </c>
      <c r="G2202" s="7">
        <f t="shared" si="168"/>
        <v>6490.1987858030398</v>
      </c>
      <c r="H2202" s="8">
        <f t="shared" si="169"/>
        <v>6953.7844133604003</v>
      </c>
      <c r="I2202" s="9">
        <f t="shared" si="170"/>
        <v>7417.3700409177609</v>
      </c>
    </row>
    <row r="2203" spans="1:9" ht="18" x14ac:dyDescent="0.4">
      <c r="A2203" s="43">
        <v>2117</v>
      </c>
      <c r="B2203" s="47" t="s">
        <v>5903</v>
      </c>
      <c r="C2203" s="29">
        <v>45737</v>
      </c>
      <c r="D2203" s="11">
        <v>8039.6132040000011</v>
      </c>
      <c r="E2203" s="27">
        <f t="shared" si="166"/>
        <v>8949.6974186928019</v>
      </c>
      <c r="F2203" s="6">
        <f t="shared" si="167"/>
        <v>11634.606644300642</v>
      </c>
      <c r="G2203" s="7">
        <f t="shared" si="168"/>
        <v>12529.576386169922</v>
      </c>
      <c r="H2203" s="8">
        <f t="shared" si="169"/>
        <v>13424.546128039203</v>
      </c>
      <c r="I2203" s="9">
        <f t="shared" si="170"/>
        <v>14319.515869908484</v>
      </c>
    </row>
    <row r="2204" spans="1:9" ht="18" x14ac:dyDescent="0.4">
      <c r="A2204" s="43">
        <v>2118</v>
      </c>
      <c r="B2204" s="47" t="s">
        <v>5904</v>
      </c>
      <c r="C2204" s="29">
        <v>45737</v>
      </c>
      <c r="D2204" s="11">
        <v>6477.750468000002</v>
      </c>
      <c r="E2204" s="27">
        <f t="shared" si="166"/>
        <v>7211.0318209776024</v>
      </c>
      <c r="F2204" s="6">
        <f t="shared" si="167"/>
        <v>9374.341367270883</v>
      </c>
      <c r="G2204" s="7">
        <f t="shared" si="168"/>
        <v>10095.444549368643</v>
      </c>
      <c r="H2204" s="8">
        <f t="shared" si="169"/>
        <v>10816.547731466404</v>
      </c>
      <c r="I2204" s="9">
        <f t="shared" si="170"/>
        <v>11537.650913564165</v>
      </c>
    </row>
    <row r="2205" spans="1:9" ht="18" x14ac:dyDescent="0.4">
      <c r="A2205" s="43">
        <v>2119</v>
      </c>
      <c r="B2205" s="47" t="s">
        <v>5905</v>
      </c>
      <c r="C2205" s="29">
        <v>45737</v>
      </c>
      <c r="D2205" s="11">
        <v>5808.9354120000007</v>
      </c>
      <c r="E2205" s="27">
        <f t="shared" si="166"/>
        <v>6466.5069006384001</v>
      </c>
      <c r="F2205" s="6">
        <f t="shared" si="167"/>
        <v>8406.4589708299209</v>
      </c>
      <c r="G2205" s="7">
        <f t="shared" si="168"/>
        <v>9053.1096608937587</v>
      </c>
      <c r="H2205" s="8">
        <f t="shared" si="169"/>
        <v>9699.7603509576002</v>
      </c>
      <c r="I2205" s="9">
        <f t="shared" si="170"/>
        <v>10346.411041021442</v>
      </c>
    </row>
    <row r="2206" spans="1:9" ht="18" x14ac:dyDescent="0.4">
      <c r="A2206" s="43">
        <v>2120</v>
      </c>
      <c r="B2206" s="47" t="s">
        <v>5906</v>
      </c>
      <c r="C2206" s="29">
        <v>45737</v>
      </c>
      <c r="D2206" s="11">
        <v>5649.6186180000013</v>
      </c>
      <c r="E2206" s="27">
        <f t="shared" si="166"/>
        <v>6289.1554455576015</v>
      </c>
      <c r="F2206" s="6">
        <f t="shared" si="167"/>
        <v>8175.9020792248821</v>
      </c>
      <c r="G2206" s="7">
        <f t="shared" si="168"/>
        <v>8804.817623780642</v>
      </c>
      <c r="H2206" s="8">
        <f t="shared" si="169"/>
        <v>9433.7331683364027</v>
      </c>
      <c r="I2206" s="9">
        <f t="shared" si="170"/>
        <v>10062.648712892164</v>
      </c>
    </row>
    <row r="2207" spans="1:9" ht="18" x14ac:dyDescent="0.4">
      <c r="A2207" s="43">
        <v>2122</v>
      </c>
      <c r="B2207" s="47" t="s">
        <v>5907</v>
      </c>
      <c r="C2207" s="29">
        <v>45737</v>
      </c>
      <c r="D2207" s="11">
        <v>8039.6132040000011</v>
      </c>
      <c r="E2207" s="27">
        <f t="shared" si="166"/>
        <v>8949.6974186928019</v>
      </c>
      <c r="F2207" s="6">
        <f t="shared" si="167"/>
        <v>11634.606644300642</v>
      </c>
      <c r="G2207" s="7">
        <f t="shared" si="168"/>
        <v>12529.576386169922</v>
      </c>
      <c r="H2207" s="8">
        <f t="shared" si="169"/>
        <v>13424.546128039203</v>
      </c>
      <c r="I2207" s="9">
        <f t="shared" si="170"/>
        <v>14319.515869908484</v>
      </c>
    </row>
    <row r="2208" spans="1:9" ht="18" x14ac:dyDescent="0.4">
      <c r="A2208" s="43">
        <v>2123</v>
      </c>
      <c r="B2208" s="47" t="s">
        <v>5908</v>
      </c>
      <c r="C2208" s="29">
        <v>45737</v>
      </c>
      <c r="D2208" s="11">
        <v>6040.4968512000014</v>
      </c>
      <c r="E2208" s="27">
        <f t="shared" si="166"/>
        <v>6724.2810947558419</v>
      </c>
      <c r="F2208" s="6">
        <f t="shared" si="167"/>
        <v>8741.5654231825956</v>
      </c>
      <c r="G2208" s="7">
        <f t="shared" si="168"/>
        <v>9413.9935326581781</v>
      </c>
      <c r="H2208" s="8">
        <f t="shared" si="169"/>
        <v>10086.421642133762</v>
      </c>
      <c r="I2208" s="9">
        <f t="shared" si="170"/>
        <v>10758.849751609348</v>
      </c>
    </row>
    <row r="2209" spans="1:9" ht="18" x14ac:dyDescent="0.4">
      <c r="A2209" s="43">
        <v>2124</v>
      </c>
      <c r="B2209" s="47" t="s">
        <v>5909</v>
      </c>
      <c r="C2209" s="29">
        <v>45737</v>
      </c>
      <c r="D2209" s="11">
        <v>6939.0775440000016</v>
      </c>
      <c r="E2209" s="27">
        <f t="shared" si="166"/>
        <v>7724.5811219808029</v>
      </c>
      <c r="F2209" s="6">
        <f t="shared" si="167"/>
        <v>10041.955458575045</v>
      </c>
      <c r="G2209" s="7">
        <f t="shared" si="168"/>
        <v>10814.413570773124</v>
      </c>
      <c r="H2209" s="8">
        <f t="shared" si="169"/>
        <v>11586.871682971205</v>
      </c>
      <c r="I2209" s="9">
        <f t="shared" si="170"/>
        <v>12359.329795169286</v>
      </c>
    </row>
    <row r="2210" spans="1:9" ht="18" x14ac:dyDescent="0.4">
      <c r="A2210" s="43">
        <v>2125</v>
      </c>
      <c r="B2210" s="47" t="s">
        <v>5910</v>
      </c>
      <c r="C2210" s="29">
        <v>45737</v>
      </c>
      <c r="D2210" s="11">
        <v>7362.0011430000022</v>
      </c>
      <c r="E2210" s="27">
        <f t="shared" si="166"/>
        <v>8195.3796723876021</v>
      </c>
      <c r="F2210" s="6">
        <f t="shared" si="167"/>
        <v>10653.993574103883</v>
      </c>
      <c r="G2210" s="7">
        <f t="shared" si="168"/>
        <v>11473.531541342642</v>
      </c>
      <c r="H2210" s="8">
        <f t="shared" si="169"/>
        <v>12293.069508581404</v>
      </c>
      <c r="I2210" s="9">
        <f t="shared" si="170"/>
        <v>13112.607475820165</v>
      </c>
    </row>
    <row r="2211" spans="1:9" ht="18" x14ac:dyDescent="0.4">
      <c r="A2211" s="43">
        <v>2126</v>
      </c>
      <c r="B2211" s="47" t="s">
        <v>5911</v>
      </c>
      <c r="C2211" s="29">
        <v>45737</v>
      </c>
      <c r="D2211" s="11">
        <v>7772.1842520000018</v>
      </c>
      <c r="E2211" s="27">
        <f t="shared" si="166"/>
        <v>8651.9955093264016</v>
      </c>
      <c r="F2211" s="6">
        <f t="shared" si="167"/>
        <v>11247.594162124322</v>
      </c>
      <c r="G2211" s="7">
        <f t="shared" si="168"/>
        <v>12112.793713056961</v>
      </c>
      <c r="H2211" s="8">
        <f t="shared" si="169"/>
        <v>12977.993263989603</v>
      </c>
      <c r="I2211" s="9">
        <f t="shared" si="170"/>
        <v>13843.192814922244</v>
      </c>
    </row>
    <row r="2212" spans="1:9" x14ac:dyDescent="0.35">
      <c r="A2212" s="43">
        <v>2128</v>
      </c>
      <c r="B2212" s="47" t="s">
        <v>1131</v>
      </c>
      <c r="C2212" s="29">
        <v>45737</v>
      </c>
      <c r="D2212" s="11">
        <v>11787.015996000004</v>
      </c>
      <c r="E2212" s="27">
        <f t="shared" si="166"/>
        <v>13121.306206747206</v>
      </c>
      <c r="F2212" s="6">
        <f t="shared" si="167"/>
        <v>17057.698068771369</v>
      </c>
      <c r="G2212" s="7">
        <f t="shared" si="168"/>
        <v>18369.828689446087</v>
      </c>
      <c r="H2212" s="8">
        <f t="shared" si="169"/>
        <v>19681.959310120808</v>
      </c>
      <c r="I2212" s="9">
        <f t="shared" si="170"/>
        <v>20994.08993079553</v>
      </c>
    </row>
    <row r="2213" spans="1:9" x14ac:dyDescent="0.35">
      <c r="A2213" s="43">
        <v>2133</v>
      </c>
      <c r="B2213" s="47" t="s">
        <v>4637</v>
      </c>
      <c r="C2213" s="29">
        <v>45737</v>
      </c>
      <c r="D2213" s="11">
        <v>13917.832614000003</v>
      </c>
      <c r="E2213" s="27">
        <f t="shared" si="166"/>
        <v>15493.331265904804</v>
      </c>
      <c r="F2213" s="6">
        <f t="shared" si="167"/>
        <v>20141.330645676248</v>
      </c>
      <c r="G2213" s="7">
        <f t="shared" si="168"/>
        <v>21690.663772266726</v>
      </c>
      <c r="H2213" s="8">
        <f t="shared" si="169"/>
        <v>23239.996898857207</v>
      </c>
      <c r="I2213" s="9">
        <f t="shared" si="170"/>
        <v>24789.330025447689</v>
      </c>
    </row>
    <row r="2214" spans="1:9" ht="18" x14ac:dyDescent="0.4">
      <c r="A2214" s="43">
        <v>2137</v>
      </c>
      <c r="B2214" s="47" t="s">
        <v>5912</v>
      </c>
      <c r="C2214" s="29">
        <v>45737</v>
      </c>
      <c r="D2214" s="11">
        <v>14118.404328000002</v>
      </c>
      <c r="E2214" s="27">
        <f t="shared" si="166"/>
        <v>15716.607697929603</v>
      </c>
      <c r="F2214" s="6">
        <f t="shared" si="167"/>
        <v>20431.590007308485</v>
      </c>
      <c r="G2214" s="7">
        <f t="shared" si="168"/>
        <v>22003.250777101443</v>
      </c>
      <c r="H2214" s="8">
        <f t="shared" si="169"/>
        <v>23574.911546894404</v>
      </c>
      <c r="I2214" s="9">
        <f t="shared" si="170"/>
        <v>25146.572316687365</v>
      </c>
    </row>
    <row r="2215" spans="1:9" ht="18" x14ac:dyDescent="0.4">
      <c r="A2215" s="43">
        <v>2151</v>
      </c>
      <c r="B2215" s="47" t="s">
        <v>5913</v>
      </c>
      <c r="C2215" s="29">
        <v>45737</v>
      </c>
      <c r="D2215" s="11">
        <v>5208.5549880000008</v>
      </c>
      <c r="E2215" s="27">
        <f t="shared" si="166"/>
        <v>5798.1634126416011</v>
      </c>
      <c r="F2215" s="6">
        <f t="shared" si="167"/>
        <v>7537.6124364340812</v>
      </c>
      <c r="G2215" s="7">
        <f t="shared" si="168"/>
        <v>8117.428777698241</v>
      </c>
      <c r="H2215" s="8">
        <f t="shared" si="169"/>
        <v>8697.2451189624007</v>
      </c>
      <c r="I2215" s="9">
        <f t="shared" si="170"/>
        <v>9277.0614602265614</v>
      </c>
    </row>
    <row r="2216" spans="1:9" x14ac:dyDescent="0.35">
      <c r="A2216" s="43" t="s">
        <v>3324</v>
      </c>
      <c r="B2216" s="47" t="s">
        <v>3325</v>
      </c>
      <c r="C2216" s="29">
        <v>45737</v>
      </c>
      <c r="D2216" s="11">
        <v>5534.3475180000005</v>
      </c>
      <c r="E2216" s="27">
        <f t="shared" si="166"/>
        <v>6160.8356570376</v>
      </c>
      <c r="F2216" s="6">
        <f t="shared" si="167"/>
        <v>8009.0863541488807</v>
      </c>
      <c r="G2216" s="7">
        <f t="shared" si="168"/>
        <v>8625.1699198526385</v>
      </c>
      <c r="H2216" s="8">
        <f t="shared" si="169"/>
        <v>9241.2534855564008</v>
      </c>
      <c r="I2216" s="9">
        <f t="shared" si="170"/>
        <v>9857.3370512601614</v>
      </c>
    </row>
    <row r="2217" spans="1:9" ht="18" x14ac:dyDescent="0.4">
      <c r="A2217" s="43">
        <v>2152</v>
      </c>
      <c r="B2217" s="47" t="s">
        <v>5914</v>
      </c>
      <c r="C2217" s="29">
        <v>45737</v>
      </c>
      <c r="D2217" s="11">
        <v>5902.3656720000008</v>
      </c>
      <c r="E2217" s="27">
        <f t="shared" si="166"/>
        <v>6570.5134660704016</v>
      </c>
      <c r="F2217" s="6">
        <f t="shared" si="167"/>
        <v>8541.6675058915225</v>
      </c>
      <c r="G2217" s="7">
        <f t="shared" si="168"/>
        <v>9198.7188524985613</v>
      </c>
      <c r="H2217" s="8">
        <f t="shared" si="169"/>
        <v>9855.7701991056019</v>
      </c>
      <c r="I2217" s="9">
        <f t="shared" si="170"/>
        <v>10512.821545712643</v>
      </c>
    </row>
    <row r="2218" spans="1:9" x14ac:dyDescent="0.35">
      <c r="A2218" s="43" t="s">
        <v>3326</v>
      </c>
      <c r="B2218" s="47" t="s">
        <v>3327</v>
      </c>
      <c r="C2218" s="29">
        <v>45737</v>
      </c>
      <c r="D2218" s="11">
        <v>6053.3101440000009</v>
      </c>
      <c r="E2218" s="27">
        <f t="shared" si="166"/>
        <v>6738.5448523008017</v>
      </c>
      <c r="F2218" s="6">
        <f t="shared" si="167"/>
        <v>8760.1083079910422</v>
      </c>
      <c r="G2218" s="7">
        <f t="shared" si="168"/>
        <v>9433.9627932211224</v>
      </c>
      <c r="H2218" s="8">
        <f t="shared" si="169"/>
        <v>10107.817278451203</v>
      </c>
      <c r="I2218" s="9">
        <f t="shared" si="170"/>
        <v>10781.671763681283</v>
      </c>
    </row>
    <row r="2219" spans="1:9" x14ac:dyDescent="0.35">
      <c r="A2219" s="43" t="s">
        <v>3328</v>
      </c>
      <c r="B2219" s="47" t="s">
        <v>3329</v>
      </c>
      <c r="C2219" s="29">
        <v>45737</v>
      </c>
      <c r="D2219" s="11">
        <v>6053.3101440000009</v>
      </c>
      <c r="E2219" s="27">
        <f t="shared" si="166"/>
        <v>6738.5448523008017</v>
      </c>
      <c r="F2219" s="6">
        <f t="shared" si="167"/>
        <v>8760.1083079910422</v>
      </c>
      <c r="G2219" s="7">
        <f t="shared" si="168"/>
        <v>9433.9627932211224</v>
      </c>
      <c r="H2219" s="8">
        <f t="shared" si="169"/>
        <v>10107.817278451203</v>
      </c>
      <c r="I2219" s="9">
        <f t="shared" si="170"/>
        <v>10781.671763681283</v>
      </c>
    </row>
    <row r="2220" spans="1:9" ht="18" x14ac:dyDescent="0.4">
      <c r="A2220" s="43">
        <v>2153</v>
      </c>
      <c r="B2220" s="47" t="s">
        <v>5915</v>
      </c>
      <c r="C2220" s="29">
        <v>45737</v>
      </c>
      <c r="D2220" s="11">
        <v>7021.5873840000013</v>
      </c>
      <c r="E2220" s="27">
        <f t="shared" si="166"/>
        <v>7816.4310758688007</v>
      </c>
      <c r="F2220" s="6">
        <f t="shared" si="167"/>
        <v>10161.360398629442</v>
      </c>
      <c r="G2220" s="7">
        <f t="shared" si="168"/>
        <v>10943.003506216321</v>
      </c>
      <c r="H2220" s="8">
        <f t="shared" si="169"/>
        <v>11724.646613803201</v>
      </c>
      <c r="I2220" s="9">
        <f t="shared" si="170"/>
        <v>12506.289721390081</v>
      </c>
    </row>
    <row r="2221" spans="1:9" x14ac:dyDescent="0.35">
      <c r="A2221" s="43" t="s">
        <v>3330</v>
      </c>
      <c r="B2221" s="47" t="s">
        <v>3331</v>
      </c>
      <c r="C2221" s="29">
        <v>45737</v>
      </c>
      <c r="D2221" s="11">
        <v>7021.5873840000013</v>
      </c>
      <c r="E2221" s="27">
        <f t="shared" si="166"/>
        <v>7816.4310758688007</v>
      </c>
      <c r="F2221" s="6">
        <f t="shared" si="167"/>
        <v>10161.360398629442</v>
      </c>
      <c r="G2221" s="7">
        <f t="shared" si="168"/>
        <v>10943.003506216321</v>
      </c>
      <c r="H2221" s="8">
        <f t="shared" si="169"/>
        <v>11724.646613803201</v>
      </c>
      <c r="I2221" s="9">
        <f t="shared" si="170"/>
        <v>12506.289721390081</v>
      </c>
    </row>
    <row r="2222" spans="1:9" x14ac:dyDescent="0.35">
      <c r="A2222" s="43" t="s">
        <v>3332</v>
      </c>
      <c r="B2222" s="47" t="s">
        <v>3333</v>
      </c>
      <c r="C2222" s="29">
        <v>45737</v>
      </c>
      <c r="D2222" s="11">
        <v>7021.5873840000013</v>
      </c>
      <c r="E2222" s="27">
        <f t="shared" si="166"/>
        <v>7816.4310758688007</v>
      </c>
      <c r="F2222" s="6">
        <f t="shared" si="167"/>
        <v>10161.360398629442</v>
      </c>
      <c r="G2222" s="7">
        <f t="shared" si="168"/>
        <v>10943.003506216321</v>
      </c>
      <c r="H2222" s="8">
        <f t="shared" si="169"/>
        <v>11724.646613803201</v>
      </c>
      <c r="I2222" s="9">
        <f t="shared" si="170"/>
        <v>12506.289721390081</v>
      </c>
    </row>
    <row r="2223" spans="1:9" x14ac:dyDescent="0.35">
      <c r="A2223" s="43" t="s">
        <v>5777</v>
      </c>
      <c r="B2223" s="47" t="s">
        <v>5778</v>
      </c>
      <c r="C2223" s="29">
        <v>45737</v>
      </c>
      <c r="D2223" s="11">
        <v>7451.6699250000011</v>
      </c>
      <c r="E2223" s="27">
        <f t="shared" si="166"/>
        <v>8295.1989605100007</v>
      </c>
      <c r="F2223" s="6">
        <f t="shared" si="167"/>
        <v>10783.758648663001</v>
      </c>
      <c r="G2223" s="7">
        <f t="shared" si="168"/>
        <v>11613.278544714</v>
      </c>
      <c r="H2223" s="8">
        <f t="shared" si="169"/>
        <v>12442.798440765</v>
      </c>
      <c r="I2223" s="9">
        <f t="shared" si="170"/>
        <v>13272.318336816003</v>
      </c>
    </row>
    <row r="2224" spans="1:9" x14ac:dyDescent="0.35">
      <c r="A2224" s="43">
        <v>2155</v>
      </c>
      <c r="B2224" s="47" t="s">
        <v>3334</v>
      </c>
      <c r="C2224" s="29">
        <v>45737</v>
      </c>
      <c r="D2224" s="11">
        <v>8195.3505270000005</v>
      </c>
      <c r="E2224" s="27">
        <f t="shared" si="166"/>
        <v>9123.0642066563996</v>
      </c>
      <c r="F2224" s="6">
        <f t="shared" si="167"/>
        <v>11859.98346865332</v>
      </c>
      <c r="G2224" s="7">
        <f t="shared" si="168"/>
        <v>12772.289889318959</v>
      </c>
      <c r="H2224" s="8">
        <f t="shared" si="169"/>
        <v>13684.596309984599</v>
      </c>
      <c r="I2224" s="9">
        <f t="shared" si="170"/>
        <v>14596.902730650239</v>
      </c>
    </row>
    <row r="2225" spans="1:9" ht="18" x14ac:dyDescent="0.4">
      <c r="A2225" s="43">
        <v>2156</v>
      </c>
      <c r="B2225" s="47" t="s">
        <v>5916</v>
      </c>
      <c r="C2225" s="29">
        <v>45737</v>
      </c>
      <c r="D2225" s="11">
        <v>7899.285807000002</v>
      </c>
      <c r="E2225" s="27">
        <f t="shared" si="166"/>
        <v>8793.4849603524035</v>
      </c>
      <c r="F2225" s="6">
        <f t="shared" si="167"/>
        <v>11431.530448458125</v>
      </c>
      <c r="G2225" s="7">
        <f t="shared" si="168"/>
        <v>12310.878944493365</v>
      </c>
      <c r="H2225" s="8">
        <f t="shared" si="169"/>
        <v>13190.227440528604</v>
      </c>
      <c r="I2225" s="9">
        <f t="shared" si="170"/>
        <v>14069.575936563846</v>
      </c>
    </row>
    <row r="2226" spans="1:9" ht="18" x14ac:dyDescent="0.4">
      <c r="A2226" s="43">
        <v>2157</v>
      </c>
      <c r="B2226" s="47" t="s">
        <v>5917</v>
      </c>
      <c r="C2226" s="29">
        <v>45737</v>
      </c>
      <c r="D2226" s="11">
        <v>6995.8637280000021</v>
      </c>
      <c r="E2226" s="27">
        <f t="shared" si="166"/>
        <v>7787.7955020096015</v>
      </c>
      <c r="F2226" s="6">
        <f t="shared" si="167"/>
        <v>10124.134152612482</v>
      </c>
      <c r="G2226" s="7">
        <f t="shared" si="168"/>
        <v>10902.913702813441</v>
      </c>
      <c r="H2226" s="8">
        <f t="shared" si="169"/>
        <v>11681.693253014402</v>
      </c>
      <c r="I2226" s="9">
        <f t="shared" si="170"/>
        <v>12460.472803215363</v>
      </c>
    </row>
    <row r="2227" spans="1:9" x14ac:dyDescent="0.35">
      <c r="A2227" s="43">
        <v>2170</v>
      </c>
      <c r="B2227" s="47" t="s">
        <v>4640</v>
      </c>
      <c r="C2227" s="29">
        <v>45737</v>
      </c>
      <c r="D2227" s="11">
        <v>3192.0387660000001</v>
      </c>
      <c r="E2227" s="27">
        <f t="shared" si="166"/>
        <v>3553.3775543112001</v>
      </c>
      <c r="F2227" s="6">
        <f t="shared" si="167"/>
        <v>4619.3908206045608</v>
      </c>
      <c r="G2227" s="7">
        <f t="shared" si="168"/>
        <v>4974.7285760356799</v>
      </c>
      <c r="H2227" s="8">
        <f t="shared" si="169"/>
        <v>5330.0663314668</v>
      </c>
      <c r="I2227" s="9">
        <f t="shared" si="170"/>
        <v>5685.4040868979209</v>
      </c>
    </row>
    <row r="2228" spans="1:9" x14ac:dyDescent="0.35">
      <c r="A2228" s="43" t="s">
        <v>4638</v>
      </c>
      <c r="B2228" s="47" t="s">
        <v>4641</v>
      </c>
      <c r="C2228" s="29">
        <v>45737</v>
      </c>
      <c r="D2228" s="11">
        <v>3261.4441020000008</v>
      </c>
      <c r="E2228" s="27">
        <f t="shared" si="166"/>
        <v>3630.6395743464009</v>
      </c>
      <c r="F2228" s="6">
        <f t="shared" si="167"/>
        <v>4719.8314466503216</v>
      </c>
      <c r="G2228" s="7">
        <f t="shared" si="168"/>
        <v>5082.8954040849612</v>
      </c>
      <c r="H2228" s="8">
        <f t="shared" si="169"/>
        <v>5445.9593615196009</v>
      </c>
      <c r="I2228" s="9">
        <f t="shared" si="170"/>
        <v>5809.0233189542414</v>
      </c>
    </row>
    <row r="2229" spans="1:9" x14ac:dyDescent="0.35">
      <c r="A2229" s="43" t="s">
        <v>4639</v>
      </c>
      <c r="B2229" s="47" t="s">
        <v>4641</v>
      </c>
      <c r="C2229" s="29">
        <v>45737</v>
      </c>
      <c r="D2229" s="11">
        <v>3261.4441020000008</v>
      </c>
      <c r="E2229" s="27">
        <f t="shared" si="166"/>
        <v>3630.6395743464009</v>
      </c>
      <c r="F2229" s="6">
        <f t="shared" si="167"/>
        <v>4719.8314466503216</v>
      </c>
      <c r="G2229" s="7">
        <f t="shared" si="168"/>
        <v>5082.8954040849612</v>
      </c>
      <c r="H2229" s="8">
        <f t="shared" si="169"/>
        <v>5445.9593615196009</v>
      </c>
      <c r="I2229" s="9">
        <f t="shared" si="170"/>
        <v>5809.0233189542414</v>
      </c>
    </row>
    <row r="2230" spans="1:9" ht="18" x14ac:dyDescent="0.4">
      <c r="A2230" s="43">
        <v>2171</v>
      </c>
      <c r="B2230" s="47" t="s">
        <v>5918</v>
      </c>
      <c r="C2230" s="29">
        <v>45737</v>
      </c>
      <c r="D2230" s="11">
        <v>6484.8487410000007</v>
      </c>
      <c r="E2230" s="27">
        <f t="shared" si="166"/>
        <v>7218.9336184812009</v>
      </c>
      <c r="F2230" s="6">
        <f t="shared" si="167"/>
        <v>9384.6137040255617</v>
      </c>
      <c r="G2230" s="7">
        <f t="shared" si="168"/>
        <v>10106.50706587368</v>
      </c>
      <c r="H2230" s="8">
        <f t="shared" si="169"/>
        <v>10828.400427721801</v>
      </c>
      <c r="I2230" s="9">
        <f t="shared" si="170"/>
        <v>11550.293789569922</v>
      </c>
    </row>
    <row r="2231" spans="1:9" ht="18" x14ac:dyDescent="0.4">
      <c r="A2231" s="43" t="s">
        <v>3335</v>
      </c>
      <c r="B2231" s="47" t="s">
        <v>5919</v>
      </c>
      <c r="C2231" s="29">
        <v>45737</v>
      </c>
      <c r="D2231" s="11">
        <v>6484.8487410000007</v>
      </c>
      <c r="E2231" s="27">
        <f t="shared" si="166"/>
        <v>7218.9336184812009</v>
      </c>
      <c r="F2231" s="6">
        <f t="shared" si="167"/>
        <v>9384.6137040255617</v>
      </c>
      <c r="G2231" s="7">
        <f t="shared" si="168"/>
        <v>10106.50706587368</v>
      </c>
      <c r="H2231" s="8">
        <f t="shared" si="169"/>
        <v>10828.400427721801</v>
      </c>
      <c r="I2231" s="9">
        <f t="shared" si="170"/>
        <v>11550.293789569922</v>
      </c>
    </row>
    <row r="2232" spans="1:9" x14ac:dyDescent="0.35">
      <c r="A2232" s="43" t="s">
        <v>4642</v>
      </c>
      <c r="B2232" s="47" t="s">
        <v>4643</v>
      </c>
      <c r="C2232" s="29">
        <v>45737</v>
      </c>
      <c r="D2232" s="11">
        <v>7803.3681180000012</v>
      </c>
      <c r="E2232" s="27">
        <f t="shared" si="166"/>
        <v>8686.7093889576008</v>
      </c>
      <c r="F2232" s="6">
        <f t="shared" si="167"/>
        <v>11292.722205644881</v>
      </c>
      <c r="G2232" s="7">
        <f t="shared" si="168"/>
        <v>12161.39314454064</v>
      </c>
      <c r="H2232" s="8">
        <f t="shared" si="169"/>
        <v>13030.064083436402</v>
      </c>
      <c r="I2232" s="9">
        <f t="shared" si="170"/>
        <v>13898.735022332163</v>
      </c>
    </row>
    <row r="2233" spans="1:9" ht="18" x14ac:dyDescent="0.4">
      <c r="A2233" s="43">
        <v>2172</v>
      </c>
      <c r="B2233" s="47" t="s">
        <v>5920</v>
      </c>
      <c r="C2233" s="29">
        <v>45737</v>
      </c>
      <c r="D2233" s="11">
        <v>7931.7437220000011</v>
      </c>
      <c r="E2233" s="27">
        <f t="shared" si="166"/>
        <v>8829.6171113304008</v>
      </c>
      <c r="F2233" s="6">
        <f t="shared" si="167"/>
        <v>11478.502244729521</v>
      </c>
      <c r="G2233" s="7">
        <f t="shared" si="168"/>
        <v>12361.46395586256</v>
      </c>
      <c r="H2233" s="8">
        <f t="shared" si="169"/>
        <v>13244.425666995601</v>
      </c>
      <c r="I2233" s="9">
        <f t="shared" si="170"/>
        <v>14127.387378128642</v>
      </c>
    </row>
    <row r="2234" spans="1:9" x14ac:dyDescent="0.35">
      <c r="A2234" s="43" t="s">
        <v>3336</v>
      </c>
      <c r="B2234" s="47" t="s">
        <v>3337</v>
      </c>
      <c r="C2234" s="29">
        <v>45737</v>
      </c>
      <c r="D2234" s="11">
        <v>8123.0937480000021</v>
      </c>
      <c r="E2234" s="27">
        <f t="shared" si="166"/>
        <v>9042.6279602736031</v>
      </c>
      <c r="F2234" s="6">
        <f t="shared" si="167"/>
        <v>11755.416348355684</v>
      </c>
      <c r="G2234" s="7">
        <f t="shared" si="168"/>
        <v>12659.679144383044</v>
      </c>
      <c r="H2234" s="8">
        <f t="shared" si="169"/>
        <v>13563.941940410405</v>
      </c>
      <c r="I2234" s="9">
        <f t="shared" si="170"/>
        <v>14468.204736437765</v>
      </c>
    </row>
    <row r="2235" spans="1:9" ht="18" x14ac:dyDescent="0.4">
      <c r="A2235" s="43">
        <v>2173</v>
      </c>
      <c r="B2235" s="47" t="s">
        <v>5921</v>
      </c>
      <c r="C2235" s="29">
        <v>45737</v>
      </c>
      <c r="D2235" s="11">
        <v>6962.7384540000012</v>
      </c>
      <c r="E2235" s="27">
        <f t="shared" si="166"/>
        <v>7750.9204469928018</v>
      </c>
      <c r="F2235" s="6">
        <f t="shared" si="167"/>
        <v>10076.196581090642</v>
      </c>
      <c r="G2235" s="7">
        <f t="shared" si="168"/>
        <v>10851.288625789923</v>
      </c>
      <c r="H2235" s="8">
        <f t="shared" si="169"/>
        <v>11626.380670489203</v>
      </c>
      <c r="I2235" s="9">
        <f t="shared" si="170"/>
        <v>12401.472715188484</v>
      </c>
    </row>
    <row r="2236" spans="1:9" x14ac:dyDescent="0.35">
      <c r="A2236" s="43">
        <v>2174</v>
      </c>
      <c r="B2236" s="47" t="s">
        <v>3338</v>
      </c>
      <c r="C2236" s="29">
        <v>45737</v>
      </c>
      <c r="D2236" s="11">
        <v>10261.675998000002</v>
      </c>
      <c r="E2236" s="27">
        <f t="shared" si="166"/>
        <v>11423.297720973602</v>
      </c>
      <c r="F2236" s="6">
        <f t="shared" si="167"/>
        <v>14850.287037265683</v>
      </c>
      <c r="G2236" s="7">
        <f t="shared" si="168"/>
        <v>15992.616809363042</v>
      </c>
      <c r="H2236" s="8">
        <f t="shared" si="169"/>
        <v>17134.946581460405</v>
      </c>
      <c r="I2236" s="9">
        <f t="shared" si="170"/>
        <v>18277.276353557765</v>
      </c>
    </row>
    <row r="2237" spans="1:9" x14ac:dyDescent="0.35">
      <c r="A2237" s="43">
        <v>2175</v>
      </c>
      <c r="B2237" s="47" t="s">
        <v>3339</v>
      </c>
      <c r="C2237" s="29">
        <v>45737</v>
      </c>
      <c r="D2237" s="11">
        <v>11001.231108000004</v>
      </c>
      <c r="E2237" s="27">
        <f t="shared" si="166"/>
        <v>12246.570469425604</v>
      </c>
      <c r="F2237" s="6">
        <f t="shared" si="167"/>
        <v>15920.541610253285</v>
      </c>
      <c r="G2237" s="7">
        <f t="shared" si="168"/>
        <v>17145.198657195844</v>
      </c>
      <c r="H2237" s="8">
        <f t="shared" si="169"/>
        <v>18369.855704138405</v>
      </c>
      <c r="I2237" s="9">
        <f t="shared" si="170"/>
        <v>19594.512751080965</v>
      </c>
    </row>
    <row r="2238" spans="1:9" ht="18" x14ac:dyDescent="0.4">
      <c r="A2238" s="43">
        <v>2177</v>
      </c>
      <c r="B2238" s="47" t="s">
        <v>5922</v>
      </c>
      <c r="C2238" s="29">
        <v>45737</v>
      </c>
      <c r="D2238" s="11">
        <v>7638.1664310000006</v>
      </c>
      <c r="E2238" s="27">
        <f t="shared" si="166"/>
        <v>8502.8068709892013</v>
      </c>
      <c r="F2238" s="6">
        <f t="shared" si="167"/>
        <v>11053.648932285962</v>
      </c>
      <c r="G2238" s="7">
        <f t="shared" si="168"/>
        <v>11903.92961938488</v>
      </c>
      <c r="H2238" s="8">
        <f t="shared" si="169"/>
        <v>12754.210306483801</v>
      </c>
      <c r="I2238" s="9">
        <f t="shared" si="170"/>
        <v>13604.490993582724</v>
      </c>
    </row>
    <row r="2239" spans="1:9" x14ac:dyDescent="0.35">
      <c r="A2239" s="43">
        <v>2178</v>
      </c>
      <c r="B2239" s="47" t="s">
        <v>1731</v>
      </c>
      <c r="C2239" s="29">
        <v>45737</v>
      </c>
      <c r="D2239" s="11">
        <v>6567.2979120000009</v>
      </c>
      <c r="E2239" s="27">
        <f t="shared" si="166"/>
        <v>7310.7160356384011</v>
      </c>
      <c r="F2239" s="6">
        <f t="shared" si="167"/>
        <v>9503.9308463299221</v>
      </c>
      <c r="G2239" s="7">
        <f t="shared" si="168"/>
        <v>10235.00244989376</v>
      </c>
      <c r="H2239" s="8">
        <f t="shared" si="169"/>
        <v>10966.074053457602</v>
      </c>
      <c r="I2239" s="9">
        <f t="shared" si="170"/>
        <v>11697.145657021443</v>
      </c>
    </row>
    <row r="2240" spans="1:9" x14ac:dyDescent="0.35">
      <c r="A2240" s="43">
        <v>2179</v>
      </c>
      <c r="B2240" s="47" t="s">
        <v>1732</v>
      </c>
      <c r="C2240" s="29">
        <v>45737</v>
      </c>
      <c r="D2240" s="11">
        <v>5265.2198340000004</v>
      </c>
      <c r="E2240" s="27">
        <f t="shared" si="166"/>
        <v>5861.2427192088007</v>
      </c>
      <c r="F2240" s="6">
        <f t="shared" si="167"/>
        <v>7619.6155349714409</v>
      </c>
      <c r="G2240" s="7">
        <f t="shared" si="168"/>
        <v>8205.7398068923212</v>
      </c>
      <c r="H2240" s="8">
        <f t="shared" si="169"/>
        <v>8791.8640788132016</v>
      </c>
      <c r="I2240" s="9">
        <f t="shared" si="170"/>
        <v>9377.9883507340819</v>
      </c>
    </row>
    <row r="2241" spans="1:9" ht="18" x14ac:dyDescent="0.4">
      <c r="A2241" s="43">
        <v>2183</v>
      </c>
      <c r="B2241" s="47" t="s">
        <v>5923</v>
      </c>
      <c r="C2241" s="29">
        <v>45737</v>
      </c>
      <c r="D2241" s="11">
        <v>7055.9988407999999</v>
      </c>
      <c r="E2241" s="27">
        <f t="shared" si="166"/>
        <v>7854.73790957856</v>
      </c>
      <c r="F2241" s="6">
        <f t="shared" si="167"/>
        <v>10211.159282452129</v>
      </c>
      <c r="G2241" s="7">
        <f t="shared" si="168"/>
        <v>10996.633073409983</v>
      </c>
      <c r="H2241" s="8">
        <f t="shared" si="169"/>
        <v>11782.106864367841</v>
      </c>
      <c r="I2241" s="9">
        <f t="shared" si="170"/>
        <v>12567.580655325697</v>
      </c>
    </row>
    <row r="2242" spans="1:9" x14ac:dyDescent="0.35">
      <c r="A2242" s="43" t="s">
        <v>1132</v>
      </c>
      <c r="B2242" s="44" t="s">
        <v>1133</v>
      </c>
      <c r="C2242" s="29">
        <v>45737</v>
      </c>
      <c r="D2242" s="11">
        <v>7055.9988407999999</v>
      </c>
      <c r="E2242" s="27">
        <f t="shared" si="166"/>
        <v>7854.73790957856</v>
      </c>
      <c r="F2242" s="6">
        <f t="shared" si="167"/>
        <v>10211.159282452129</v>
      </c>
      <c r="G2242" s="7">
        <f t="shared" si="168"/>
        <v>10996.633073409983</v>
      </c>
      <c r="H2242" s="8">
        <f t="shared" si="169"/>
        <v>11782.106864367841</v>
      </c>
      <c r="I2242" s="9">
        <f t="shared" si="170"/>
        <v>12567.580655325697</v>
      </c>
    </row>
    <row r="2243" spans="1:9" ht="18" x14ac:dyDescent="0.4">
      <c r="A2243" s="43">
        <v>2184</v>
      </c>
      <c r="B2243" s="47" t="s">
        <v>5924</v>
      </c>
      <c r="C2243" s="29">
        <v>45737</v>
      </c>
      <c r="D2243" s="11">
        <v>6362.9040510000013</v>
      </c>
      <c r="E2243" s="27">
        <f t="shared" si="166"/>
        <v>7083.1847895732017</v>
      </c>
      <c r="F2243" s="6">
        <f t="shared" si="167"/>
        <v>9208.1402264451626</v>
      </c>
      <c r="G2243" s="7">
        <f t="shared" si="168"/>
        <v>9916.4587054024814</v>
      </c>
      <c r="H2243" s="8">
        <f t="shared" si="169"/>
        <v>10624.777184359802</v>
      </c>
      <c r="I2243" s="9">
        <f t="shared" si="170"/>
        <v>11333.095663317123</v>
      </c>
    </row>
    <row r="2244" spans="1:9" ht="18" x14ac:dyDescent="0.4">
      <c r="A2244" s="43">
        <v>2186</v>
      </c>
      <c r="B2244" s="47" t="s">
        <v>5925</v>
      </c>
      <c r="C2244" s="29">
        <v>45737</v>
      </c>
      <c r="D2244" s="11">
        <v>3391.1665578000002</v>
      </c>
      <c r="E2244" s="27">
        <f t="shared" si="166"/>
        <v>3775.0466121429604</v>
      </c>
      <c r="F2244" s="6">
        <f t="shared" si="167"/>
        <v>4907.5605957858488</v>
      </c>
      <c r="G2244" s="7">
        <f t="shared" si="168"/>
        <v>5285.0652570001439</v>
      </c>
      <c r="H2244" s="8">
        <f t="shared" si="169"/>
        <v>5662.5699182144408</v>
      </c>
      <c r="I2244" s="9">
        <f t="shared" si="170"/>
        <v>6040.0745794287368</v>
      </c>
    </row>
    <row r="2245" spans="1:9" ht="18" x14ac:dyDescent="0.4">
      <c r="A2245" s="43">
        <v>2187</v>
      </c>
      <c r="B2245" s="47" t="s">
        <v>5926</v>
      </c>
      <c r="C2245" s="29">
        <v>45737</v>
      </c>
      <c r="D2245" s="11">
        <v>4967.9902692000005</v>
      </c>
      <c r="E2245" s="27">
        <f t="shared" si="166"/>
        <v>5530.3667676734403</v>
      </c>
      <c r="F2245" s="6">
        <f t="shared" si="167"/>
        <v>7189.4767979754724</v>
      </c>
      <c r="G2245" s="7">
        <f t="shared" si="168"/>
        <v>7742.5134747428156</v>
      </c>
      <c r="H2245" s="8">
        <f t="shared" si="169"/>
        <v>8295.5501515101605</v>
      </c>
      <c r="I2245" s="9">
        <f t="shared" si="170"/>
        <v>8848.5868282775045</v>
      </c>
    </row>
    <row r="2246" spans="1:9" x14ac:dyDescent="0.35">
      <c r="A2246" s="43" t="s">
        <v>3356</v>
      </c>
      <c r="B2246" s="47" t="s">
        <v>3357</v>
      </c>
      <c r="C2246" s="29">
        <v>45737</v>
      </c>
      <c r="D2246" s="11">
        <v>5175.3690450000004</v>
      </c>
      <c r="E2246" s="27">
        <f t="shared" si="166"/>
        <v>5761.2208208940001</v>
      </c>
      <c r="F2246" s="6">
        <f t="shared" si="167"/>
        <v>7489.5870671622006</v>
      </c>
      <c r="G2246" s="7">
        <f t="shared" si="168"/>
        <v>8065.7091492515992</v>
      </c>
      <c r="H2246" s="8">
        <f t="shared" si="169"/>
        <v>8641.8312313410006</v>
      </c>
      <c r="I2246" s="9">
        <f t="shared" si="170"/>
        <v>9217.9533134304002</v>
      </c>
    </row>
    <row r="2247" spans="1:9" ht="18" x14ac:dyDescent="0.4">
      <c r="A2247" s="43">
        <v>2188</v>
      </c>
      <c r="B2247" s="47" t="s">
        <v>5927</v>
      </c>
      <c r="C2247" s="29">
        <v>45737</v>
      </c>
      <c r="D2247" s="11">
        <v>5978.323260000001</v>
      </c>
      <c r="E2247" s="27">
        <f t="shared" si="166"/>
        <v>6655.0694530320015</v>
      </c>
      <c r="F2247" s="6">
        <f t="shared" si="167"/>
        <v>8651.5902889416029</v>
      </c>
      <c r="G2247" s="7">
        <f t="shared" si="168"/>
        <v>9317.0972342448022</v>
      </c>
      <c r="H2247" s="8">
        <f t="shared" si="169"/>
        <v>9982.6041795480014</v>
      </c>
      <c r="I2247" s="9">
        <f t="shared" si="170"/>
        <v>10648.111124851202</v>
      </c>
    </row>
    <row r="2248" spans="1:9" x14ac:dyDescent="0.35">
      <c r="A2248" s="43" t="s">
        <v>3358</v>
      </c>
      <c r="B2248" s="47" t="s">
        <v>3360</v>
      </c>
      <c r="C2248" s="29">
        <v>45737</v>
      </c>
      <c r="D2248" s="11">
        <v>5527.3099140000004</v>
      </c>
      <c r="E2248" s="27">
        <f t="shared" si="166"/>
        <v>6153.0013962648009</v>
      </c>
      <c r="F2248" s="6">
        <f t="shared" si="167"/>
        <v>7998.9018151442415</v>
      </c>
      <c r="G2248" s="7">
        <f t="shared" si="168"/>
        <v>8614.2019547707205</v>
      </c>
      <c r="H2248" s="8">
        <f t="shared" si="169"/>
        <v>9229.5020943972013</v>
      </c>
      <c r="I2248" s="9">
        <f t="shared" si="170"/>
        <v>9844.8022340236821</v>
      </c>
    </row>
    <row r="2249" spans="1:9" x14ac:dyDescent="0.35">
      <c r="A2249" s="43" t="s">
        <v>3359</v>
      </c>
      <c r="B2249" s="47" t="s">
        <v>3361</v>
      </c>
      <c r="C2249" s="29">
        <v>45737</v>
      </c>
      <c r="D2249" s="11">
        <v>5527.3099140000004</v>
      </c>
      <c r="E2249" s="27">
        <f t="shared" si="166"/>
        <v>6153.0013962648009</v>
      </c>
      <c r="F2249" s="6">
        <f t="shared" si="167"/>
        <v>7998.9018151442415</v>
      </c>
      <c r="G2249" s="7">
        <f t="shared" si="168"/>
        <v>8614.2019547707205</v>
      </c>
      <c r="H2249" s="8">
        <f t="shared" si="169"/>
        <v>9229.5020943972013</v>
      </c>
      <c r="I2249" s="9">
        <f t="shared" si="170"/>
        <v>9844.8022340236821</v>
      </c>
    </row>
    <row r="2250" spans="1:9" ht="18" x14ac:dyDescent="0.4">
      <c r="A2250" s="43">
        <v>2189</v>
      </c>
      <c r="B2250" s="47" t="s">
        <v>5928</v>
      </c>
      <c r="C2250" s="29">
        <v>45737</v>
      </c>
      <c r="D2250" s="11">
        <v>7282.7067600000019</v>
      </c>
      <c r="E2250" s="27">
        <f t="shared" si="166"/>
        <v>8107.1091652320029</v>
      </c>
      <c r="F2250" s="6">
        <f t="shared" si="167"/>
        <v>10539.241914801603</v>
      </c>
      <c r="G2250" s="7">
        <f t="shared" si="168"/>
        <v>11349.952831324803</v>
      </c>
      <c r="H2250" s="8">
        <f t="shared" si="169"/>
        <v>12160.663747848004</v>
      </c>
      <c r="I2250" s="9">
        <f t="shared" si="170"/>
        <v>12971.374664371206</v>
      </c>
    </row>
    <row r="2251" spans="1:9" ht="18" x14ac:dyDescent="0.4">
      <c r="A2251" s="43">
        <v>3001</v>
      </c>
      <c r="B2251" s="47" t="s">
        <v>5929</v>
      </c>
      <c r="C2251" s="29">
        <v>45737</v>
      </c>
      <c r="D2251" s="11">
        <v>5740.986132</v>
      </c>
      <c r="E2251" s="27">
        <f t="shared" si="166"/>
        <v>6390.8657621423999</v>
      </c>
      <c r="F2251" s="6">
        <f t="shared" si="167"/>
        <v>8308.1254907851198</v>
      </c>
      <c r="G2251" s="7">
        <f t="shared" si="168"/>
        <v>8947.2120669993601</v>
      </c>
      <c r="H2251" s="8">
        <f t="shared" si="169"/>
        <v>9586.2986432136004</v>
      </c>
      <c r="I2251" s="9">
        <f t="shared" si="170"/>
        <v>10225.385219427841</v>
      </c>
    </row>
    <row r="2252" spans="1:9" ht="18" x14ac:dyDescent="0.4">
      <c r="A2252" s="43">
        <v>3002</v>
      </c>
      <c r="B2252" s="47" t="s">
        <v>5930</v>
      </c>
      <c r="C2252" s="29">
        <v>45737</v>
      </c>
      <c r="D2252" s="11">
        <v>6731.3468880000009</v>
      </c>
      <c r="E2252" s="27">
        <f t="shared" ref="E2252:E2315" si="171">D2252*1.21*0.92</f>
        <v>7493.3353557216005</v>
      </c>
      <c r="F2252" s="6">
        <f t="shared" si="167"/>
        <v>9741.335962438081</v>
      </c>
      <c r="G2252" s="7">
        <f t="shared" si="168"/>
        <v>10490.66949801024</v>
      </c>
      <c r="H2252" s="8">
        <f t="shared" si="169"/>
        <v>11240.003033582401</v>
      </c>
      <c r="I2252" s="9">
        <f t="shared" si="170"/>
        <v>11989.336569154562</v>
      </c>
    </row>
    <row r="2253" spans="1:9" ht="18" x14ac:dyDescent="0.4">
      <c r="A2253" s="43">
        <v>3003</v>
      </c>
      <c r="B2253" s="47" t="s">
        <v>5931</v>
      </c>
      <c r="C2253" s="29">
        <v>45737</v>
      </c>
      <c r="D2253" s="11">
        <v>7627.7920320000012</v>
      </c>
      <c r="E2253" s="27">
        <f t="shared" si="171"/>
        <v>8491.258090022402</v>
      </c>
      <c r="F2253" s="6">
        <f t="shared" si="167"/>
        <v>11038.635517029123</v>
      </c>
      <c r="G2253" s="7">
        <f t="shared" si="168"/>
        <v>11887.761326031363</v>
      </c>
      <c r="H2253" s="8">
        <f t="shared" si="169"/>
        <v>12736.887135033603</v>
      </c>
      <c r="I2253" s="9">
        <f t="shared" si="170"/>
        <v>13586.012944035843</v>
      </c>
    </row>
    <row r="2254" spans="1:9" ht="18" x14ac:dyDescent="0.4">
      <c r="A2254" s="43">
        <v>3004</v>
      </c>
      <c r="B2254" s="47" t="s">
        <v>5932</v>
      </c>
      <c r="C2254" s="29">
        <v>45737</v>
      </c>
      <c r="D2254" s="11">
        <v>7839.648180000001</v>
      </c>
      <c r="E2254" s="27">
        <f t="shared" si="171"/>
        <v>8727.0963539760014</v>
      </c>
      <c r="F2254" s="6">
        <f t="shared" si="167"/>
        <v>11345.225260168801</v>
      </c>
      <c r="G2254" s="7">
        <f t="shared" si="168"/>
        <v>12217.934895566401</v>
      </c>
      <c r="H2254" s="8">
        <f t="shared" si="169"/>
        <v>13090.644530964002</v>
      </c>
      <c r="I2254" s="9">
        <f t="shared" si="170"/>
        <v>13963.354166361603</v>
      </c>
    </row>
    <row r="2255" spans="1:9" ht="18" x14ac:dyDescent="0.4">
      <c r="A2255" s="43">
        <v>3005</v>
      </c>
      <c r="B2255" s="47" t="s">
        <v>5933</v>
      </c>
      <c r="C2255" s="29">
        <v>45737</v>
      </c>
      <c r="D2255" s="11">
        <v>5794.6175280000025</v>
      </c>
      <c r="E2255" s="27">
        <f t="shared" si="171"/>
        <v>6450.5682321696031</v>
      </c>
      <c r="F2255" s="6">
        <f t="shared" si="167"/>
        <v>8385.7387018204845</v>
      </c>
      <c r="G2255" s="7">
        <f t="shared" si="168"/>
        <v>9030.7955250374434</v>
      </c>
      <c r="H2255" s="8">
        <f t="shared" si="169"/>
        <v>9675.8523482544042</v>
      </c>
      <c r="I2255" s="9">
        <f t="shared" si="170"/>
        <v>10320.909171471365</v>
      </c>
    </row>
    <row r="2256" spans="1:9" ht="18" x14ac:dyDescent="0.4">
      <c r="A2256" s="43">
        <v>3006</v>
      </c>
      <c r="B2256" s="47" t="s">
        <v>5934</v>
      </c>
      <c r="C2256" s="29">
        <v>45737</v>
      </c>
      <c r="D2256" s="11">
        <v>5641.1249580000022</v>
      </c>
      <c r="E2256" s="27">
        <f t="shared" si="171"/>
        <v>6279.7003032456023</v>
      </c>
      <c r="F2256" s="6">
        <f t="shared" ref="F2256:F2319" si="172">E2256*1.3</f>
        <v>8163.6103942192831</v>
      </c>
      <c r="G2256" s="7">
        <f t="shared" ref="G2256:G2319" si="173">E2256*1.4</f>
        <v>8791.580424543843</v>
      </c>
      <c r="H2256" s="8">
        <f t="shared" ref="H2256:H2319" si="174">E2256*1.5</f>
        <v>9419.5504548684039</v>
      </c>
      <c r="I2256" s="9">
        <f t="shared" ref="I2256:I2319" si="175">E2256*1.6</f>
        <v>10047.520485192965</v>
      </c>
    </row>
    <row r="2257" spans="1:9" x14ac:dyDescent="0.35">
      <c r="A2257" s="43">
        <v>3007</v>
      </c>
      <c r="B2257" s="47" t="s">
        <v>3287</v>
      </c>
      <c r="C2257" s="29">
        <v>45737</v>
      </c>
      <c r="D2257" s="11">
        <v>5961.214602</v>
      </c>
      <c r="E2257" s="27">
        <f t="shared" si="171"/>
        <v>6636.0240949464005</v>
      </c>
      <c r="F2257" s="6">
        <f t="shared" si="172"/>
        <v>8626.8313234303205</v>
      </c>
      <c r="G2257" s="7">
        <f t="shared" si="173"/>
        <v>9290.4337329249593</v>
      </c>
      <c r="H2257" s="8">
        <f t="shared" si="174"/>
        <v>9954.0361424196017</v>
      </c>
      <c r="I2257" s="9">
        <f t="shared" si="175"/>
        <v>10617.638551914242</v>
      </c>
    </row>
    <row r="2258" spans="1:9" ht="18" x14ac:dyDescent="0.4">
      <c r="A2258" s="43">
        <v>3008</v>
      </c>
      <c r="B2258" s="47" t="s">
        <v>5935</v>
      </c>
      <c r="C2258" s="29">
        <v>45737</v>
      </c>
      <c r="D2258" s="11">
        <v>6295.5614610000002</v>
      </c>
      <c r="E2258" s="27">
        <f t="shared" si="171"/>
        <v>7008.2190183852008</v>
      </c>
      <c r="F2258" s="6">
        <f t="shared" si="172"/>
        <v>9110.684723900762</v>
      </c>
      <c r="G2258" s="7">
        <f t="shared" si="173"/>
        <v>9811.5066257392809</v>
      </c>
      <c r="H2258" s="8">
        <f t="shared" si="174"/>
        <v>10512.328527577802</v>
      </c>
      <c r="I2258" s="9">
        <f t="shared" si="175"/>
        <v>11213.150429416322</v>
      </c>
    </row>
    <row r="2259" spans="1:9" ht="18" x14ac:dyDescent="0.4">
      <c r="A2259" s="43">
        <v>3009</v>
      </c>
      <c r="B2259" s="47" t="s">
        <v>5936</v>
      </c>
      <c r="C2259" s="29">
        <v>45737</v>
      </c>
      <c r="D2259" s="11">
        <v>8279.2557540000016</v>
      </c>
      <c r="E2259" s="27">
        <f t="shared" si="171"/>
        <v>9216.4675053528008</v>
      </c>
      <c r="F2259" s="6">
        <f t="shared" si="172"/>
        <v>11981.407756958641</v>
      </c>
      <c r="G2259" s="7">
        <f t="shared" si="173"/>
        <v>12903.05450749392</v>
      </c>
      <c r="H2259" s="8">
        <f t="shared" si="174"/>
        <v>13824.701258029201</v>
      </c>
      <c r="I2259" s="9">
        <f t="shared" si="175"/>
        <v>14746.348008564482</v>
      </c>
    </row>
    <row r="2260" spans="1:9" ht="18" x14ac:dyDescent="0.4">
      <c r="A2260" s="43">
        <v>3010</v>
      </c>
      <c r="B2260" s="47" t="s">
        <v>5937</v>
      </c>
      <c r="C2260" s="29">
        <v>45737</v>
      </c>
      <c r="D2260" s="11">
        <v>5740.986132</v>
      </c>
      <c r="E2260" s="27">
        <f t="shared" si="171"/>
        <v>6390.8657621423999</v>
      </c>
      <c r="F2260" s="6">
        <f t="shared" si="172"/>
        <v>8308.1254907851198</v>
      </c>
      <c r="G2260" s="7">
        <f t="shared" si="173"/>
        <v>8947.2120669993601</v>
      </c>
      <c r="H2260" s="8">
        <f t="shared" si="174"/>
        <v>9586.2986432136004</v>
      </c>
      <c r="I2260" s="9">
        <f t="shared" si="175"/>
        <v>10225.385219427841</v>
      </c>
    </row>
    <row r="2261" spans="1:9" ht="18" x14ac:dyDescent="0.4">
      <c r="A2261" s="43">
        <v>3011</v>
      </c>
      <c r="B2261" s="47" t="s">
        <v>5938</v>
      </c>
      <c r="C2261" s="29">
        <v>45737</v>
      </c>
      <c r="D2261" s="11">
        <v>6929.4918420000004</v>
      </c>
      <c r="E2261" s="27">
        <f t="shared" si="171"/>
        <v>7713.9103185144004</v>
      </c>
      <c r="F2261" s="6">
        <f t="shared" si="172"/>
        <v>10028.08341406872</v>
      </c>
      <c r="G2261" s="7">
        <f t="shared" si="173"/>
        <v>10799.474445920159</v>
      </c>
      <c r="H2261" s="8">
        <f t="shared" si="174"/>
        <v>11570.8654777716</v>
      </c>
      <c r="I2261" s="9">
        <f t="shared" si="175"/>
        <v>12342.256509623041</v>
      </c>
    </row>
    <row r="2262" spans="1:9" ht="18" x14ac:dyDescent="0.4">
      <c r="A2262" s="43">
        <v>3012</v>
      </c>
      <c r="B2262" s="47" t="s">
        <v>5939</v>
      </c>
      <c r="C2262" s="29">
        <v>45737</v>
      </c>
      <c r="D2262" s="11">
        <v>7770.485520000002</v>
      </c>
      <c r="E2262" s="27">
        <f t="shared" si="171"/>
        <v>8650.1044808640017</v>
      </c>
      <c r="F2262" s="6">
        <f t="shared" si="172"/>
        <v>11245.135825123203</v>
      </c>
      <c r="G2262" s="7">
        <f t="shared" si="173"/>
        <v>12110.146273209602</v>
      </c>
      <c r="H2262" s="8">
        <f t="shared" si="174"/>
        <v>12975.156721296004</v>
      </c>
      <c r="I2262" s="9">
        <f t="shared" si="175"/>
        <v>13840.167169382403</v>
      </c>
    </row>
    <row r="2263" spans="1:9" x14ac:dyDescent="0.35">
      <c r="A2263" s="43">
        <v>3013</v>
      </c>
      <c r="B2263" s="47" t="s">
        <v>1134</v>
      </c>
      <c r="C2263" s="29">
        <v>45737</v>
      </c>
      <c r="D2263" s="11">
        <v>7857.9702180000022</v>
      </c>
      <c r="E2263" s="27">
        <f t="shared" si="171"/>
        <v>8747.4924466776029</v>
      </c>
      <c r="F2263" s="6">
        <f t="shared" si="172"/>
        <v>11371.740180680885</v>
      </c>
      <c r="G2263" s="7">
        <f t="shared" si="173"/>
        <v>12246.489425348644</v>
      </c>
      <c r="H2263" s="8">
        <f t="shared" si="174"/>
        <v>13121.238670016404</v>
      </c>
      <c r="I2263" s="9">
        <f t="shared" si="175"/>
        <v>13995.987914684165</v>
      </c>
    </row>
    <row r="2264" spans="1:9" x14ac:dyDescent="0.35">
      <c r="A2264" s="43">
        <v>3014</v>
      </c>
      <c r="B2264" s="47" t="s">
        <v>1135</v>
      </c>
      <c r="C2264" s="29">
        <v>45737</v>
      </c>
      <c r="D2264" s="11">
        <v>6205.832010000001</v>
      </c>
      <c r="E2264" s="27">
        <f t="shared" si="171"/>
        <v>6908.3321935320009</v>
      </c>
      <c r="F2264" s="6">
        <f t="shared" si="172"/>
        <v>8980.8318515916017</v>
      </c>
      <c r="G2264" s="7">
        <f t="shared" si="173"/>
        <v>9671.6650709448004</v>
      </c>
      <c r="H2264" s="8">
        <f t="shared" si="174"/>
        <v>10362.498290298001</v>
      </c>
      <c r="I2264" s="9">
        <f t="shared" si="175"/>
        <v>11053.331509651201</v>
      </c>
    </row>
    <row r="2265" spans="1:9" x14ac:dyDescent="0.35">
      <c r="A2265" s="43" t="s">
        <v>1136</v>
      </c>
      <c r="B2265" s="47" t="s">
        <v>1137</v>
      </c>
      <c r="C2265" s="29">
        <v>45737</v>
      </c>
      <c r="D2265" s="11">
        <v>8297.456454000001</v>
      </c>
      <c r="E2265" s="27">
        <f t="shared" si="171"/>
        <v>9236.7285245928015</v>
      </c>
      <c r="F2265" s="6">
        <f t="shared" si="172"/>
        <v>12007.747081970643</v>
      </c>
      <c r="G2265" s="7">
        <f t="shared" si="173"/>
        <v>12931.419934429921</v>
      </c>
      <c r="H2265" s="8">
        <f t="shared" si="174"/>
        <v>13855.092786889203</v>
      </c>
      <c r="I2265" s="9">
        <f t="shared" si="175"/>
        <v>14778.765639348483</v>
      </c>
    </row>
    <row r="2266" spans="1:9" x14ac:dyDescent="0.35">
      <c r="A2266" s="43">
        <v>3015</v>
      </c>
      <c r="B2266" s="47" t="s">
        <v>1138</v>
      </c>
      <c r="C2266" s="29">
        <v>45737</v>
      </c>
      <c r="D2266" s="11">
        <v>6972.0208110000003</v>
      </c>
      <c r="E2266" s="27">
        <f t="shared" si="171"/>
        <v>7761.2535668051996</v>
      </c>
      <c r="F2266" s="6">
        <f t="shared" si="172"/>
        <v>10089.629636846759</v>
      </c>
      <c r="G2266" s="7">
        <f t="shared" si="173"/>
        <v>10865.754993527278</v>
      </c>
      <c r="H2266" s="8">
        <f t="shared" si="174"/>
        <v>11641.880350207799</v>
      </c>
      <c r="I2266" s="9">
        <f t="shared" si="175"/>
        <v>12418.00570688832</v>
      </c>
    </row>
    <row r="2267" spans="1:9" x14ac:dyDescent="0.35">
      <c r="A2267" s="43">
        <v>3016</v>
      </c>
      <c r="B2267" s="47" t="s">
        <v>1139</v>
      </c>
      <c r="C2267" s="29">
        <v>45737</v>
      </c>
      <c r="D2267" s="11">
        <v>6658.7867640000013</v>
      </c>
      <c r="E2267" s="27">
        <f t="shared" si="171"/>
        <v>7412.5614256848012</v>
      </c>
      <c r="F2267" s="6">
        <f t="shared" si="172"/>
        <v>9636.3298533902416</v>
      </c>
      <c r="G2267" s="7">
        <f t="shared" si="173"/>
        <v>10377.585995958721</v>
      </c>
      <c r="H2267" s="8">
        <f t="shared" si="174"/>
        <v>11118.842138527201</v>
      </c>
      <c r="I2267" s="9">
        <f t="shared" si="175"/>
        <v>11860.098281095683</v>
      </c>
    </row>
    <row r="2268" spans="1:9" x14ac:dyDescent="0.35">
      <c r="A2268" s="43">
        <v>3017</v>
      </c>
      <c r="B2268" s="47" t="s">
        <v>1140</v>
      </c>
      <c r="C2268" s="29">
        <v>45737</v>
      </c>
      <c r="D2268" s="11">
        <v>8238.8502000000008</v>
      </c>
      <c r="E2268" s="27">
        <f t="shared" si="171"/>
        <v>9171.4880426399995</v>
      </c>
      <c r="F2268" s="6">
        <f t="shared" si="172"/>
        <v>11922.934455432</v>
      </c>
      <c r="G2268" s="7">
        <f t="shared" si="173"/>
        <v>12840.083259695999</v>
      </c>
      <c r="H2268" s="8">
        <f t="shared" si="174"/>
        <v>13757.23206396</v>
      </c>
      <c r="I2268" s="9">
        <f t="shared" si="175"/>
        <v>14674.380868224</v>
      </c>
    </row>
    <row r="2269" spans="1:9" x14ac:dyDescent="0.35">
      <c r="A2269" s="43">
        <v>3018</v>
      </c>
      <c r="B2269" s="47" t="s">
        <v>1141</v>
      </c>
      <c r="C2269" s="29">
        <v>45737</v>
      </c>
      <c r="D2269" s="11">
        <v>8125.0351560000017</v>
      </c>
      <c r="E2269" s="27">
        <f t="shared" si="171"/>
        <v>9044.7891356592027</v>
      </c>
      <c r="F2269" s="6">
        <f t="shared" si="172"/>
        <v>11758.225876356964</v>
      </c>
      <c r="G2269" s="7">
        <f t="shared" si="173"/>
        <v>12662.704789922884</v>
      </c>
      <c r="H2269" s="8">
        <f t="shared" si="174"/>
        <v>13567.183703488805</v>
      </c>
      <c r="I2269" s="9">
        <f t="shared" si="175"/>
        <v>14471.662617054724</v>
      </c>
    </row>
    <row r="2270" spans="1:9" x14ac:dyDescent="0.35">
      <c r="A2270" s="43" t="s">
        <v>5779</v>
      </c>
      <c r="B2270" s="47" t="s">
        <v>5780</v>
      </c>
      <c r="C2270" s="29">
        <v>45737</v>
      </c>
      <c r="D2270" s="11">
        <v>8713.403118000002</v>
      </c>
      <c r="E2270" s="27">
        <f t="shared" si="171"/>
        <v>9699.760350957602</v>
      </c>
      <c r="F2270" s="6">
        <f t="shared" si="172"/>
        <v>12609.688456244883</v>
      </c>
      <c r="G2270" s="7">
        <f t="shared" si="173"/>
        <v>13579.664491340642</v>
      </c>
      <c r="H2270" s="8">
        <f t="shared" si="174"/>
        <v>14549.640526436404</v>
      </c>
      <c r="I2270" s="9">
        <f t="shared" si="175"/>
        <v>15519.616561532164</v>
      </c>
    </row>
    <row r="2271" spans="1:9" ht="18" x14ac:dyDescent="0.4">
      <c r="A2271" s="43">
        <v>3019</v>
      </c>
      <c r="B2271" s="47" t="s">
        <v>5940</v>
      </c>
      <c r="C2271" s="29">
        <v>45737</v>
      </c>
      <c r="D2271" s="11">
        <v>3510.7936920000006</v>
      </c>
      <c r="E2271" s="27">
        <f t="shared" si="171"/>
        <v>3908.2155379344003</v>
      </c>
      <c r="F2271" s="6">
        <f t="shared" si="172"/>
        <v>5080.680199314721</v>
      </c>
      <c r="G2271" s="7">
        <f t="shared" si="173"/>
        <v>5471.5017531081603</v>
      </c>
      <c r="H2271" s="8">
        <f t="shared" si="174"/>
        <v>5862.3233069016005</v>
      </c>
      <c r="I2271" s="9">
        <f t="shared" si="175"/>
        <v>6253.1448606950407</v>
      </c>
    </row>
    <row r="2272" spans="1:9" ht="18" x14ac:dyDescent="0.4">
      <c r="A2272" s="45">
        <v>3020</v>
      </c>
      <c r="B2272" s="48" t="s">
        <v>1721</v>
      </c>
      <c r="C2272" s="29">
        <v>45737</v>
      </c>
      <c r="D2272" s="11">
        <v>4515.5330010000007</v>
      </c>
      <c r="E2272" s="27">
        <f t="shared" si="171"/>
        <v>5026.6913367132011</v>
      </c>
      <c r="F2272" s="6">
        <f t="shared" si="172"/>
        <v>6534.6987377271616</v>
      </c>
      <c r="G2272" s="7">
        <f t="shared" si="173"/>
        <v>7037.3678713984809</v>
      </c>
      <c r="H2272" s="8">
        <f t="shared" si="174"/>
        <v>7540.037005069802</v>
      </c>
      <c r="I2272" s="9">
        <f t="shared" si="175"/>
        <v>8042.7061387411222</v>
      </c>
    </row>
    <row r="2273" spans="1:9" ht="18" x14ac:dyDescent="0.4">
      <c r="A2273" s="45" t="s">
        <v>1142</v>
      </c>
      <c r="B2273" s="48" t="s">
        <v>1722</v>
      </c>
      <c r="C2273" s="29">
        <v>45737</v>
      </c>
      <c r="D2273" s="11">
        <v>5088.9157200000009</v>
      </c>
      <c r="E2273" s="27">
        <f t="shared" si="171"/>
        <v>5664.980979504001</v>
      </c>
      <c r="F2273" s="6">
        <f t="shared" si="172"/>
        <v>7364.4752733552014</v>
      </c>
      <c r="G2273" s="7">
        <f t="shared" si="173"/>
        <v>7930.9733713056012</v>
      </c>
      <c r="H2273" s="8">
        <f t="shared" si="174"/>
        <v>8497.471469256001</v>
      </c>
      <c r="I2273" s="9">
        <f t="shared" si="175"/>
        <v>9063.9695672064026</v>
      </c>
    </row>
    <row r="2274" spans="1:9" ht="18" x14ac:dyDescent="0.4">
      <c r="A2274" s="45">
        <v>3021</v>
      </c>
      <c r="B2274" s="48" t="s">
        <v>1723</v>
      </c>
      <c r="C2274" s="29">
        <v>45737</v>
      </c>
      <c r="D2274" s="11">
        <v>5909.6459520000008</v>
      </c>
      <c r="E2274" s="27">
        <f t="shared" si="171"/>
        <v>6578.6178737664004</v>
      </c>
      <c r="F2274" s="6">
        <f t="shared" si="172"/>
        <v>8552.2032358963206</v>
      </c>
      <c r="G2274" s="7">
        <f t="shared" si="173"/>
        <v>9210.0650232729604</v>
      </c>
      <c r="H2274" s="8">
        <f t="shared" si="174"/>
        <v>9867.9268106496002</v>
      </c>
      <c r="I2274" s="9">
        <f t="shared" si="175"/>
        <v>10525.788598026242</v>
      </c>
    </row>
    <row r="2275" spans="1:9" ht="18" x14ac:dyDescent="0.4">
      <c r="A2275" s="43" t="s">
        <v>1143</v>
      </c>
      <c r="B2275" s="47" t="s">
        <v>5941</v>
      </c>
      <c r="C2275" s="29">
        <v>45737</v>
      </c>
      <c r="D2275" s="11">
        <v>6620.3226180000011</v>
      </c>
      <c r="E2275" s="27">
        <f t="shared" si="171"/>
        <v>7369.7431383576013</v>
      </c>
      <c r="F2275" s="6">
        <f t="shared" si="172"/>
        <v>9580.6660798648827</v>
      </c>
      <c r="G2275" s="7">
        <f t="shared" si="173"/>
        <v>10317.640393700642</v>
      </c>
      <c r="H2275" s="8">
        <f t="shared" si="174"/>
        <v>11054.614707536402</v>
      </c>
      <c r="I2275" s="9">
        <f t="shared" si="175"/>
        <v>11791.589021372163</v>
      </c>
    </row>
    <row r="2276" spans="1:9" ht="18" x14ac:dyDescent="0.4">
      <c r="A2276" s="43" t="s">
        <v>1144</v>
      </c>
      <c r="B2276" s="47" t="s">
        <v>5942</v>
      </c>
      <c r="C2276" s="29">
        <v>45737</v>
      </c>
      <c r="D2276" s="11">
        <v>7515.797058000001</v>
      </c>
      <c r="E2276" s="27">
        <f t="shared" si="171"/>
        <v>8366.5852849656021</v>
      </c>
      <c r="F2276" s="6">
        <f t="shared" si="172"/>
        <v>10876.560870455283</v>
      </c>
      <c r="G2276" s="7">
        <f t="shared" si="173"/>
        <v>11713.219398951842</v>
      </c>
      <c r="H2276" s="8">
        <f t="shared" si="174"/>
        <v>12549.877927448404</v>
      </c>
      <c r="I2276" s="9">
        <f t="shared" si="175"/>
        <v>13386.536455944964</v>
      </c>
    </row>
    <row r="2277" spans="1:9" x14ac:dyDescent="0.35">
      <c r="A2277" s="43" t="s">
        <v>5781</v>
      </c>
      <c r="B2277" s="47" t="s">
        <v>5782</v>
      </c>
      <c r="C2277" s="29">
        <v>45737</v>
      </c>
      <c r="D2277" s="11">
        <v>7285.7402100000008</v>
      </c>
      <c r="E2277" s="27">
        <f t="shared" si="171"/>
        <v>8110.4860017720011</v>
      </c>
      <c r="F2277" s="6">
        <f t="shared" si="172"/>
        <v>10543.631802303602</v>
      </c>
      <c r="G2277" s="7">
        <f t="shared" si="173"/>
        <v>11354.680402480801</v>
      </c>
      <c r="H2277" s="8">
        <f t="shared" si="174"/>
        <v>12165.729002658001</v>
      </c>
      <c r="I2277" s="9">
        <f t="shared" si="175"/>
        <v>12976.777602835202</v>
      </c>
    </row>
    <row r="2278" spans="1:9" ht="18" x14ac:dyDescent="0.4">
      <c r="A2278" s="43">
        <v>3022</v>
      </c>
      <c r="B2278" s="47" t="s">
        <v>5943</v>
      </c>
      <c r="C2278" s="29">
        <v>45737</v>
      </c>
      <c r="D2278" s="11">
        <v>6730.7401980000013</v>
      </c>
      <c r="E2278" s="27">
        <f t="shared" si="171"/>
        <v>7492.6599884136022</v>
      </c>
      <c r="F2278" s="6">
        <f t="shared" si="172"/>
        <v>9740.4579849376823</v>
      </c>
      <c r="G2278" s="7">
        <f t="shared" si="173"/>
        <v>10489.723983779042</v>
      </c>
      <c r="H2278" s="8">
        <f t="shared" si="174"/>
        <v>11238.989982620404</v>
      </c>
      <c r="I2278" s="9">
        <f t="shared" si="175"/>
        <v>11988.255981461763</v>
      </c>
    </row>
    <row r="2279" spans="1:9" ht="18" x14ac:dyDescent="0.4">
      <c r="A2279" s="43">
        <v>3023</v>
      </c>
      <c r="B2279" s="47" t="s">
        <v>5944</v>
      </c>
      <c r="C2279" s="29">
        <v>45737</v>
      </c>
      <c r="D2279" s="11">
        <v>7927.3755540000011</v>
      </c>
      <c r="E2279" s="27">
        <f t="shared" si="171"/>
        <v>8824.7544667128022</v>
      </c>
      <c r="F2279" s="6">
        <f t="shared" si="172"/>
        <v>11472.180806726643</v>
      </c>
      <c r="G2279" s="7">
        <f t="shared" si="173"/>
        <v>12354.656253397923</v>
      </c>
      <c r="H2279" s="8">
        <f t="shared" si="174"/>
        <v>13237.131700069203</v>
      </c>
      <c r="I2279" s="9">
        <f t="shared" si="175"/>
        <v>14119.607146740484</v>
      </c>
    </row>
    <row r="2280" spans="1:9" ht="18" x14ac:dyDescent="0.4">
      <c r="A2280" s="45">
        <v>3024</v>
      </c>
      <c r="B2280" s="48" t="s">
        <v>1730</v>
      </c>
      <c r="C2280" s="29">
        <v>45737</v>
      </c>
      <c r="D2280" s="11">
        <v>4343.1723720000009</v>
      </c>
      <c r="E2280" s="27">
        <f t="shared" si="171"/>
        <v>4834.8194845104008</v>
      </c>
      <c r="F2280" s="6">
        <f t="shared" si="172"/>
        <v>6285.2653298635214</v>
      </c>
      <c r="G2280" s="7">
        <f t="shared" si="173"/>
        <v>6768.7472783145604</v>
      </c>
      <c r="H2280" s="8">
        <f t="shared" si="174"/>
        <v>7252.2292267656012</v>
      </c>
      <c r="I2280" s="9">
        <f t="shared" si="175"/>
        <v>7735.711175216642</v>
      </c>
    </row>
    <row r="2281" spans="1:9" x14ac:dyDescent="0.35">
      <c r="A2281" s="43">
        <v>3025</v>
      </c>
      <c r="B2281" s="47" t="s">
        <v>1145</v>
      </c>
      <c r="C2281" s="29">
        <v>45737</v>
      </c>
      <c r="D2281" s="11">
        <v>7148.3855940000012</v>
      </c>
      <c r="E2281" s="27">
        <f t="shared" si="171"/>
        <v>7957.5828432408016</v>
      </c>
      <c r="F2281" s="6">
        <f t="shared" si="172"/>
        <v>10344.857696213043</v>
      </c>
      <c r="G2281" s="7">
        <f t="shared" si="173"/>
        <v>11140.615980537121</v>
      </c>
      <c r="H2281" s="8">
        <f t="shared" si="174"/>
        <v>11936.374264861202</v>
      </c>
      <c r="I2281" s="9">
        <f t="shared" si="175"/>
        <v>12732.132549185284</v>
      </c>
    </row>
    <row r="2282" spans="1:9" x14ac:dyDescent="0.35">
      <c r="A2282" s="43">
        <v>3026</v>
      </c>
      <c r="B2282" s="47" t="s">
        <v>1146</v>
      </c>
      <c r="C2282" s="29">
        <v>45737</v>
      </c>
      <c r="D2282" s="11">
        <v>7731.778698000001</v>
      </c>
      <c r="E2282" s="27">
        <f t="shared" si="171"/>
        <v>8607.0160466136022</v>
      </c>
      <c r="F2282" s="6">
        <f t="shared" si="172"/>
        <v>11189.120860597683</v>
      </c>
      <c r="G2282" s="7">
        <f t="shared" si="173"/>
        <v>12049.822465259042</v>
      </c>
      <c r="H2282" s="8">
        <f t="shared" si="174"/>
        <v>12910.524069920404</v>
      </c>
      <c r="I2282" s="9">
        <f t="shared" si="175"/>
        <v>13771.225674581765</v>
      </c>
    </row>
    <row r="2283" spans="1:9" x14ac:dyDescent="0.35">
      <c r="A2283" s="43" t="s">
        <v>3346</v>
      </c>
      <c r="B2283" s="47" t="s">
        <v>3348</v>
      </c>
      <c r="C2283" s="29">
        <v>45737</v>
      </c>
      <c r="D2283" s="11">
        <v>7184.5443180000011</v>
      </c>
      <c r="E2283" s="27">
        <f t="shared" si="171"/>
        <v>7997.8347347976023</v>
      </c>
      <c r="F2283" s="6">
        <f t="shared" si="172"/>
        <v>10397.185155236883</v>
      </c>
      <c r="G2283" s="7">
        <f t="shared" si="173"/>
        <v>11196.968628716642</v>
      </c>
      <c r="H2283" s="8">
        <f t="shared" si="174"/>
        <v>11996.752102196404</v>
      </c>
      <c r="I2283" s="9">
        <f t="shared" si="175"/>
        <v>12796.535575676164</v>
      </c>
    </row>
    <row r="2284" spans="1:9" x14ac:dyDescent="0.35">
      <c r="A2284" s="43" t="s">
        <v>3347</v>
      </c>
      <c r="B2284" s="47" t="s">
        <v>3349</v>
      </c>
      <c r="C2284" s="29">
        <v>45737</v>
      </c>
      <c r="D2284" s="11">
        <v>6016.5447300000005</v>
      </c>
      <c r="E2284" s="27">
        <f t="shared" si="171"/>
        <v>6697.6175934360008</v>
      </c>
      <c r="F2284" s="6">
        <f t="shared" si="172"/>
        <v>8706.902871466802</v>
      </c>
      <c r="G2284" s="7">
        <f t="shared" si="173"/>
        <v>9376.6646308104009</v>
      </c>
      <c r="H2284" s="8">
        <f t="shared" si="174"/>
        <v>10046.426390154002</v>
      </c>
      <c r="I2284" s="9">
        <f t="shared" si="175"/>
        <v>10716.188149497602</v>
      </c>
    </row>
    <row r="2285" spans="1:9" x14ac:dyDescent="0.35">
      <c r="A2285" s="43" t="s">
        <v>4644</v>
      </c>
      <c r="B2285" s="47" t="s">
        <v>4645</v>
      </c>
      <c r="C2285" s="29">
        <v>45737</v>
      </c>
      <c r="D2285" s="11">
        <v>7673.4151200000015</v>
      </c>
      <c r="E2285" s="27">
        <f t="shared" si="171"/>
        <v>8542.0457115840018</v>
      </c>
      <c r="F2285" s="6">
        <f t="shared" si="172"/>
        <v>11104.659425059202</v>
      </c>
      <c r="G2285" s="7">
        <f t="shared" si="173"/>
        <v>11958.863996217602</v>
      </c>
      <c r="H2285" s="8">
        <f t="shared" si="174"/>
        <v>12813.068567376002</v>
      </c>
      <c r="I2285" s="9">
        <f t="shared" si="175"/>
        <v>13667.273138534403</v>
      </c>
    </row>
    <row r="2286" spans="1:9" x14ac:dyDescent="0.35">
      <c r="A2286" s="43" t="s">
        <v>5783</v>
      </c>
      <c r="B2286" s="47" t="s">
        <v>5784</v>
      </c>
      <c r="C2286" s="29">
        <v>45737</v>
      </c>
      <c r="D2286" s="11">
        <v>7581.5622540000022</v>
      </c>
      <c r="E2286" s="27">
        <f t="shared" si="171"/>
        <v>8439.7951011528021</v>
      </c>
      <c r="F2286" s="6">
        <f t="shared" si="172"/>
        <v>10971.733631498642</v>
      </c>
      <c r="G2286" s="7">
        <f t="shared" si="173"/>
        <v>11815.713141613922</v>
      </c>
      <c r="H2286" s="8">
        <f t="shared" si="174"/>
        <v>12659.692651729203</v>
      </c>
      <c r="I2286" s="9">
        <f t="shared" si="175"/>
        <v>13503.672161844484</v>
      </c>
    </row>
    <row r="2287" spans="1:9" ht="18" x14ac:dyDescent="0.4">
      <c r="A2287" s="43">
        <v>3027</v>
      </c>
      <c r="B2287" s="47" t="s">
        <v>5945</v>
      </c>
      <c r="C2287" s="29">
        <v>45737</v>
      </c>
      <c r="D2287" s="11">
        <v>4751.9600940000009</v>
      </c>
      <c r="E2287" s="27">
        <f t="shared" si="171"/>
        <v>5289.8819766408005</v>
      </c>
      <c r="F2287" s="6">
        <f t="shared" si="172"/>
        <v>6876.8465696330413</v>
      </c>
      <c r="G2287" s="7">
        <f t="shared" si="173"/>
        <v>7405.8347672971204</v>
      </c>
      <c r="H2287" s="8">
        <f t="shared" si="174"/>
        <v>7934.8229649612003</v>
      </c>
      <c r="I2287" s="9">
        <f t="shared" si="175"/>
        <v>8463.8111626252812</v>
      </c>
    </row>
    <row r="2288" spans="1:9" x14ac:dyDescent="0.35">
      <c r="A2288" s="43" t="s">
        <v>3350</v>
      </c>
      <c r="B2288" s="47" t="s">
        <v>3351</v>
      </c>
      <c r="C2288" s="29">
        <v>45737</v>
      </c>
      <c r="D2288" s="11">
        <v>4944.5235000000011</v>
      </c>
      <c r="E2288" s="27">
        <f t="shared" si="171"/>
        <v>5504.2435602000014</v>
      </c>
      <c r="F2288" s="6">
        <f t="shared" si="172"/>
        <v>7155.5166282600021</v>
      </c>
      <c r="G2288" s="7">
        <f t="shared" si="173"/>
        <v>7705.9409842800014</v>
      </c>
      <c r="H2288" s="8">
        <f t="shared" si="174"/>
        <v>8256.3653403000026</v>
      </c>
      <c r="I2288" s="9">
        <f t="shared" si="175"/>
        <v>8806.7896963200019</v>
      </c>
    </row>
    <row r="2289" spans="1:9" ht="18" x14ac:dyDescent="0.4">
      <c r="A2289" s="43">
        <v>3028</v>
      </c>
      <c r="B2289" s="47" t="s">
        <v>5946</v>
      </c>
      <c r="C2289" s="29">
        <v>45737</v>
      </c>
      <c r="D2289" s="11">
        <v>5381.7043140000014</v>
      </c>
      <c r="E2289" s="27">
        <f t="shared" si="171"/>
        <v>5990.9132423448018</v>
      </c>
      <c r="F2289" s="6">
        <f t="shared" si="172"/>
        <v>7788.1872150482423</v>
      </c>
      <c r="G2289" s="7">
        <f t="shared" si="173"/>
        <v>8387.2785392827227</v>
      </c>
      <c r="H2289" s="8">
        <f t="shared" si="174"/>
        <v>8986.3698635172022</v>
      </c>
      <c r="I2289" s="9">
        <f t="shared" si="175"/>
        <v>9585.4611877516836</v>
      </c>
    </row>
    <row r="2290" spans="1:9" ht="18" x14ac:dyDescent="0.4">
      <c r="A2290" s="43">
        <v>3029</v>
      </c>
      <c r="B2290" s="47" t="s">
        <v>5947</v>
      </c>
      <c r="C2290" s="29">
        <v>45737</v>
      </c>
      <c r="D2290" s="11">
        <v>6134.1212520000008</v>
      </c>
      <c r="E2290" s="27">
        <f t="shared" si="171"/>
        <v>6828.5037777264015</v>
      </c>
      <c r="F2290" s="6">
        <f t="shared" si="172"/>
        <v>8877.0549110443226</v>
      </c>
      <c r="G2290" s="7">
        <f t="shared" si="173"/>
        <v>9559.9052888169608</v>
      </c>
      <c r="H2290" s="8">
        <f t="shared" si="174"/>
        <v>10242.755666589603</v>
      </c>
      <c r="I2290" s="9">
        <f t="shared" si="175"/>
        <v>10925.606044362243</v>
      </c>
    </row>
    <row r="2291" spans="1:9" ht="18" x14ac:dyDescent="0.4">
      <c r="A2291" s="43">
        <v>3031</v>
      </c>
      <c r="B2291" s="47" t="s">
        <v>5948</v>
      </c>
      <c r="C2291" s="29">
        <v>45737</v>
      </c>
      <c r="D2291" s="11">
        <v>6489.7629300000008</v>
      </c>
      <c r="E2291" s="27">
        <f t="shared" si="171"/>
        <v>7224.4040936760011</v>
      </c>
      <c r="F2291" s="6">
        <f t="shared" si="172"/>
        <v>9391.725321778802</v>
      </c>
      <c r="G2291" s="7">
        <f t="shared" si="173"/>
        <v>10114.165731146401</v>
      </c>
      <c r="H2291" s="8">
        <f t="shared" si="174"/>
        <v>10836.606140514003</v>
      </c>
      <c r="I2291" s="9">
        <f t="shared" si="175"/>
        <v>11559.046549881603</v>
      </c>
    </row>
    <row r="2292" spans="1:9" ht="18" x14ac:dyDescent="0.4">
      <c r="A2292" s="43">
        <v>3032</v>
      </c>
      <c r="B2292" s="44" t="s">
        <v>5949</v>
      </c>
      <c r="C2292" s="29">
        <v>45737</v>
      </c>
      <c r="D2292" s="11">
        <v>6535.0220040000022</v>
      </c>
      <c r="E2292" s="27">
        <f t="shared" si="171"/>
        <v>7274.7864948528022</v>
      </c>
      <c r="F2292" s="6">
        <f t="shared" si="172"/>
        <v>9457.2224433086431</v>
      </c>
      <c r="G2292" s="7">
        <f t="shared" si="173"/>
        <v>10184.701092793923</v>
      </c>
      <c r="H2292" s="8">
        <f t="shared" si="174"/>
        <v>10912.179742279204</v>
      </c>
      <c r="I2292" s="9">
        <f t="shared" si="175"/>
        <v>11639.658391764484</v>
      </c>
    </row>
    <row r="2293" spans="1:9" x14ac:dyDescent="0.35">
      <c r="A2293" s="43">
        <v>3033</v>
      </c>
      <c r="B2293" s="47" t="s">
        <v>1147</v>
      </c>
      <c r="C2293" s="29">
        <v>45737</v>
      </c>
      <c r="D2293" s="11">
        <v>9106.0528859999995</v>
      </c>
      <c r="E2293" s="27">
        <f t="shared" si="171"/>
        <v>10136.858072695199</v>
      </c>
      <c r="F2293" s="6">
        <f t="shared" si="172"/>
        <v>13177.915494503759</v>
      </c>
      <c r="G2293" s="7">
        <f t="shared" si="173"/>
        <v>14191.601301773277</v>
      </c>
      <c r="H2293" s="8">
        <f t="shared" si="174"/>
        <v>15205.287109042798</v>
      </c>
      <c r="I2293" s="9">
        <f t="shared" si="175"/>
        <v>16218.972916312319</v>
      </c>
    </row>
    <row r="2294" spans="1:9" x14ac:dyDescent="0.35">
      <c r="A2294" s="43">
        <v>3034</v>
      </c>
      <c r="B2294" s="44" t="s">
        <v>1718</v>
      </c>
      <c r="C2294" s="29">
        <v>45737</v>
      </c>
      <c r="D2294" s="11">
        <v>9106.0528859999995</v>
      </c>
      <c r="E2294" s="27">
        <f t="shared" si="171"/>
        <v>10136.858072695199</v>
      </c>
      <c r="F2294" s="6">
        <f t="shared" si="172"/>
        <v>13177.915494503759</v>
      </c>
      <c r="G2294" s="7">
        <f t="shared" si="173"/>
        <v>14191.601301773277</v>
      </c>
      <c r="H2294" s="8">
        <f t="shared" si="174"/>
        <v>15205.287109042798</v>
      </c>
      <c r="I2294" s="9">
        <f t="shared" si="175"/>
        <v>16218.972916312319</v>
      </c>
    </row>
    <row r="2295" spans="1:9" x14ac:dyDescent="0.35">
      <c r="A2295" s="43">
        <v>3035</v>
      </c>
      <c r="B2295" s="47" t="s">
        <v>1148</v>
      </c>
      <c r="C2295" s="29">
        <v>45737</v>
      </c>
      <c r="D2295" s="11">
        <v>5814.1529460000002</v>
      </c>
      <c r="E2295" s="27">
        <f t="shared" si="171"/>
        <v>6472.3150594872004</v>
      </c>
      <c r="F2295" s="6">
        <f t="shared" si="172"/>
        <v>8414.0095773333614</v>
      </c>
      <c r="G2295" s="7">
        <f t="shared" si="173"/>
        <v>9061.2410832820806</v>
      </c>
      <c r="H2295" s="8">
        <f t="shared" si="174"/>
        <v>9708.4725892308015</v>
      </c>
      <c r="I2295" s="9">
        <f t="shared" si="175"/>
        <v>10355.704095179521</v>
      </c>
    </row>
    <row r="2296" spans="1:9" x14ac:dyDescent="0.35">
      <c r="A2296" s="43" t="s">
        <v>1149</v>
      </c>
      <c r="B2296" s="47" t="s">
        <v>2099</v>
      </c>
      <c r="C2296" s="29">
        <v>45737</v>
      </c>
      <c r="D2296" s="11">
        <v>5814.1529460000002</v>
      </c>
      <c r="E2296" s="27">
        <f t="shared" si="171"/>
        <v>6472.3150594872004</v>
      </c>
      <c r="F2296" s="6">
        <f t="shared" si="172"/>
        <v>8414.0095773333614</v>
      </c>
      <c r="G2296" s="7">
        <f t="shared" si="173"/>
        <v>9061.2410832820806</v>
      </c>
      <c r="H2296" s="8">
        <f t="shared" si="174"/>
        <v>9708.4725892308015</v>
      </c>
      <c r="I2296" s="9">
        <f t="shared" si="175"/>
        <v>10355.704095179521</v>
      </c>
    </row>
    <row r="2297" spans="1:9" x14ac:dyDescent="0.35">
      <c r="A2297" s="43" t="s">
        <v>3352</v>
      </c>
      <c r="B2297" s="47" t="s">
        <v>3354</v>
      </c>
      <c r="C2297" s="29">
        <v>45737</v>
      </c>
      <c r="D2297" s="11">
        <v>7886.3633100000006</v>
      </c>
      <c r="E2297" s="27">
        <f t="shared" si="171"/>
        <v>8779.0996366920008</v>
      </c>
      <c r="F2297" s="6">
        <f t="shared" si="172"/>
        <v>11412.829527699601</v>
      </c>
      <c r="G2297" s="7">
        <f t="shared" si="173"/>
        <v>12290.7394913688</v>
      </c>
      <c r="H2297" s="8">
        <f t="shared" si="174"/>
        <v>13168.649455038001</v>
      </c>
      <c r="I2297" s="9">
        <f t="shared" si="175"/>
        <v>14046.559418707202</v>
      </c>
    </row>
    <row r="2298" spans="1:9" x14ac:dyDescent="0.35">
      <c r="A2298" s="43" t="s">
        <v>3353</v>
      </c>
      <c r="B2298" s="47" t="s">
        <v>3355</v>
      </c>
      <c r="C2298" s="29">
        <v>45737</v>
      </c>
      <c r="D2298" s="11">
        <v>7886.3633100000006</v>
      </c>
      <c r="E2298" s="27">
        <f t="shared" si="171"/>
        <v>8779.0996366920008</v>
      </c>
      <c r="F2298" s="6">
        <f t="shared" si="172"/>
        <v>11412.829527699601</v>
      </c>
      <c r="G2298" s="7">
        <f t="shared" si="173"/>
        <v>12290.7394913688</v>
      </c>
      <c r="H2298" s="8">
        <f t="shared" si="174"/>
        <v>13168.649455038001</v>
      </c>
      <c r="I2298" s="9">
        <f t="shared" si="175"/>
        <v>14046.559418707202</v>
      </c>
    </row>
    <row r="2299" spans="1:9" ht="18" x14ac:dyDescent="0.4">
      <c r="A2299" s="43">
        <v>3036</v>
      </c>
      <c r="B2299" s="47" t="s">
        <v>5950</v>
      </c>
      <c r="C2299" s="29">
        <v>45737</v>
      </c>
      <c r="D2299" s="11">
        <v>5814.1529460000002</v>
      </c>
      <c r="E2299" s="27">
        <f t="shared" si="171"/>
        <v>6472.3150594872004</v>
      </c>
      <c r="F2299" s="6">
        <f t="shared" si="172"/>
        <v>8414.0095773333614</v>
      </c>
      <c r="G2299" s="7">
        <f t="shared" si="173"/>
        <v>9061.2410832820806</v>
      </c>
      <c r="H2299" s="8">
        <f t="shared" si="174"/>
        <v>9708.4725892308015</v>
      </c>
      <c r="I2299" s="9">
        <f t="shared" si="175"/>
        <v>10355.704095179521</v>
      </c>
    </row>
    <row r="2300" spans="1:9" x14ac:dyDescent="0.35">
      <c r="A2300" s="43">
        <v>3037</v>
      </c>
      <c r="B2300" s="47" t="s">
        <v>2100</v>
      </c>
      <c r="C2300" s="29">
        <v>45737</v>
      </c>
      <c r="D2300" s="11">
        <v>3553.3833300000006</v>
      </c>
      <c r="E2300" s="27">
        <f t="shared" si="171"/>
        <v>3955.6263229560009</v>
      </c>
      <c r="F2300" s="6">
        <f t="shared" si="172"/>
        <v>5142.3142198428013</v>
      </c>
      <c r="G2300" s="7">
        <f t="shared" si="173"/>
        <v>5537.8768521384009</v>
      </c>
      <c r="H2300" s="8">
        <f t="shared" si="174"/>
        <v>5933.4394844340013</v>
      </c>
      <c r="I2300" s="9">
        <f t="shared" si="175"/>
        <v>6329.0021167296018</v>
      </c>
    </row>
    <row r="2301" spans="1:9" x14ac:dyDescent="0.35">
      <c r="A2301" s="43" t="s">
        <v>2101</v>
      </c>
      <c r="B2301" s="47" t="s">
        <v>2102</v>
      </c>
      <c r="C2301" s="29">
        <v>45737</v>
      </c>
      <c r="D2301" s="11">
        <v>3553.3833300000006</v>
      </c>
      <c r="E2301" s="27">
        <f t="shared" si="171"/>
        <v>3955.6263229560009</v>
      </c>
      <c r="F2301" s="6">
        <f t="shared" si="172"/>
        <v>5142.3142198428013</v>
      </c>
      <c r="G2301" s="7">
        <f t="shared" si="173"/>
        <v>5537.8768521384009</v>
      </c>
      <c r="H2301" s="8">
        <f t="shared" si="174"/>
        <v>5933.4394844340013</v>
      </c>
      <c r="I2301" s="9">
        <f t="shared" si="175"/>
        <v>6329.0021167296018</v>
      </c>
    </row>
    <row r="2302" spans="1:9" x14ac:dyDescent="0.35">
      <c r="A2302" s="43" t="s">
        <v>2103</v>
      </c>
      <c r="B2302" s="47" t="s">
        <v>2104</v>
      </c>
      <c r="C2302" s="29">
        <v>45737</v>
      </c>
      <c r="D2302" s="11">
        <v>3553.3833300000006</v>
      </c>
      <c r="E2302" s="27">
        <f t="shared" si="171"/>
        <v>3955.6263229560009</v>
      </c>
      <c r="F2302" s="6">
        <f t="shared" si="172"/>
        <v>5142.3142198428013</v>
      </c>
      <c r="G2302" s="7">
        <f t="shared" si="173"/>
        <v>5537.8768521384009</v>
      </c>
      <c r="H2302" s="8">
        <f t="shared" si="174"/>
        <v>5933.4394844340013</v>
      </c>
      <c r="I2302" s="9">
        <f t="shared" si="175"/>
        <v>6329.0021167296018</v>
      </c>
    </row>
    <row r="2303" spans="1:9" ht="18" x14ac:dyDescent="0.4">
      <c r="A2303" s="45">
        <v>3038</v>
      </c>
      <c r="B2303" s="48" t="s">
        <v>2105</v>
      </c>
      <c r="C2303" s="29">
        <v>45737</v>
      </c>
      <c r="D2303" s="11">
        <v>3449.0326500000001</v>
      </c>
      <c r="E2303" s="27">
        <f t="shared" si="171"/>
        <v>3839.4631459800003</v>
      </c>
      <c r="F2303" s="6">
        <f t="shared" si="172"/>
        <v>4991.3020897740007</v>
      </c>
      <c r="G2303" s="7">
        <f t="shared" si="173"/>
        <v>5375.2484043719996</v>
      </c>
      <c r="H2303" s="8">
        <f t="shared" si="174"/>
        <v>5759.1947189700004</v>
      </c>
      <c r="I2303" s="9">
        <f t="shared" si="175"/>
        <v>6143.1410335680011</v>
      </c>
    </row>
    <row r="2304" spans="1:9" ht="18" x14ac:dyDescent="0.4">
      <c r="A2304" s="45" t="s">
        <v>2106</v>
      </c>
      <c r="B2304" s="48" t="s">
        <v>2107</v>
      </c>
      <c r="C2304" s="29">
        <v>45737</v>
      </c>
      <c r="D2304" s="11">
        <v>3449.0326500000001</v>
      </c>
      <c r="E2304" s="27">
        <f t="shared" si="171"/>
        <v>3839.4631459800003</v>
      </c>
      <c r="F2304" s="6">
        <f t="shared" si="172"/>
        <v>4991.3020897740007</v>
      </c>
      <c r="G2304" s="7">
        <f t="shared" si="173"/>
        <v>5375.2484043719996</v>
      </c>
      <c r="H2304" s="8">
        <f t="shared" si="174"/>
        <v>5759.1947189700004</v>
      </c>
      <c r="I2304" s="9">
        <f t="shared" si="175"/>
        <v>6143.1410335680011</v>
      </c>
    </row>
    <row r="2305" spans="1:9" ht="18" x14ac:dyDescent="0.4">
      <c r="A2305" s="45" t="s">
        <v>2108</v>
      </c>
      <c r="B2305" s="48" t="s">
        <v>1729</v>
      </c>
      <c r="C2305" s="29">
        <v>45737</v>
      </c>
      <c r="D2305" s="11">
        <v>3449.0326500000001</v>
      </c>
      <c r="E2305" s="27">
        <f t="shared" si="171"/>
        <v>3839.4631459800003</v>
      </c>
      <c r="F2305" s="6">
        <f t="shared" si="172"/>
        <v>4991.3020897740007</v>
      </c>
      <c r="G2305" s="7">
        <f t="shared" si="173"/>
        <v>5375.2484043719996</v>
      </c>
      <c r="H2305" s="8">
        <f t="shared" si="174"/>
        <v>5759.1947189700004</v>
      </c>
      <c r="I2305" s="9">
        <f t="shared" si="175"/>
        <v>6143.1410335680011</v>
      </c>
    </row>
    <row r="2306" spans="1:9" ht="18" x14ac:dyDescent="0.4">
      <c r="A2306" s="45">
        <v>3039</v>
      </c>
      <c r="B2306" s="48" t="s">
        <v>2109</v>
      </c>
      <c r="C2306" s="29">
        <v>45737</v>
      </c>
      <c r="D2306" s="11">
        <v>3553.3833300000006</v>
      </c>
      <c r="E2306" s="27">
        <f t="shared" si="171"/>
        <v>3955.6263229560009</v>
      </c>
      <c r="F2306" s="6">
        <f t="shared" si="172"/>
        <v>5142.3142198428013</v>
      </c>
      <c r="G2306" s="7">
        <f t="shared" si="173"/>
        <v>5537.8768521384009</v>
      </c>
      <c r="H2306" s="8">
        <f t="shared" si="174"/>
        <v>5933.4394844340013</v>
      </c>
      <c r="I2306" s="9">
        <f t="shared" si="175"/>
        <v>6329.0021167296018</v>
      </c>
    </row>
    <row r="2307" spans="1:9" ht="18" x14ac:dyDescent="0.4">
      <c r="A2307" s="45" t="s">
        <v>2110</v>
      </c>
      <c r="B2307" s="48" t="s">
        <v>2111</v>
      </c>
      <c r="C2307" s="29">
        <v>45737</v>
      </c>
      <c r="D2307" s="11">
        <v>3553.3833300000006</v>
      </c>
      <c r="E2307" s="27">
        <f t="shared" si="171"/>
        <v>3955.6263229560009</v>
      </c>
      <c r="F2307" s="6">
        <f t="shared" si="172"/>
        <v>5142.3142198428013</v>
      </c>
      <c r="G2307" s="7">
        <f t="shared" si="173"/>
        <v>5537.8768521384009</v>
      </c>
      <c r="H2307" s="8">
        <f t="shared" si="174"/>
        <v>5933.4394844340013</v>
      </c>
      <c r="I2307" s="9">
        <f t="shared" si="175"/>
        <v>6329.0021167296018</v>
      </c>
    </row>
    <row r="2308" spans="1:9" ht="18" x14ac:dyDescent="0.4">
      <c r="A2308" s="45" t="s">
        <v>2112</v>
      </c>
      <c r="B2308" s="48" t="s">
        <v>2113</v>
      </c>
      <c r="C2308" s="29">
        <v>45737</v>
      </c>
      <c r="D2308" s="11">
        <v>3553.3833300000006</v>
      </c>
      <c r="E2308" s="27">
        <f t="shared" si="171"/>
        <v>3955.6263229560009</v>
      </c>
      <c r="F2308" s="6">
        <f t="shared" si="172"/>
        <v>5142.3142198428013</v>
      </c>
      <c r="G2308" s="7">
        <f t="shared" si="173"/>
        <v>5537.8768521384009</v>
      </c>
      <c r="H2308" s="8">
        <f t="shared" si="174"/>
        <v>5933.4394844340013</v>
      </c>
      <c r="I2308" s="9">
        <f t="shared" si="175"/>
        <v>6329.0021167296018</v>
      </c>
    </row>
    <row r="2309" spans="1:9" ht="18" x14ac:dyDescent="0.4">
      <c r="A2309" s="43">
        <v>3040</v>
      </c>
      <c r="B2309" s="47" t="s">
        <v>5951</v>
      </c>
      <c r="C2309" s="29">
        <v>45737</v>
      </c>
      <c r="D2309" s="11">
        <v>7279.0666200000005</v>
      </c>
      <c r="E2309" s="27">
        <f t="shared" si="171"/>
        <v>8103.0569613840007</v>
      </c>
      <c r="F2309" s="6">
        <f t="shared" si="172"/>
        <v>10533.974049799201</v>
      </c>
      <c r="G2309" s="7">
        <f t="shared" si="173"/>
        <v>11344.2797459376</v>
      </c>
      <c r="H2309" s="8">
        <f t="shared" si="174"/>
        <v>12154.585442076001</v>
      </c>
      <c r="I2309" s="9">
        <f t="shared" si="175"/>
        <v>12964.891138214402</v>
      </c>
    </row>
    <row r="2310" spans="1:9" ht="18" x14ac:dyDescent="0.4">
      <c r="A2310" s="43" t="s">
        <v>2114</v>
      </c>
      <c r="B2310" s="47" t="s">
        <v>5952</v>
      </c>
      <c r="C2310" s="29">
        <v>45737</v>
      </c>
      <c r="D2310" s="11">
        <v>6972.0208110000003</v>
      </c>
      <c r="E2310" s="27">
        <f t="shared" si="171"/>
        <v>7761.2535668051996</v>
      </c>
      <c r="F2310" s="6">
        <f t="shared" si="172"/>
        <v>10089.629636846759</v>
      </c>
      <c r="G2310" s="7">
        <f t="shared" si="173"/>
        <v>10865.754993527278</v>
      </c>
      <c r="H2310" s="8">
        <f t="shared" si="174"/>
        <v>11641.880350207799</v>
      </c>
      <c r="I2310" s="9">
        <f t="shared" si="175"/>
        <v>12418.00570688832</v>
      </c>
    </row>
    <row r="2311" spans="1:9" ht="18" x14ac:dyDescent="0.4">
      <c r="A2311" s="43" t="s">
        <v>1733</v>
      </c>
      <c r="B2311" s="47" t="s">
        <v>5953</v>
      </c>
      <c r="C2311" s="29">
        <v>45737</v>
      </c>
      <c r="D2311" s="11">
        <v>8779.0469760000015</v>
      </c>
      <c r="E2311" s="27">
        <f t="shared" si="171"/>
        <v>9772.835093683203</v>
      </c>
      <c r="F2311" s="6">
        <f t="shared" si="172"/>
        <v>12704.685621788165</v>
      </c>
      <c r="G2311" s="7">
        <f t="shared" si="173"/>
        <v>13681.969131156484</v>
      </c>
      <c r="H2311" s="8">
        <f t="shared" si="174"/>
        <v>14659.252640524805</v>
      </c>
      <c r="I2311" s="9">
        <f t="shared" si="175"/>
        <v>15636.536149893125</v>
      </c>
    </row>
    <row r="2312" spans="1:9" x14ac:dyDescent="0.35">
      <c r="A2312" s="43" t="s">
        <v>5785</v>
      </c>
      <c r="B2312" s="47" t="s">
        <v>5786</v>
      </c>
      <c r="C2312" s="29">
        <v>45737</v>
      </c>
      <c r="D2312" s="11">
        <v>7610.4406980000012</v>
      </c>
      <c r="E2312" s="27">
        <f t="shared" si="171"/>
        <v>8471.9425850136013</v>
      </c>
      <c r="F2312" s="6">
        <f t="shared" si="172"/>
        <v>11013.525360517682</v>
      </c>
      <c r="G2312" s="7">
        <f t="shared" si="173"/>
        <v>11860.719619019041</v>
      </c>
      <c r="H2312" s="8">
        <f t="shared" si="174"/>
        <v>12707.913877520401</v>
      </c>
      <c r="I2312" s="9">
        <f t="shared" si="175"/>
        <v>13555.108136021763</v>
      </c>
    </row>
    <row r="2313" spans="1:9" x14ac:dyDescent="0.35">
      <c r="A2313" s="43">
        <v>3061</v>
      </c>
      <c r="B2313" s="47" t="s">
        <v>4646</v>
      </c>
      <c r="C2313" s="29">
        <v>45737</v>
      </c>
      <c r="D2313" s="11">
        <v>7211.2386780000015</v>
      </c>
      <c r="E2313" s="27">
        <f t="shared" si="171"/>
        <v>8027.5508963496013</v>
      </c>
      <c r="F2313" s="6">
        <f t="shared" si="172"/>
        <v>10435.816165254482</v>
      </c>
      <c r="G2313" s="7">
        <f t="shared" si="173"/>
        <v>11238.571254889441</v>
      </c>
      <c r="H2313" s="8">
        <f t="shared" si="174"/>
        <v>12041.326344524401</v>
      </c>
      <c r="I2313" s="9">
        <f t="shared" si="175"/>
        <v>12844.081434159363</v>
      </c>
    </row>
    <row r="2314" spans="1:9" x14ac:dyDescent="0.35">
      <c r="A2314" s="43" t="s">
        <v>4647</v>
      </c>
      <c r="B2314" s="47" t="s">
        <v>4648</v>
      </c>
      <c r="C2314" s="29">
        <v>45737</v>
      </c>
      <c r="D2314" s="11">
        <v>7326.6311160000014</v>
      </c>
      <c r="E2314" s="27">
        <f t="shared" si="171"/>
        <v>8156.0057583312018</v>
      </c>
      <c r="F2314" s="6">
        <f t="shared" si="172"/>
        <v>10602.807485830563</v>
      </c>
      <c r="G2314" s="7">
        <f t="shared" si="173"/>
        <v>11418.408061663682</v>
      </c>
      <c r="H2314" s="8">
        <f t="shared" si="174"/>
        <v>12234.008637496803</v>
      </c>
      <c r="I2314" s="9">
        <f t="shared" si="175"/>
        <v>13049.609213329924</v>
      </c>
    </row>
    <row r="2315" spans="1:9" x14ac:dyDescent="0.35">
      <c r="A2315" s="43">
        <v>3069</v>
      </c>
      <c r="B2315" s="47" t="s">
        <v>2115</v>
      </c>
      <c r="C2315" s="29">
        <v>45737</v>
      </c>
      <c r="D2315" s="11">
        <v>6178.2882840000011</v>
      </c>
      <c r="E2315" s="27">
        <f t="shared" si="171"/>
        <v>6877.6705177488011</v>
      </c>
      <c r="F2315" s="6">
        <f t="shared" si="172"/>
        <v>8940.9716730734417</v>
      </c>
      <c r="G2315" s="7">
        <f t="shared" si="173"/>
        <v>9628.738724848321</v>
      </c>
      <c r="H2315" s="8">
        <f t="shared" si="174"/>
        <v>10316.505776623202</v>
      </c>
      <c r="I2315" s="9">
        <f t="shared" si="175"/>
        <v>11004.272828398083</v>
      </c>
    </row>
    <row r="2316" spans="1:9" x14ac:dyDescent="0.35">
      <c r="A2316" s="43">
        <v>3071</v>
      </c>
      <c r="B2316" s="47" t="s">
        <v>4649</v>
      </c>
      <c r="C2316" s="29">
        <v>45737</v>
      </c>
      <c r="D2316" s="11">
        <v>6178.2882840000011</v>
      </c>
      <c r="E2316" s="27">
        <f t="shared" ref="E2316:E2379" si="176">D2316*1.21*0.92</f>
        <v>6877.6705177488011</v>
      </c>
      <c r="F2316" s="6">
        <f t="shared" si="172"/>
        <v>8940.9716730734417</v>
      </c>
      <c r="G2316" s="7">
        <f t="shared" si="173"/>
        <v>9628.738724848321</v>
      </c>
      <c r="H2316" s="8">
        <f t="shared" si="174"/>
        <v>10316.505776623202</v>
      </c>
      <c r="I2316" s="9">
        <f t="shared" si="175"/>
        <v>11004.272828398083</v>
      </c>
    </row>
    <row r="2317" spans="1:9" x14ac:dyDescent="0.35">
      <c r="A2317" s="43">
        <v>3114</v>
      </c>
      <c r="B2317" s="47" t="s">
        <v>2116</v>
      </c>
      <c r="C2317" s="29">
        <v>45737</v>
      </c>
      <c r="D2317" s="11">
        <v>5780.6636580000013</v>
      </c>
      <c r="E2317" s="27">
        <f t="shared" si="176"/>
        <v>6435.034784085602</v>
      </c>
      <c r="F2317" s="6">
        <f t="shared" si="172"/>
        <v>8365.5452193112833</v>
      </c>
      <c r="G2317" s="7">
        <f t="shared" si="173"/>
        <v>9009.0486977198416</v>
      </c>
      <c r="H2317" s="8">
        <f t="shared" si="174"/>
        <v>9652.5521761284035</v>
      </c>
      <c r="I2317" s="9">
        <f t="shared" si="175"/>
        <v>10296.055654536964</v>
      </c>
    </row>
    <row r="2318" spans="1:9" x14ac:dyDescent="0.35">
      <c r="A2318" s="43">
        <v>3115</v>
      </c>
      <c r="B2318" s="47" t="s">
        <v>2117</v>
      </c>
      <c r="C2318" s="29">
        <v>45737</v>
      </c>
      <c r="D2318" s="11">
        <v>5818.1571000000013</v>
      </c>
      <c r="E2318" s="27">
        <f t="shared" si="176"/>
        <v>6476.7724837200012</v>
      </c>
      <c r="F2318" s="6">
        <f t="shared" si="172"/>
        <v>8419.8042288360011</v>
      </c>
      <c r="G2318" s="7">
        <f t="shared" si="173"/>
        <v>9067.4814772080008</v>
      </c>
      <c r="H2318" s="8">
        <f t="shared" si="174"/>
        <v>9715.1587255800023</v>
      </c>
      <c r="I2318" s="9">
        <f t="shared" si="175"/>
        <v>10362.835973952002</v>
      </c>
    </row>
    <row r="2319" spans="1:9" x14ac:dyDescent="0.35">
      <c r="A2319" s="43" t="s">
        <v>2118</v>
      </c>
      <c r="B2319" s="47" t="s">
        <v>2119</v>
      </c>
      <c r="C2319" s="29">
        <v>45737</v>
      </c>
      <c r="D2319" s="11">
        <v>6592.8395610000007</v>
      </c>
      <c r="E2319" s="27">
        <f t="shared" si="176"/>
        <v>7339.148999305201</v>
      </c>
      <c r="F2319" s="6">
        <f t="shared" si="172"/>
        <v>9540.8936990967613</v>
      </c>
      <c r="G2319" s="7">
        <f t="shared" si="173"/>
        <v>10274.808599027281</v>
      </c>
      <c r="H2319" s="8">
        <f t="shared" si="174"/>
        <v>11008.723498957801</v>
      </c>
      <c r="I2319" s="9">
        <f t="shared" si="175"/>
        <v>11742.638398888323</v>
      </c>
    </row>
    <row r="2320" spans="1:9" x14ac:dyDescent="0.35">
      <c r="A2320" s="43" t="s">
        <v>2120</v>
      </c>
      <c r="B2320" s="47" t="s">
        <v>2121</v>
      </c>
      <c r="C2320" s="29">
        <v>45737</v>
      </c>
      <c r="D2320" s="11">
        <v>6592.8395610000007</v>
      </c>
      <c r="E2320" s="27">
        <f t="shared" si="176"/>
        <v>7339.148999305201</v>
      </c>
      <c r="F2320" s="6">
        <f t="shared" ref="F2320:F2383" si="177">E2320*1.3</f>
        <v>9540.8936990967613</v>
      </c>
      <c r="G2320" s="7">
        <f t="shared" ref="G2320:G2383" si="178">E2320*1.4</f>
        <v>10274.808599027281</v>
      </c>
      <c r="H2320" s="8">
        <f t="shared" ref="H2320:H2383" si="179">E2320*1.5</f>
        <v>11008.723498957801</v>
      </c>
      <c r="I2320" s="9">
        <f t="shared" ref="I2320:I2383" si="180">E2320*1.6</f>
        <v>11742.638398888323</v>
      </c>
    </row>
    <row r="2321" spans="1:9" x14ac:dyDescent="0.35">
      <c r="A2321" s="43">
        <v>3116</v>
      </c>
      <c r="B2321" s="47" t="s">
        <v>2122</v>
      </c>
      <c r="C2321" s="29">
        <v>45737</v>
      </c>
      <c r="D2321" s="11">
        <v>6177.4995870000002</v>
      </c>
      <c r="E2321" s="27">
        <f t="shared" si="176"/>
        <v>6876.7925402484007</v>
      </c>
      <c r="F2321" s="6">
        <f t="shared" si="177"/>
        <v>8939.8303023229219</v>
      </c>
      <c r="G2321" s="7">
        <f t="shared" si="178"/>
        <v>9627.5095563477607</v>
      </c>
      <c r="H2321" s="8">
        <f t="shared" si="179"/>
        <v>10315.188810372601</v>
      </c>
      <c r="I2321" s="9">
        <f t="shared" si="180"/>
        <v>11002.868064397442</v>
      </c>
    </row>
    <row r="2322" spans="1:9" x14ac:dyDescent="0.35">
      <c r="A2322" s="43" t="s">
        <v>2123</v>
      </c>
      <c r="B2322" s="47" t="s">
        <v>2124</v>
      </c>
      <c r="C2322" s="29">
        <v>45737</v>
      </c>
      <c r="D2322" s="11">
        <v>6975.964296000001</v>
      </c>
      <c r="E2322" s="27">
        <f t="shared" si="176"/>
        <v>7765.643454307201</v>
      </c>
      <c r="F2322" s="6">
        <f t="shared" si="177"/>
        <v>10095.336490599362</v>
      </c>
      <c r="G2322" s="7">
        <f t="shared" si="178"/>
        <v>10871.900836030081</v>
      </c>
      <c r="H2322" s="8">
        <f t="shared" si="179"/>
        <v>11648.465181460801</v>
      </c>
      <c r="I2322" s="9">
        <f t="shared" si="180"/>
        <v>12425.029526891522</v>
      </c>
    </row>
    <row r="2323" spans="1:9" x14ac:dyDescent="0.35">
      <c r="A2323" s="43" t="s">
        <v>2125</v>
      </c>
      <c r="B2323" s="47" t="s">
        <v>2126</v>
      </c>
      <c r="C2323" s="29">
        <v>45737</v>
      </c>
      <c r="D2323" s="11">
        <v>6975.964296000001</v>
      </c>
      <c r="E2323" s="27">
        <f t="shared" si="176"/>
        <v>7765.643454307201</v>
      </c>
      <c r="F2323" s="6">
        <f t="shared" si="177"/>
        <v>10095.336490599362</v>
      </c>
      <c r="G2323" s="7">
        <f t="shared" si="178"/>
        <v>10871.900836030081</v>
      </c>
      <c r="H2323" s="8">
        <f t="shared" si="179"/>
        <v>11648.465181460801</v>
      </c>
      <c r="I2323" s="9">
        <f t="shared" si="180"/>
        <v>12425.029526891522</v>
      </c>
    </row>
    <row r="2324" spans="1:9" x14ac:dyDescent="0.35">
      <c r="A2324" s="43">
        <v>3119</v>
      </c>
      <c r="B2324" s="47" t="s">
        <v>3345</v>
      </c>
      <c r="C2324" s="29">
        <v>45737</v>
      </c>
      <c r="D2324" s="11">
        <v>5684.1999480000013</v>
      </c>
      <c r="E2324" s="27">
        <f t="shared" si="176"/>
        <v>6327.6513821136014</v>
      </c>
      <c r="F2324" s="6">
        <f t="shared" si="177"/>
        <v>8225.9467967476812</v>
      </c>
      <c r="G2324" s="7">
        <f t="shared" si="178"/>
        <v>8858.7119349590412</v>
      </c>
      <c r="H2324" s="8">
        <f t="shared" si="179"/>
        <v>9491.4770731704011</v>
      </c>
      <c r="I2324" s="9">
        <f t="shared" si="180"/>
        <v>10124.242211381763</v>
      </c>
    </row>
    <row r="2325" spans="1:9" x14ac:dyDescent="0.35">
      <c r="A2325" s="43">
        <v>3120</v>
      </c>
      <c r="B2325" s="47" t="s">
        <v>2127</v>
      </c>
      <c r="C2325" s="29">
        <v>45737</v>
      </c>
      <c r="D2325" s="11">
        <v>4721.2009109999999</v>
      </c>
      <c r="E2325" s="27">
        <f t="shared" si="176"/>
        <v>5255.6408541252003</v>
      </c>
      <c r="F2325" s="6">
        <f t="shared" si="177"/>
        <v>6832.3331103627606</v>
      </c>
      <c r="G2325" s="7">
        <f t="shared" si="178"/>
        <v>7357.8971957752801</v>
      </c>
      <c r="H2325" s="8">
        <f t="shared" si="179"/>
        <v>7883.4612811878005</v>
      </c>
      <c r="I2325" s="9">
        <f t="shared" si="180"/>
        <v>8409.0253666003209</v>
      </c>
    </row>
    <row r="2326" spans="1:9" x14ac:dyDescent="0.35">
      <c r="A2326" s="43">
        <v>3121</v>
      </c>
      <c r="B2326" s="47" t="s">
        <v>2128</v>
      </c>
      <c r="C2326" s="29">
        <v>45737</v>
      </c>
      <c r="D2326" s="11">
        <v>6576.2769240000016</v>
      </c>
      <c r="E2326" s="27">
        <f t="shared" si="176"/>
        <v>7320.7114717968016</v>
      </c>
      <c r="F2326" s="6">
        <f t="shared" si="177"/>
        <v>9516.9249133358426</v>
      </c>
      <c r="G2326" s="7">
        <f t="shared" si="178"/>
        <v>10248.996060515521</v>
      </c>
      <c r="H2326" s="8">
        <f t="shared" si="179"/>
        <v>10981.067207695203</v>
      </c>
      <c r="I2326" s="9">
        <f t="shared" si="180"/>
        <v>11713.138354874884</v>
      </c>
    </row>
    <row r="2327" spans="1:9" x14ac:dyDescent="0.35">
      <c r="A2327" s="43" t="s">
        <v>2129</v>
      </c>
      <c r="B2327" s="47" t="s">
        <v>2130</v>
      </c>
      <c r="C2327" s="29">
        <v>45737</v>
      </c>
      <c r="D2327" s="11">
        <v>6668.3724660000007</v>
      </c>
      <c r="E2327" s="27">
        <f t="shared" si="176"/>
        <v>7423.232229151201</v>
      </c>
      <c r="F2327" s="6">
        <f t="shared" si="177"/>
        <v>9650.2018978965607</v>
      </c>
      <c r="G2327" s="7">
        <f t="shared" si="178"/>
        <v>10392.525120811681</v>
      </c>
      <c r="H2327" s="8">
        <f t="shared" si="179"/>
        <v>11134.848343726801</v>
      </c>
      <c r="I2327" s="9">
        <f t="shared" si="180"/>
        <v>11877.171566641922</v>
      </c>
    </row>
    <row r="2328" spans="1:9" x14ac:dyDescent="0.35">
      <c r="A2328" s="43" t="s">
        <v>5787</v>
      </c>
      <c r="B2328" s="47" t="s">
        <v>5788</v>
      </c>
      <c r="C2328" s="29">
        <v>45737</v>
      </c>
      <c r="D2328" s="11">
        <v>6895.8812160000007</v>
      </c>
      <c r="E2328" s="27">
        <f t="shared" si="176"/>
        <v>7676.4949696512003</v>
      </c>
      <c r="F2328" s="6">
        <f t="shared" si="177"/>
        <v>9979.4434605465613</v>
      </c>
      <c r="G2328" s="7">
        <f t="shared" si="178"/>
        <v>10747.092957511681</v>
      </c>
      <c r="H2328" s="8">
        <f t="shared" si="179"/>
        <v>11514.7424544768</v>
      </c>
      <c r="I2328" s="9">
        <f t="shared" si="180"/>
        <v>12282.391951441921</v>
      </c>
    </row>
    <row r="2329" spans="1:9" x14ac:dyDescent="0.35">
      <c r="A2329" s="43">
        <v>3122</v>
      </c>
      <c r="B2329" s="47" t="s">
        <v>2131</v>
      </c>
      <c r="C2329" s="29">
        <v>45737</v>
      </c>
      <c r="D2329" s="11">
        <v>6352.8936660000018</v>
      </c>
      <c r="E2329" s="27">
        <f t="shared" si="176"/>
        <v>7072.0412289912019</v>
      </c>
      <c r="F2329" s="6">
        <f t="shared" si="177"/>
        <v>9193.6535976885625</v>
      </c>
      <c r="G2329" s="7">
        <f t="shared" si="178"/>
        <v>9900.8577205876827</v>
      </c>
      <c r="H2329" s="8">
        <f t="shared" si="179"/>
        <v>10608.061843486803</v>
      </c>
      <c r="I2329" s="9">
        <f t="shared" si="180"/>
        <v>11315.265966385923</v>
      </c>
    </row>
    <row r="2330" spans="1:9" x14ac:dyDescent="0.35">
      <c r="A2330" s="43">
        <v>3123</v>
      </c>
      <c r="B2330" s="47" t="s">
        <v>3340</v>
      </c>
      <c r="C2330" s="29">
        <v>45737</v>
      </c>
      <c r="D2330" s="11">
        <v>7096.2102540000014</v>
      </c>
      <c r="E2330" s="27">
        <f t="shared" si="176"/>
        <v>7899.5012547528022</v>
      </c>
      <c r="F2330" s="6">
        <f t="shared" si="177"/>
        <v>10269.351631178642</v>
      </c>
      <c r="G2330" s="7">
        <f t="shared" si="178"/>
        <v>11059.301756653922</v>
      </c>
      <c r="H2330" s="8">
        <f t="shared" si="179"/>
        <v>11849.251882129203</v>
      </c>
      <c r="I2330" s="9">
        <f t="shared" si="180"/>
        <v>12639.202007604485</v>
      </c>
    </row>
    <row r="2331" spans="1:9" x14ac:dyDescent="0.35">
      <c r="A2331" s="43">
        <v>3130</v>
      </c>
      <c r="B2331" s="47" t="s">
        <v>3341</v>
      </c>
      <c r="C2331" s="29">
        <v>45737</v>
      </c>
      <c r="D2331" s="11">
        <v>7246.9241838000016</v>
      </c>
      <c r="E2331" s="27">
        <f t="shared" si="176"/>
        <v>8067.2760014061623</v>
      </c>
      <c r="F2331" s="6">
        <f t="shared" si="177"/>
        <v>10487.458801828012</v>
      </c>
      <c r="G2331" s="7">
        <f t="shared" si="178"/>
        <v>11294.186401968627</v>
      </c>
      <c r="H2331" s="8">
        <f t="shared" si="179"/>
        <v>12100.914002109243</v>
      </c>
      <c r="I2331" s="9">
        <f t="shared" si="180"/>
        <v>12907.64160224986</v>
      </c>
    </row>
    <row r="2332" spans="1:9" x14ac:dyDescent="0.35">
      <c r="A2332" s="43">
        <v>3140</v>
      </c>
      <c r="B2332" s="47" t="s">
        <v>3342</v>
      </c>
      <c r="C2332" s="29">
        <v>45737</v>
      </c>
      <c r="D2332" s="11">
        <v>5137.0869059999995</v>
      </c>
      <c r="E2332" s="27">
        <f t="shared" si="176"/>
        <v>5718.6051437591996</v>
      </c>
      <c r="F2332" s="6">
        <f t="shared" si="177"/>
        <v>7434.1866868869593</v>
      </c>
      <c r="G2332" s="7">
        <f t="shared" si="178"/>
        <v>8006.0472012628788</v>
      </c>
      <c r="H2332" s="8">
        <f t="shared" si="179"/>
        <v>8577.9077156387993</v>
      </c>
      <c r="I2332" s="9">
        <f t="shared" si="180"/>
        <v>9149.7682300147189</v>
      </c>
    </row>
    <row r="2333" spans="1:9" x14ac:dyDescent="0.35">
      <c r="A2333" s="43">
        <v>3145</v>
      </c>
      <c r="B2333" s="47" t="s">
        <v>3343</v>
      </c>
      <c r="C2333" s="29">
        <v>45737</v>
      </c>
      <c r="D2333" s="11">
        <v>8462.8401480000011</v>
      </c>
      <c r="E2333" s="27">
        <f t="shared" si="176"/>
        <v>9420.8336527536012</v>
      </c>
      <c r="F2333" s="6">
        <f t="shared" si="177"/>
        <v>12247.083748579682</v>
      </c>
      <c r="G2333" s="7">
        <f t="shared" si="178"/>
        <v>13189.167113855041</v>
      </c>
      <c r="H2333" s="8">
        <f t="shared" si="179"/>
        <v>14131.250479130402</v>
      </c>
      <c r="I2333" s="9">
        <f t="shared" si="180"/>
        <v>15073.333844405763</v>
      </c>
    </row>
    <row r="2334" spans="1:9" x14ac:dyDescent="0.35">
      <c r="A2334" s="43">
        <v>3147</v>
      </c>
      <c r="B2334" s="47" t="s">
        <v>3344</v>
      </c>
      <c r="C2334" s="29">
        <v>45737</v>
      </c>
      <c r="D2334" s="11">
        <v>9004.4929800000027</v>
      </c>
      <c r="E2334" s="27">
        <f t="shared" si="176"/>
        <v>10023.801585336003</v>
      </c>
      <c r="F2334" s="6">
        <f t="shared" si="177"/>
        <v>13030.942060936804</v>
      </c>
      <c r="G2334" s="7">
        <f t="shared" si="178"/>
        <v>14033.322219470403</v>
      </c>
      <c r="H2334" s="8">
        <f t="shared" si="179"/>
        <v>15035.702378004004</v>
      </c>
      <c r="I2334" s="9">
        <f t="shared" si="180"/>
        <v>16038.082536537606</v>
      </c>
    </row>
    <row r="2335" spans="1:9" x14ac:dyDescent="0.35">
      <c r="A2335" s="43">
        <v>3160</v>
      </c>
      <c r="B2335" s="47" t="s">
        <v>4650</v>
      </c>
      <c r="C2335" s="29">
        <v>45737</v>
      </c>
      <c r="D2335" s="11">
        <v>7020.7380180000018</v>
      </c>
      <c r="E2335" s="27">
        <f t="shared" si="176"/>
        <v>7815.4855616376017</v>
      </c>
      <c r="F2335" s="6">
        <f t="shared" si="177"/>
        <v>10160.131230128882</v>
      </c>
      <c r="G2335" s="7">
        <f t="shared" si="178"/>
        <v>10941.679786292641</v>
      </c>
      <c r="H2335" s="8">
        <f t="shared" si="179"/>
        <v>11723.228342456403</v>
      </c>
      <c r="I2335" s="9">
        <f t="shared" si="180"/>
        <v>12504.776898620163</v>
      </c>
    </row>
    <row r="2336" spans="1:9" x14ac:dyDescent="0.35">
      <c r="A2336" s="43">
        <v>3165</v>
      </c>
      <c r="B2336" s="47" t="s">
        <v>5789</v>
      </c>
      <c r="C2336" s="29">
        <v>45737</v>
      </c>
      <c r="D2336" s="11">
        <v>5003.857782</v>
      </c>
      <c r="E2336" s="27">
        <f t="shared" si="176"/>
        <v>5570.2944829223998</v>
      </c>
      <c r="F2336" s="6">
        <f t="shared" si="177"/>
        <v>7241.3828277991197</v>
      </c>
      <c r="G2336" s="7">
        <f t="shared" si="178"/>
        <v>7798.4122760913588</v>
      </c>
      <c r="H2336" s="8">
        <f t="shared" si="179"/>
        <v>8355.4417243835996</v>
      </c>
      <c r="I2336" s="9">
        <f t="shared" si="180"/>
        <v>8912.4711726758396</v>
      </c>
    </row>
    <row r="2337" spans="1:9" x14ac:dyDescent="0.35">
      <c r="A2337" s="43">
        <v>3170</v>
      </c>
      <c r="B2337" s="47" t="s">
        <v>4651</v>
      </c>
      <c r="C2337" s="29">
        <v>45737</v>
      </c>
      <c r="D2337" s="11">
        <v>4951.0757520000006</v>
      </c>
      <c r="E2337" s="27">
        <f t="shared" si="176"/>
        <v>5511.5375271264011</v>
      </c>
      <c r="F2337" s="6">
        <f t="shared" si="177"/>
        <v>7164.9987852643217</v>
      </c>
      <c r="G2337" s="7">
        <f t="shared" si="178"/>
        <v>7716.152537976961</v>
      </c>
      <c r="H2337" s="8">
        <f t="shared" si="179"/>
        <v>8267.3062906896012</v>
      </c>
      <c r="I2337" s="9">
        <f t="shared" si="180"/>
        <v>8818.4600434022414</v>
      </c>
    </row>
    <row r="2338" spans="1:9" x14ac:dyDescent="0.35">
      <c r="A2338" s="43">
        <v>3180</v>
      </c>
      <c r="B2338" s="47" t="s">
        <v>5791</v>
      </c>
      <c r="C2338" s="29">
        <v>45737</v>
      </c>
      <c r="D2338" s="11">
        <v>4865.0471100000004</v>
      </c>
      <c r="E2338" s="27">
        <f t="shared" si="176"/>
        <v>5415.7704428520001</v>
      </c>
      <c r="F2338" s="6">
        <f t="shared" si="177"/>
        <v>7040.5015757076008</v>
      </c>
      <c r="G2338" s="7">
        <f t="shared" si="178"/>
        <v>7582.0786199927998</v>
      </c>
      <c r="H2338" s="8">
        <f t="shared" si="179"/>
        <v>8123.6556642779997</v>
      </c>
      <c r="I2338" s="9">
        <f t="shared" si="180"/>
        <v>8665.2327085632005</v>
      </c>
    </row>
    <row r="2339" spans="1:9" x14ac:dyDescent="0.35">
      <c r="A2339" s="43">
        <v>3181</v>
      </c>
      <c r="B2339" s="47" t="s">
        <v>5792</v>
      </c>
      <c r="C2339" s="29">
        <v>45737</v>
      </c>
      <c r="D2339" s="11">
        <v>5480.473446</v>
      </c>
      <c r="E2339" s="27">
        <f t="shared" si="176"/>
        <v>6100.8630400872007</v>
      </c>
      <c r="F2339" s="6">
        <f t="shared" si="177"/>
        <v>7931.1219521133607</v>
      </c>
      <c r="G2339" s="7">
        <f t="shared" si="178"/>
        <v>8541.2082561220814</v>
      </c>
      <c r="H2339" s="8">
        <f t="shared" si="179"/>
        <v>9151.294560130802</v>
      </c>
      <c r="I2339" s="9">
        <f t="shared" si="180"/>
        <v>9761.3808641395208</v>
      </c>
    </row>
    <row r="2340" spans="1:9" x14ac:dyDescent="0.35">
      <c r="A2340" s="43">
        <v>3185</v>
      </c>
      <c r="B2340" s="47" t="s">
        <v>5793</v>
      </c>
      <c r="C2340" s="29">
        <v>45737</v>
      </c>
      <c r="D2340" s="11">
        <v>5980.9926960000012</v>
      </c>
      <c r="E2340" s="27">
        <f t="shared" si="176"/>
        <v>6658.0410691872021</v>
      </c>
      <c r="F2340" s="6">
        <f t="shared" si="177"/>
        <v>8655.4533899433627</v>
      </c>
      <c r="G2340" s="7">
        <f t="shared" si="178"/>
        <v>9321.2574968620829</v>
      </c>
      <c r="H2340" s="8">
        <f t="shared" si="179"/>
        <v>9987.0616037808031</v>
      </c>
      <c r="I2340" s="9">
        <f t="shared" si="180"/>
        <v>10652.865710699523</v>
      </c>
    </row>
    <row r="2341" spans="1:9" x14ac:dyDescent="0.35">
      <c r="A2341" s="43" t="s">
        <v>5790</v>
      </c>
      <c r="B2341" s="47" t="s">
        <v>5794</v>
      </c>
      <c r="C2341" s="29">
        <v>45737</v>
      </c>
      <c r="D2341" s="11">
        <v>6849.6514380000017</v>
      </c>
      <c r="E2341" s="27">
        <f t="shared" si="176"/>
        <v>7625.0319807816013</v>
      </c>
      <c r="F2341" s="6">
        <f t="shared" si="177"/>
        <v>9912.5415750160828</v>
      </c>
      <c r="G2341" s="7">
        <f t="shared" si="178"/>
        <v>10675.044773094241</v>
      </c>
      <c r="H2341" s="8">
        <f t="shared" si="179"/>
        <v>11437.547971172402</v>
      </c>
      <c r="I2341" s="9">
        <f t="shared" si="180"/>
        <v>12200.051169250562</v>
      </c>
    </row>
    <row r="2342" spans="1:9" x14ac:dyDescent="0.35">
      <c r="A2342" s="43">
        <v>3186</v>
      </c>
      <c r="B2342" s="47" t="s">
        <v>5795</v>
      </c>
      <c r="C2342" s="29">
        <v>45737</v>
      </c>
      <c r="D2342" s="11">
        <v>5496.004710000002</v>
      </c>
      <c r="E2342" s="27">
        <f t="shared" si="176"/>
        <v>6118.1524431720018</v>
      </c>
      <c r="F2342" s="6">
        <f t="shared" si="177"/>
        <v>7953.5981761236026</v>
      </c>
      <c r="G2342" s="7">
        <f t="shared" si="178"/>
        <v>8565.4134204408019</v>
      </c>
      <c r="H2342" s="8">
        <f t="shared" si="179"/>
        <v>9177.2286647580022</v>
      </c>
      <c r="I2342" s="9">
        <f t="shared" si="180"/>
        <v>9789.0439090752025</v>
      </c>
    </row>
    <row r="2343" spans="1:9" x14ac:dyDescent="0.35">
      <c r="A2343" s="43">
        <v>3190</v>
      </c>
      <c r="B2343" s="47" t="s">
        <v>5796</v>
      </c>
      <c r="C2343" s="29">
        <v>45737</v>
      </c>
      <c r="D2343" s="11">
        <v>5984.8755120000005</v>
      </c>
      <c r="E2343" s="27">
        <f t="shared" si="176"/>
        <v>6662.3634199584012</v>
      </c>
      <c r="F2343" s="6">
        <f t="shared" si="177"/>
        <v>8661.0724459459216</v>
      </c>
      <c r="G2343" s="7">
        <f t="shared" si="178"/>
        <v>9327.3087879417617</v>
      </c>
      <c r="H2343" s="8">
        <f t="shared" si="179"/>
        <v>9993.5451299376018</v>
      </c>
      <c r="I2343" s="9">
        <f t="shared" si="180"/>
        <v>10659.781471933442</v>
      </c>
    </row>
    <row r="2344" spans="1:9" x14ac:dyDescent="0.35">
      <c r="A2344" s="43" t="s">
        <v>3227</v>
      </c>
      <c r="B2344" s="47" t="s">
        <v>3312</v>
      </c>
      <c r="C2344" s="29">
        <v>45737</v>
      </c>
      <c r="D2344" s="11">
        <v>4963.5735660000009</v>
      </c>
      <c r="E2344" s="27">
        <f t="shared" si="176"/>
        <v>5525.4500936712011</v>
      </c>
      <c r="F2344" s="6">
        <f t="shared" si="177"/>
        <v>7183.0851217725613</v>
      </c>
      <c r="G2344" s="7">
        <f t="shared" si="178"/>
        <v>7735.630131139681</v>
      </c>
      <c r="H2344" s="8">
        <f t="shared" si="179"/>
        <v>8288.1751405068026</v>
      </c>
      <c r="I2344" s="9">
        <f t="shared" si="180"/>
        <v>8840.7201498739214</v>
      </c>
    </row>
    <row r="2345" spans="1:9" x14ac:dyDescent="0.35">
      <c r="A2345" s="43" t="s">
        <v>3228</v>
      </c>
      <c r="B2345" s="47" t="s">
        <v>3313</v>
      </c>
      <c r="C2345" s="29">
        <v>45737</v>
      </c>
      <c r="D2345" s="11">
        <v>4963.5735660000009</v>
      </c>
      <c r="E2345" s="27">
        <f t="shared" si="176"/>
        <v>5525.4500936712011</v>
      </c>
      <c r="F2345" s="6">
        <f t="shared" si="177"/>
        <v>7183.0851217725613</v>
      </c>
      <c r="G2345" s="7">
        <f t="shared" si="178"/>
        <v>7735.630131139681</v>
      </c>
      <c r="H2345" s="8">
        <f t="shared" si="179"/>
        <v>8288.1751405068026</v>
      </c>
      <c r="I2345" s="9">
        <f t="shared" si="180"/>
        <v>8840.7201498739214</v>
      </c>
    </row>
    <row r="2346" spans="1:9" ht="18" x14ac:dyDescent="0.4">
      <c r="A2346" s="43" t="s">
        <v>2132</v>
      </c>
      <c r="B2346" s="47" t="s">
        <v>5954</v>
      </c>
      <c r="C2346" s="29">
        <v>45737</v>
      </c>
      <c r="D2346" s="11">
        <v>5154.1955640000006</v>
      </c>
      <c r="E2346" s="27">
        <f t="shared" si="176"/>
        <v>5737.6505018448006</v>
      </c>
      <c r="F2346" s="6">
        <f t="shared" si="177"/>
        <v>7458.9456523982408</v>
      </c>
      <c r="G2346" s="7">
        <f t="shared" si="178"/>
        <v>8032.7107025827199</v>
      </c>
      <c r="H2346" s="8">
        <f t="shared" si="179"/>
        <v>8606.4757527672009</v>
      </c>
      <c r="I2346" s="9">
        <f t="shared" si="180"/>
        <v>9180.240802951681</v>
      </c>
    </row>
    <row r="2347" spans="1:9" ht="18" x14ac:dyDescent="0.4">
      <c r="A2347" s="43" t="s">
        <v>2133</v>
      </c>
      <c r="B2347" s="47" t="s">
        <v>5955</v>
      </c>
      <c r="C2347" s="29">
        <v>45737</v>
      </c>
      <c r="D2347" s="11">
        <v>5154.1955640000006</v>
      </c>
      <c r="E2347" s="27">
        <f t="shared" si="176"/>
        <v>5737.6505018448006</v>
      </c>
      <c r="F2347" s="6">
        <f t="shared" si="177"/>
        <v>7458.9456523982408</v>
      </c>
      <c r="G2347" s="7">
        <f t="shared" si="178"/>
        <v>8032.7107025827199</v>
      </c>
      <c r="H2347" s="8">
        <f t="shared" si="179"/>
        <v>8606.4757527672009</v>
      </c>
      <c r="I2347" s="9">
        <f t="shared" si="180"/>
        <v>9180.240802951681</v>
      </c>
    </row>
    <row r="2348" spans="1:9" ht="18" x14ac:dyDescent="0.4">
      <c r="A2348" s="43" t="s">
        <v>2134</v>
      </c>
      <c r="B2348" s="47" t="s">
        <v>5956</v>
      </c>
      <c r="C2348" s="29">
        <v>45737</v>
      </c>
      <c r="D2348" s="11">
        <v>4963.5735660000009</v>
      </c>
      <c r="E2348" s="27">
        <f t="shared" si="176"/>
        <v>5525.4500936712011</v>
      </c>
      <c r="F2348" s="6">
        <f t="shared" si="177"/>
        <v>7183.0851217725613</v>
      </c>
      <c r="G2348" s="7">
        <f t="shared" si="178"/>
        <v>7735.630131139681</v>
      </c>
      <c r="H2348" s="8">
        <f t="shared" si="179"/>
        <v>8288.1751405068026</v>
      </c>
      <c r="I2348" s="9">
        <f t="shared" si="180"/>
        <v>8840.7201498739214</v>
      </c>
    </row>
    <row r="2349" spans="1:9" ht="18" x14ac:dyDescent="0.4">
      <c r="A2349" s="43" t="s">
        <v>2135</v>
      </c>
      <c r="B2349" s="47" t="s">
        <v>5957</v>
      </c>
      <c r="C2349" s="29">
        <v>45737</v>
      </c>
      <c r="D2349" s="11">
        <v>4963.5735660000009</v>
      </c>
      <c r="E2349" s="27">
        <f t="shared" si="176"/>
        <v>5525.4500936712011</v>
      </c>
      <c r="F2349" s="6">
        <f t="shared" si="177"/>
        <v>7183.0851217725613</v>
      </c>
      <c r="G2349" s="7">
        <f t="shared" si="178"/>
        <v>7735.630131139681</v>
      </c>
      <c r="H2349" s="8">
        <f t="shared" si="179"/>
        <v>8288.1751405068026</v>
      </c>
      <c r="I2349" s="9">
        <f t="shared" si="180"/>
        <v>8840.7201498739214</v>
      </c>
    </row>
    <row r="2350" spans="1:9" x14ac:dyDescent="0.35">
      <c r="A2350" s="43" t="s">
        <v>4621</v>
      </c>
      <c r="B2350" s="47" t="s">
        <v>4623</v>
      </c>
      <c r="C2350" s="29">
        <v>45737</v>
      </c>
      <c r="D2350" s="11">
        <v>4963.5735660000009</v>
      </c>
      <c r="E2350" s="27">
        <f t="shared" si="176"/>
        <v>5525.4500936712011</v>
      </c>
      <c r="F2350" s="6">
        <f t="shared" si="177"/>
        <v>7183.0851217725613</v>
      </c>
      <c r="G2350" s="7">
        <f t="shared" si="178"/>
        <v>7735.630131139681</v>
      </c>
      <c r="H2350" s="8">
        <f t="shared" si="179"/>
        <v>8288.1751405068026</v>
      </c>
      <c r="I2350" s="9">
        <f t="shared" si="180"/>
        <v>8840.7201498739214</v>
      </c>
    </row>
    <row r="2351" spans="1:9" x14ac:dyDescent="0.35">
      <c r="A2351" s="43" t="s">
        <v>4622</v>
      </c>
      <c r="B2351" s="47" t="s">
        <v>4624</v>
      </c>
      <c r="C2351" s="29">
        <v>45737</v>
      </c>
      <c r="D2351" s="11">
        <v>4963.5735660000009</v>
      </c>
      <c r="E2351" s="27">
        <f t="shared" si="176"/>
        <v>5525.4500936712011</v>
      </c>
      <c r="F2351" s="6">
        <f t="shared" si="177"/>
        <v>7183.0851217725613</v>
      </c>
      <c r="G2351" s="7">
        <f t="shared" si="178"/>
        <v>7735.630131139681</v>
      </c>
      <c r="H2351" s="8">
        <f t="shared" si="179"/>
        <v>8288.1751405068026</v>
      </c>
      <c r="I2351" s="9">
        <f t="shared" si="180"/>
        <v>8840.7201498739214</v>
      </c>
    </row>
    <row r="2352" spans="1:9" ht="18" x14ac:dyDescent="0.4">
      <c r="A2352" s="45" t="s">
        <v>2136</v>
      </c>
      <c r="B2352" s="48" t="s">
        <v>1724</v>
      </c>
      <c r="C2352" s="29">
        <v>45737</v>
      </c>
      <c r="D2352" s="11">
        <v>4774.7716380000002</v>
      </c>
      <c r="E2352" s="27">
        <f t="shared" si="176"/>
        <v>5315.2757874216004</v>
      </c>
      <c r="F2352" s="6">
        <f t="shared" si="177"/>
        <v>6909.8585236480803</v>
      </c>
      <c r="G2352" s="7">
        <f t="shared" si="178"/>
        <v>7441.38610239024</v>
      </c>
      <c r="H2352" s="8">
        <f t="shared" si="179"/>
        <v>7972.9136811324006</v>
      </c>
      <c r="I2352" s="9">
        <f t="shared" si="180"/>
        <v>8504.4412598745603</v>
      </c>
    </row>
    <row r="2353" spans="1:9" ht="18" x14ac:dyDescent="0.4">
      <c r="A2353" s="45" t="s">
        <v>2137</v>
      </c>
      <c r="B2353" s="48" t="s">
        <v>2138</v>
      </c>
      <c r="C2353" s="29">
        <v>45737</v>
      </c>
      <c r="D2353" s="11">
        <v>4774.7716380000002</v>
      </c>
      <c r="E2353" s="27">
        <f t="shared" si="176"/>
        <v>5315.2757874216004</v>
      </c>
      <c r="F2353" s="6">
        <f t="shared" si="177"/>
        <v>6909.8585236480803</v>
      </c>
      <c r="G2353" s="7">
        <f t="shared" si="178"/>
        <v>7441.38610239024</v>
      </c>
      <c r="H2353" s="8">
        <f t="shared" si="179"/>
        <v>7972.9136811324006</v>
      </c>
      <c r="I2353" s="9">
        <f t="shared" si="180"/>
        <v>8504.4412598745603</v>
      </c>
    </row>
    <row r="2354" spans="1:9" ht="18" x14ac:dyDescent="0.4">
      <c r="A2354" s="45" t="s">
        <v>2139</v>
      </c>
      <c r="B2354" s="48" t="s">
        <v>1725</v>
      </c>
      <c r="C2354" s="29">
        <v>45737</v>
      </c>
      <c r="D2354" s="11">
        <v>4982.0169420000002</v>
      </c>
      <c r="E2354" s="27">
        <f t="shared" si="176"/>
        <v>5545.9812598344006</v>
      </c>
      <c r="F2354" s="6">
        <f t="shared" si="177"/>
        <v>7209.7756377847209</v>
      </c>
      <c r="G2354" s="7">
        <f t="shared" si="178"/>
        <v>7764.3737637681606</v>
      </c>
      <c r="H2354" s="8">
        <f t="shared" si="179"/>
        <v>8318.9718897516013</v>
      </c>
      <c r="I2354" s="9">
        <f t="shared" si="180"/>
        <v>8873.570015735042</v>
      </c>
    </row>
    <row r="2355" spans="1:9" ht="18" x14ac:dyDescent="0.4">
      <c r="A2355" s="45" t="s">
        <v>2140</v>
      </c>
      <c r="B2355" s="48" t="s">
        <v>1726</v>
      </c>
      <c r="C2355" s="29">
        <v>45737</v>
      </c>
      <c r="D2355" s="11">
        <v>4982.0169420000002</v>
      </c>
      <c r="E2355" s="27">
        <f t="shared" si="176"/>
        <v>5545.9812598344006</v>
      </c>
      <c r="F2355" s="6">
        <f t="shared" si="177"/>
        <v>7209.7756377847209</v>
      </c>
      <c r="G2355" s="7">
        <f t="shared" si="178"/>
        <v>7764.3737637681606</v>
      </c>
      <c r="H2355" s="8">
        <f t="shared" si="179"/>
        <v>8318.9718897516013</v>
      </c>
      <c r="I2355" s="9">
        <f t="shared" si="180"/>
        <v>8873.570015735042</v>
      </c>
    </row>
    <row r="2356" spans="1:9" ht="18" x14ac:dyDescent="0.4">
      <c r="A2356" s="45" t="s">
        <v>2141</v>
      </c>
      <c r="B2356" s="48" t="s">
        <v>1727</v>
      </c>
      <c r="C2356" s="29">
        <v>45737</v>
      </c>
      <c r="D2356" s="11">
        <v>5154.1955640000006</v>
      </c>
      <c r="E2356" s="27">
        <f t="shared" si="176"/>
        <v>5737.6505018448006</v>
      </c>
      <c r="F2356" s="6">
        <f t="shared" si="177"/>
        <v>7458.9456523982408</v>
      </c>
      <c r="G2356" s="7">
        <f t="shared" si="178"/>
        <v>8032.7107025827199</v>
      </c>
      <c r="H2356" s="8">
        <f t="shared" si="179"/>
        <v>8606.4757527672009</v>
      </c>
      <c r="I2356" s="9">
        <f t="shared" si="180"/>
        <v>9180.240802951681</v>
      </c>
    </row>
    <row r="2357" spans="1:9" ht="18" x14ac:dyDescent="0.4">
      <c r="A2357" s="45" t="s">
        <v>2142</v>
      </c>
      <c r="B2357" s="48" t="s">
        <v>1728</v>
      </c>
      <c r="C2357" s="29">
        <v>45737</v>
      </c>
      <c r="D2357" s="11">
        <v>5154.1955640000006</v>
      </c>
      <c r="E2357" s="27">
        <f t="shared" si="176"/>
        <v>5737.6505018448006</v>
      </c>
      <c r="F2357" s="6">
        <f t="shared" si="177"/>
        <v>7458.9456523982408</v>
      </c>
      <c r="G2357" s="7">
        <f t="shared" si="178"/>
        <v>8032.7107025827199</v>
      </c>
      <c r="H2357" s="8">
        <f t="shared" si="179"/>
        <v>8606.4757527672009</v>
      </c>
      <c r="I2357" s="9">
        <f t="shared" si="180"/>
        <v>9180.240802951681</v>
      </c>
    </row>
    <row r="2358" spans="1:9" ht="18" x14ac:dyDescent="0.4">
      <c r="A2358" s="45" t="s">
        <v>2143</v>
      </c>
      <c r="B2358" s="46" t="s">
        <v>2144</v>
      </c>
      <c r="C2358" s="29">
        <v>45737</v>
      </c>
      <c r="D2358" s="11">
        <v>4963.5735660000009</v>
      </c>
      <c r="E2358" s="27">
        <f t="shared" si="176"/>
        <v>5525.4500936712011</v>
      </c>
      <c r="F2358" s="6">
        <f t="shared" si="177"/>
        <v>7183.0851217725613</v>
      </c>
      <c r="G2358" s="7">
        <f t="shared" si="178"/>
        <v>7735.630131139681</v>
      </c>
      <c r="H2358" s="8">
        <f t="shared" si="179"/>
        <v>8288.1751405068026</v>
      </c>
      <c r="I2358" s="9">
        <f t="shared" si="180"/>
        <v>8840.7201498739214</v>
      </c>
    </row>
    <row r="2359" spans="1:9" ht="18" x14ac:dyDescent="0.4">
      <c r="A2359" s="45" t="s">
        <v>2145</v>
      </c>
      <c r="B2359" s="46" t="s">
        <v>2146</v>
      </c>
      <c r="C2359" s="29">
        <v>45737</v>
      </c>
      <c r="D2359" s="11">
        <v>4963.5735660000009</v>
      </c>
      <c r="E2359" s="27">
        <f t="shared" si="176"/>
        <v>5525.4500936712011</v>
      </c>
      <c r="F2359" s="6">
        <f t="shared" si="177"/>
        <v>7183.0851217725613</v>
      </c>
      <c r="G2359" s="7">
        <f t="shared" si="178"/>
        <v>7735.630131139681</v>
      </c>
      <c r="H2359" s="8">
        <f t="shared" si="179"/>
        <v>8288.1751405068026</v>
      </c>
      <c r="I2359" s="9">
        <f t="shared" si="180"/>
        <v>8840.7201498739214</v>
      </c>
    </row>
    <row r="2360" spans="1:9" ht="18" x14ac:dyDescent="0.4">
      <c r="A2360" s="43" t="s">
        <v>2147</v>
      </c>
      <c r="B2360" s="47" t="s">
        <v>5958</v>
      </c>
      <c r="C2360" s="29">
        <v>45737</v>
      </c>
      <c r="D2360" s="11">
        <v>5154.1955640000006</v>
      </c>
      <c r="E2360" s="27">
        <f t="shared" si="176"/>
        <v>5737.6505018448006</v>
      </c>
      <c r="F2360" s="6">
        <f t="shared" si="177"/>
        <v>7458.9456523982408</v>
      </c>
      <c r="G2360" s="7">
        <f t="shared" si="178"/>
        <v>8032.7107025827199</v>
      </c>
      <c r="H2360" s="8">
        <f t="shared" si="179"/>
        <v>8606.4757527672009</v>
      </c>
      <c r="I2360" s="9">
        <f t="shared" si="180"/>
        <v>9180.240802951681</v>
      </c>
    </row>
    <row r="2361" spans="1:9" ht="18" x14ac:dyDescent="0.4">
      <c r="A2361" s="43" t="s">
        <v>2148</v>
      </c>
      <c r="B2361" s="47" t="s">
        <v>5959</v>
      </c>
      <c r="C2361" s="29">
        <v>45737</v>
      </c>
      <c r="D2361" s="11">
        <v>5154.1955640000006</v>
      </c>
      <c r="E2361" s="27">
        <f t="shared" si="176"/>
        <v>5737.6505018448006</v>
      </c>
      <c r="F2361" s="6">
        <f t="shared" si="177"/>
        <v>7458.9456523982408</v>
      </c>
      <c r="G2361" s="7">
        <f t="shared" si="178"/>
        <v>8032.7107025827199</v>
      </c>
      <c r="H2361" s="8">
        <f t="shared" si="179"/>
        <v>8606.4757527672009</v>
      </c>
      <c r="I2361" s="9">
        <f t="shared" si="180"/>
        <v>9180.240802951681</v>
      </c>
    </row>
    <row r="2362" spans="1:9" x14ac:dyDescent="0.35">
      <c r="A2362" s="43" t="s">
        <v>4625</v>
      </c>
      <c r="B2362" s="47" t="s">
        <v>4627</v>
      </c>
      <c r="C2362" s="29">
        <v>45737</v>
      </c>
      <c r="D2362" s="11">
        <v>5154.1955640000006</v>
      </c>
      <c r="E2362" s="27">
        <f t="shared" si="176"/>
        <v>5737.6505018448006</v>
      </c>
      <c r="F2362" s="6">
        <f t="shared" si="177"/>
        <v>7458.9456523982408</v>
      </c>
      <c r="G2362" s="7">
        <f t="shared" si="178"/>
        <v>8032.7107025827199</v>
      </c>
      <c r="H2362" s="8">
        <f t="shared" si="179"/>
        <v>8606.4757527672009</v>
      </c>
      <c r="I2362" s="9">
        <f t="shared" si="180"/>
        <v>9180.240802951681</v>
      </c>
    </row>
    <row r="2363" spans="1:9" x14ac:dyDescent="0.35">
      <c r="A2363" s="43" t="s">
        <v>4626</v>
      </c>
      <c r="B2363" s="47" t="s">
        <v>4628</v>
      </c>
      <c r="C2363" s="29">
        <v>45737</v>
      </c>
      <c r="D2363" s="11">
        <v>5154.1955640000006</v>
      </c>
      <c r="E2363" s="27">
        <f t="shared" si="176"/>
        <v>5737.6505018448006</v>
      </c>
      <c r="F2363" s="6">
        <f t="shared" si="177"/>
        <v>7458.9456523982408</v>
      </c>
      <c r="G2363" s="7">
        <f t="shared" si="178"/>
        <v>8032.7107025827199</v>
      </c>
      <c r="H2363" s="8">
        <f t="shared" si="179"/>
        <v>8606.4757527672009</v>
      </c>
      <c r="I2363" s="9">
        <f t="shared" si="180"/>
        <v>9180.240802951681</v>
      </c>
    </row>
    <row r="2364" spans="1:9" x14ac:dyDescent="0.35">
      <c r="A2364" s="43" t="s">
        <v>3229</v>
      </c>
      <c r="B2364" s="47" t="s">
        <v>3314</v>
      </c>
      <c r="C2364" s="29">
        <v>45737</v>
      </c>
      <c r="D2364" s="11">
        <v>4963.5735660000009</v>
      </c>
      <c r="E2364" s="27">
        <f t="shared" si="176"/>
        <v>5525.4500936712011</v>
      </c>
      <c r="F2364" s="6">
        <f t="shared" si="177"/>
        <v>7183.0851217725613</v>
      </c>
      <c r="G2364" s="7">
        <f t="shared" si="178"/>
        <v>7735.630131139681</v>
      </c>
      <c r="H2364" s="8">
        <f t="shared" si="179"/>
        <v>8288.1751405068026</v>
      </c>
      <c r="I2364" s="9">
        <f t="shared" si="180"/>
        <v>8840.7201498739214</v>
      </c>
    </row>
    <row r="2365" spans="1:9" x14ac:dyDescent="0.35">
      <c r="A2365" s="43" t="s">
        <v>3230</v>
      </c>
      <c r="B2365" s="47" t="s">
        <v>3315</v>
      </c>
      <c r="C2365" s="29">
        <v>45737</v>
      </c>
      <c r="D2365" s="11">
        <v>4963.5735660000009</v>
      </c>
      <c r="E2365" s="27">
        <f t="shared" si="176"/>
        <v>5525.4500936712011</v>
      </c>
      <c r="F2365" s="6">
        <f t="shared" si="177"/>
        <v>7183.0851217725613</v>
      </c>
      <c r="G2365" s="7">
        <f t="shared" si="178"/>
        <v>7735.630131139681</v>
      </c>
      <c r="H2365" s="8">
        <f t="shared" si="179"/>
        <v>8288.1751405068026</v>
      </c>
      <c r="I2365" s="9">
        <f t="shared" si="180"/>
        <v>8840.7201498739214</v>
      </c>
    </row>
    <row r="2366" spans="1:9" x14ac:dyDescent="0.35">
      <c r="A2366" s="43" t="s">
        <v>3231</v>
      </c>
      <c r="B2366" s="47" t="s">
        <v>3298</v>
      </c>
      <c r="C2366" s="29">
        <v>45737</v>
      </c>
      <c r="D2366" s="11">
        <v>5946.654042000001</v>
      </c>
      <c r="E2366" s="27">
        <f t="shared" si="176"/>
        <v>6619.8152795544011</v>
      </c>
      <c r="F2366" s="6">
        <f t="shared" si="177"/>
        <v>8605.7598634207225</v>
      </c>
      <c r="G2366" s="7">
        <f t="shared" si="178"/>
        <v>9267.7413913761611</v>
      </c>
      <c r="H2366" s="8">
        <f t="shared" si="179"/>
        <v>9929.7229193316016</v>
      </c>
      <c r="I2366" s="9">
        <f t="shared" si="180"/>
        <v>10591.704447287042</v>
      </c>
    </row>
    <row r="2367" spans="1:9" x14ac:dyDescent="0.35">
      <c r="A2367" s="43" t="s">
        <v>3232</v>
      </c>
      <c r="B2367" s="47" t="s">
        <v>3298</v>
      </c>
      <c r="C2367" s="29">
        <v>45737</v>
      </c>
      <c r="D2367" s="11">
        <v>5946.654042000001</v>
      </c>
      <c r="E2367" s="27">
        <f t="shared" si="176"/>
        <v>6619.8152795544011</v>
      </c>
      <c r="F2367" s="6">
        <f t="shared" si="177"/>
        <v>8605.7598634207225</v>
      </c>
      <c r="G2367" s="7">
        <f t="shared" si="178"/>
        <v>9267.7413913761611</v>
      </c>
      <c r="H2367" s="8">
        <f t="shared" si="179"/>
        <v>9929.7229193316016</v>
      </c>
      <c r="I2367" s="9">
        <f t="shared" si="180"/>
        <v>10591.704447287042</v>
      </c>
    </row>
    <row r="2368" spans="1:9" x14ac:dyDescent="0.35">
      <c r="A2368" s="43" t="s">
        <v>4789</v>
      </c>
      <c r="B2368" s="47" t="s">
        <v>4790</v>
      </c>
      <c r="C2368" s="29">
        <v>45737</v>
      </c>
      <c r="D2368" s="11">
        <v>1436.4071410148945</v>
      </c>
      <c r="E2368" s="27">
        <f t="shared" si="176"/>
        <v>1599.0084293777807</v>
      </c>
      <c r="F2368" s="6">
        <f t="shared" si="177"/>
        <v>2078.710958191115</v>
      </c>
      <c r="G2368" s="7">
        <f t="shared" si="178"/>
        <v>2238.6118011288927</v>
      </c>
      <c r="H2368" s="8">
        <f t="shared" si="179"/>
        <v>2398.5126440666709</v>
      </c>
      <c r="I2368" s="9">
        <f t="shared" si="180"/>
        <v>2558.4134870044491</v>
      </c>
    </row>
    <row r="2369" spans="1:9" ht="15.75" customHeight="1" x14ac:dyDescent="0.4">
      <c r="A2369" s="28"/>
      <c r="B2369" s="34" t="s">
        <v>1891</v>
      </c>
      <c r="C2369" s="29"/>
      <c r="D2369" s="11">
        <v>0</v>
      </c>
      <c r="E2369" s="27">
        <f t="shared" si="176"/>
        <v>0</v>
      </c>
      <c r="F2369" s="6">
        <f t="shared" si="177"/>
        <v>0</v>
      </c>
      <c r="G2369" s="7">
        <f t="shared" si="178"/>
        <v>0</v>
      </c>
      <c r="H2369" s="8">
        <f t="shared" si="179"/>
        <v>0</v>
      </c>
      <c r="I2369" s="9">
        <f t="shared" si="180"/>
        <v>0</v>
      </c>
    </row>
    <row r="2370" spans="1:9" x14ac:dyDescent="0.35">
      <c r="A2370" s="35" t="s">
        <v>573</v>
      </c>
      <c r="B2370" s="28" t="s">
        <v>572</v>
      </c>
      <c r="C2370" s="29">
        <v>45737</v>
      </c>
      <c r="D2370" s="11">
        <v>6500</v>
      </c>
      <c r="E2370" s="27">
        <f t="shared" si="176"/>
        <v>7235.8</v>
      </c>
      <c r="F2370" s="6">
        <f t="shared" si="177"/>
        <v>9406.5400000000009</v>
      </c>
      <c r="G2370" s="7">
        <f t="shared" si="178"/>
        <v>10130.119999999999</v>
      </c>
      <c r="H2370" s="8">
        <f t="shared" si="179"/>
        <v>10853.7</v>
      </c>
      <c r="I2370" s="9">
        <f t="shared" si="180"/>
        <v>11577.28</v>
      </c>
    </row>
    <row r="2371" spans="1:9" x14ac:dyDescent="0.35">
      <c r="A2371" s="35" t="s">
        <v>574</v>
      </c>
      <c r="B2371" s="28" t="s">
        <v>1163</v>
      </c>
      <c r="C2371" s="29">
        <v>45737</v>
      </c>
      <c r="D2371" s="11">
        <v>16900</v>
      </c>
      <c r="E2371" s="27">
        <f t="shared" si="176"/>
        <v>18813.080000000002</v>
      </c>
      <c r="F2371" s="6">
        <f t="shared" si="177"/>
        <v>24457.004000000004</v>
      </c>
      <c r="G2371" s="7">
        <f t="shared" si="178"/>
        <v>26338.312000000002</v>
      </c>
      <c r="H2371" s="8">
        <f t="shared" si="179"/>
        <v>28219.620000000003</v>
      </c>
      <c r="I2371" s="9">
        <f t="shared" si="180"/>
        <v>30100.928000000004</v>
      </c>
    </row>
    <row r="2372" spans="1:9" x14ac:dyDescent="0.35">
      <c r="A2372" s="35" t="s">
        <v>1164</v>
      </c>
      <c r="B2372" s="28" t="s">
        <v>1167</v>
      </c>
      <c r="C2372" s="29">
        <v>45737</v>
      </c>
      <c r="D2372" s="11">
        <v>21632</v>
      </c>
      <c r="E2372" s="27">
        <f t="shared" si="176"/>
        <v>24080.742399999999</v>
      </c>
      <c r="F2372" s="6">
        <f t="shared" si="177"/>
        <v>31304.965120000001</v>
      </c>
      <c r="G2372" s="7">
        <f t="shared" si="178"/>
        <v>33713.039359999995</v>
      </c>
      <c r="H2372" s="8">
        <f t="shared" si="179"/>
        <v>36121.113599999997</v>
      </c>
      <c r="I2372" s="9">
        <f t="shared" si="180"/>
        <v>38529.187839999999</v>
      </c>
    </row>
    <row r="2373" spans="1:9" x14ac:dyDescent="0.35">
      <c r="A2373" s="24" t="s">
        <v>1165</v>
      </c>
      <c r="B2373" s="18" t="s">
        <v>1168</v>
      </c>
      <c r="C2373" s="20">
        <v>45511</v>
      </c>
      <c r="D2373" s="11">
        <v>1570.0500000000002</v>
      </c>
      <c r="E2373" s="27">
        <f t="shared" si="176"/>
        <v>1747.7796600000001</v>
      </c>
      <c r="F2373" s="6">
        <f t="shared" si="177"/>
        <v>2272.1135580000005</v>
      </c>
      <c r="G2373" s="7">
        <f t="shared" si="178"/>
        <v>2446.8915240000001</v>
      </c>
      <c r="H2373" s="8">
        <f t="shared" si="179"/>
        <v>2621.6694900000002</v>
      </c>
      <c r="I2373" s="9">
        <f t="shared" si="180"/>
        <v>2796.4474560000003</v>
      </c>
    </row>
    <row r="2374" spans="1:9" x14ac:dyDescent="0.35">
      <c r="A2374" s="24" t="s">
        <v>1166</v>
      </c>
      <c r="B2374" s="18" t="s">
        <v>1169</v>
      </c>
      <c r="C2374" s="20">
        <v>45511</v>
      </c>
      <c r="D2374" s="11">
        <v>3316.6</v>
      </c>
      <c r="E2374" s="27">
        <f t="shared" si="176"/>
        <v>3692.0391199999999</v>
      </c>
      <c r="F2374" s="6">
        <f t="shared" si="177"/>
        <v>4799.6508560000002</v>
      </c>
      <c r="G2374" s="7">
        <f t="shared" si="178"/>
        <v>5168.8547679999992</v>
      </c>
      <c r="H2374" s="8">
        <f t="shared" si="179"/>
        <v>5538.0586800000001</v>
      </c>
      <c r="I2374" s="9">
        <f t="shared" si="180"/>
        <v>5907.262592</v>
      </c>
    </row>
    <row r="2375" spans="1:9" ht="17.25" customHeight="1" x14ac:dyDescent="0.4">
      <c r="B2375" s="21" t="s">
        <v>3132</v>
      </c>
      <c r="D2375" s="11">
        <v>0</v>
      </c>
      <c r="E2375" s="27">
        <f t="shared" si="176"/>
        <v>0</v>
      </c>
      <c r="F2375" s="6">
        <f t="shared" si="177"/>
        <v>0</v>
      </c>
      <c r="G2375" s="7">
        <f t="shared" si="178"/>
        <v>0</v>
      </c>
      <c r="H2375" s="8">
        <f t="shared" si="179"/>
        <v>0</v>
      </c>
      <c r="I2375" s="9">
        <f t="shared" si="180"/>
        <v>0</v>
      </c>
    </row>
    <row r="2376" spans="1:9" x14ac:dyDescent="0.35">
      <c r="A2376" s="24" t="s">
        <v>1499</v>
      </c>
      <c r="B2376" s="18" t="s">
        <v>1501</v>
      </c>
      <c r="C2376" s="20">
        <v>45698</v>
      </c>
      <c r="D2376" s="11">
        <v>23091.582635916653</v>
      </c>
      <c r="E2376" s="27">
        <f t="shared" si="176"/>
        <v>25705.549790302419</v>
      </c>
      <c r="F2376" s="6">
        <f t="shared" si="177"/>
        <v>33417.214727393148</v>
      </c>
      <c r="G2376" s="7">
        <f t="shared" si="178"/>
        <v>35987.769706423387</v>
      </c>
      <c r="H2376" s="8">
        <f t="shared" si="179"/>
        <v>38558.324685453626</v>
      </c>
      <c r="I2376" s="9">
        <f t="shared" si="180"/>
        <v>41128.879664483873</v>
      </c>
    </row>
    <row r="2377" spans="1:9" x14ac:dyDescent="0.35">
      <c r="A2377" s="24" t="s">
        <v>1500</v>
      </c>
      <c r="B2377" s="18" t="s">
        <v>1502</v>
      </c>
      <c r="C2377" s="20">
        <v>45698</v>
      </c>
      <c r="D2377" s="11">
        <v>3351.6896315423328</v>
      </c>
      <c r="E2377" s="27">
        <f t="shared" si="176"/>
        <v>3731.1008978329251</v>
      </c>
      <c r="F2377" s="6">
        <f t="shared" si="177"/>
        <v>4850.4311671828027</v>
      </c>
      <c r="G2377" s="7">
        <f t="shared" si="178"/>
        <v>5223.5412569660948</v>
      </c>
      <c r="H2377" s="8">
        <f t="shared" si="179"/>
        <v>5596.6513467493878</v>
      </c>
      <c r="I2377" s="9">
        <f t="shared" si="180"/>
        <v>5969.7614365326808</v>
      </c>
    </row>
    <row r="2378" spans="1:9" x14ac:dyDescent="0.35">
      <c r="A2378" s="24" t="s">
        <v>3133</v>
      </c>
      <c r="B2378" s="18" t="s">
        <v>3134</v>
      </c>
      <c r="C2378" s="20">
        <v>45698</v>
      </c>
      <c r="D2378" s="11">
        <v>18054.75</v>
      </c>
      <c r="E2378" s="27">
        <f t="shared" si="176"/>
        <v>20098.547699999999</v>
      </c>
      <c r="F2378" s="6">
        <f t="shared" si="177"/>
        <v>26128.112010000001</v>
      </c>
      <c r="G2378" s="7">
        <f t="shared" si="178"/>
        <v>28137.966779999999</v>
      </c>
      <c r="H2378" s="8">
        <f t="shared" si="179"/>
        <v>30147.821550000001</v>
      </c>
      <c r="I2378" s="9">
        <f t="shared" si="180"/>
        <v>32157.676319999999</v>
      </c>
    </row>
    <row r="2379" spans="1:9" x14ac:dyDescent="0.35">
      <c r="A2379" s="24" t="s">
        <v>3135</v>
      </c>
      <c r="B2379" s="18" t="s">
        <v>3136</v>
      </c>
      <c r="C2379" s="20">
        <v>45698</v>
      </c>
      <c r="D2379" s="11">
        <v>779.46270500984497</v>
      </c>
      <c r="E2379" s="27">
        <f t="shared" si="176"/>
        <v>867.69788321695933</v>
      </c>
      <c r="F2379" s="6">
        <f t="shared" si="177"/>
        <v>1128.0072481820471</v>
      </c>
      <c r="G2379" s="7">
        <f t="shared" si="178"/>
        <v>1214.7770365037429</v>
      </c>
      <c r="H2379" s="8">
        <f t="shared" si="179"/>
        <v>1301.546824825439</v>
      </c>
      <c r="I2379" s="9">
        <f t="shared" si="180"/>
        <v>1388.3166131471351</v>
      </c>
    </row>
    <row r="2380" spans="1:9" ht="15.75" customHeight="1" x14ac:dyDescent="0.4">
      <c r="B2380" s="19" t="s">
        <v>1892</v>
      </c>
      <c r="D2380" s="11">
        <v>0</v>
      </c>
      <c r="E2380" s="27">
        <f t="shared" ref="E2380:E2443" si="181">D2380*1.21*0.92</f>
        <v>0</v>
      </c>
      <c r="F2380" s="6">
        <f t="shared" si="177"/>
        <v>0</v>
      </c>
      <c r="G2380" s="7">
        <f t="shared" si="178"/>
        <v>0</v>
      </c>
      <c r="H2380" s="8">
        <f t="shared" si="179"/>
        <v>0</v>
      </c>
      <c r="I2380" s="9">
        <f t="shared" si="180"/>
        <v>0</v>
      </c>
    </row>
    <row r="2381" spans="1:9" x14ac:dyDescent="0.35">
      <c r="A2381" s="18" t="s">
        <v>2504</v>
      </c>
      <c r="B2381" s="18" t="s">
        <v>1893</v>
      </c>
      <c r="C2381" s="20">
        <v>45531</v>
      </c>
      <c r="D2381" s="11">
        <v>4397.7</v>
      </c>
      <c r="E2381" s="27">
        <f t="shared" si="181"/>
        <v>4895.5196399999995</v>
      </c>
      <c r="F2381" s="6">
        <f t="shared" si="177"/>
        <v>6364.1755319999993</v>
      </c>
      <c r="G2381" s="7">
        <f t="shared" si="178"/>
        <v>6853.7274959999986</v>
      </c>
      <c r="H2381" s="8">
        <f t="shared" si="179"/>
        <v>7343.2794599999997</v>
      </c>
      <c r="I2381" s="9">
        <f t="shared" si="180"/>
        <v>7832.831424</v>
      </c>
    </row>
    <row r="2382" spans="1:9" x14ac:dyDescent="0.35">
      <c r="A2382" s="18" t="s">
        <v>2506</v>
      </c>
      <c r="B2382" s="18" t="s">
        <v>3222</v>
      </c>
      <c r="C2382" s="20">
        <v>45591</v>
      </c>
      <c r="D2382" s="11">
        <v>1180</v>
      </c>
      <c r="E2382" s="27">
        <f t="shared" si="181"/>
        <v>1313.576</v>
      </c>
      <c r="F2382" s="6">
        <f t="shared" si="177"/>
        <v>1707.6488000000002</v>
      </c>
      <c r="G2382" s="7">
        <f t="shared" si="178"/>
        <v>1839.0064</v>
      </c>
      <c r="H2382" s="8">
        <f t="shared" si="179"/>
        <v>1970.364</v>
      </c>
      <c r="I2382" s="9">
        <f t="shared" si="180"/>
        <v>2101.7216000000003</v>
      </c>
    </row>
    <row r="2383" spans="1:9" x14ac:dyDescent="0.35">
      <c r="A2383" s="18" t="s">
        <v>1772</v>
      </c>
      <c r="B2383" s="18" t="s">
        <v>3223</v>
      </c>
      <c r="C2383" s="20">
        <v>45591</v>
      </c>
      <c r="D2383" s="11">
        <v>1180</v>
      </c>
      <c r="E2383" s="27">
        <f t="shared" si="181"/>
        <v>1313.576</v>
      </c>
      <c r="F2383" s="6">
        <f t="shared" si="177"/>
        <v>1707.6488000000002</v>
      </c>
      <c r="G2383" s="7">
        <f t="shared" si="178"/>
        <v>1839.0064</v>
      </c>
      <c r="H2383" s="8">
        <f t="shared" si="179"/>
        <v>1970.364</v>
      </c>
      <c r="I2383" s="9">
        <f t="shared" si="180"/>
        <v>2101.7216000000003</v>
      </c>
    </row>
    <row r="2384" spans="1:9" x14ac:dyDescent="0.35">
      <c r="A2384" s="18" t="s">
        <v>1894</v>
      </c>
      <c r="B2384" s="18" t="s">
        <v>1896</v>
      </c>
      <c r="C2384" s="20">
        <v>45531</v>
      </c>
      <c r="D2384" s="11">
        <v>442.44954103028715</v>
      </c>
      <c r="E2384" s="27">
        <f t="shared" si="181"/>
        <v>492.53482907491559</v>
      </c>
      <c r="F2384" s="6">
        <f t="shared" ref="F2384:F2463" si="182">E2384*1.3</f>
        <v>640.29527779739033</v>
      </c>
      <c r="G2384" s="7">
        <f t="shared" ref="G2384:G2463" si="183">E2384*1.4</f>
        <v>689.54876070488183</v>
      </c>
      <c r="H2384" s="8">
        <f t="shared" ref="H2384:H2463" si="184">E2384*1.5</f>
        <v>738.80224361237333</v>
      </c>
      <c r="I2384" s="9">
        <f t="shared" ref="I2384:I2463" si="185">E2384*1.6</f>
        <v>788.05572651986495</v>
      </c>
    </row>
    <row r="2385" spans="1:9" x14ac:dyDescent="0.35">
      <c r="A2385" s="28" t="s">
        <v>1895</v>
      </c>
      <c r="B2385" s="28" t="s">
        <v>1897</v>
      </c>
      <c r="C2385" s="29">
        <v>45731</v>
      </c>
      <c r="D2385" s="11">
        <v>900</v>
      </c>
      <c r="E2385" s="27">
        <f t="shared" si="181"/>
        <v>1001.88</v>
      </c>
      <c r="F2385" s="6">
        <f t="shared" si="182"/>
        <v>1302.444</v>
      </c>
      <c r="G2385" s="7">
        <f t="shared" si="183"/>
        <v>1402.6319999999998</v>
      </c>
      <c r="H2385" s="8">
        <f t="shared" si="184"/>
        <v>1502.82</v>
      </c>
      <c r="I2385" s="9">
        <f t="shared" si="185"/>
        <v>1603.008</v>
      </c>
    </row>
    <row r="2386" spans="1:9" ht="18" customHeight="1" x14ac:dyDescent="0.4">
      <c r="B2386" s="19" t="s">
        <v>5458</v>
      </c>
      <c r="D2386" s="11">
        <v>0</v>
      </c>
      <c r="E2386" s="27">
        <f t="shared" si="181"/>
        <v>0</v>
      </c>
      <c r="F2386" s="6">
        <f t="shared" si="182"/>
        <v>0</v>
      </c>
      <c r="G2386" s="7">
        <f t="shared" si="183"/>
        <v>0</v>
      </c>
      <c r="H2386" s="8">
        <f t="shared" si="184"/>
        <v>0</v>
      </c>
      <c r="I2386" s="9">
        <f t="shared" si="185"/>
        <v>0</v>
      </c>
    </row>
    <row r="2387" spans="1:9" x14ac:dyDescent="0.35">
      <c r="A2387" s="18" t="s">
        <v>2505</v>
      </c>
      <c r="B2387" s="18" t="s">
        <v>6051</v>
      </c>
      <c r="C2387" s="20">
        <v>45642</v>
      </c>
      <c r="D2387" s="11">
        <v>8039.85</v>
      </c>
      <c r="E2387" s="27">
        <f t="shared" si="181"/>
        <v>8949.9610200000006</v>
      </c>
      <c r="F2387" s="6">
        <f t="shared" si="182"/>
        <v>11634.949326000002</v>
      </c>
      <c r="G2387" s="7">
        <f t="shared" si="183"/>
        <v>12529.945428000001</v>
      </c>
      <c r="H2387" s="8">
        <f t="shared" si="184"/>
        <v>13424.94153</v>
      </c>
      <c r="I2387" s="9">
        <f t="shared" si="185"/>
        <v>14319.937632000001</v>
      </c>
    </row>
    <row r="2388" spans="1:9" x14ac:dyDescent="0.35">
      <c r="A2388" s="18" t="s">
        <v>333</v>
      </c>
      <c r="B2388" s="18" t="s">
        <v>6050</v>
      </c>
      <c r="C2388" s="20">
        <v>45642</v>
      </c>
      <c r="D2388" s="11">
        <v>4668.3</v>
      </c>
      <c r="E2388" s="27">
        <f t="shared" si="181"/>
        <v>5196.7515600000006</v>
      </c>
      <c r="F2388" s="6">
        <f t="shared" si="182"/>
        <v>6755.7770280000013</v>
      </c>
      <c r="G2388" s="7">
        <f t="shared" si="183"/>
        <v>7275.4521840000007</v>
      </c>
      <c r="H2388" s="8">
        <f t="shared" si="184"/>
        <v>7795.1273400000009</v>
      </c>
      <c r="I2388" s="9">
        <f t="shared" si="185"/>
        <v>8314.8024960000021</v>
      </c>
    </row>
    <row r="2389" spans="1:9" x14ac:dyDescent="0.35">
      <c r="A2389" s="18" t="s">
        <v>334</v>
      </c>
      <c r="C2389" s="20">
        <v>45363</v>
      </c>
      <c r="D2389" s="11">
        <v>0</v>
      </c>
      <c r="E2389" s="27">
        <f t="shared" si="181"/>
        <v>0</v>
      </c>
      <c r="F2389" s="6">
        <f t="shared" si="182"/>
        <v>0</v>
      </c>
      <c r="G2389" s="7">
        <f t="shared" si="183"/>
        <v>0</v>
      </c>
      <c r="H2389" s="8">
        <f t="shared" si="184"/>
        <v>0</v>
      </c>
      <c r="I2389" s="9">
        <f t="shared" si="185"/>
        <v>0</v>
      </c>
    </row>
    <row r="2390" spans="1:9" ht="15.75" customHeight="1" x14ac:dyDescent="0.4">
      <c r="B2390" s="21" t="s">
        <v>1898</v>
      </c>
      <c r="D2390" s="11">
        <v>0</v>
      </c>
      <c r="E2390" s="27">
        <f t="shared" si="181"/>
        <v>0</v>
      </c>
      <c r="F2390" s="6">
        <f t="shared" si="182"/>
        <v>0</v>
      </c>
      <c r="G2390" s="7">
        <f t="shared" si="183"/>
        <v>0</v>
      </c>
      <c r="H2390" s="8">
        <f t="shared" si="184"/>
        <v>0</v>
      </c>
      <c r="I2390" s="9">
        <f t="shared" si="185"/>
        <v>0</v>
      </c>
    </row>
    <row r="2391" spans="1:9" x14ac:dyDescent="0.35">
      <c r="A2391" s="18" t="s">
        <v>2507</v>
      </c>
      <c r="B2391" s="18" t="s">
        <v>950</v>
      </c>
      <c r="C2391" s="20">
        <v>45642</v>
      </c>
      <c r="D2391" s="11">
        <v>956.40772642480817</v>
      </c>
      <c r="E2391" s="27">
        <f t="shared" si="181"/>
        <v>1064.6730810560964</v>
      </c>
      <c r="F2391" s="6">
        <f t="shared" si="182"/>
        <v>1384.0750053729255</v>
      </c>
      <c r="G2391" s="7">
        <f t="shared" si="183"/>
        <v>1490.5423134785349</v>
      </c>
      <c r="H2391" s="8">
        <f t="shared" si="184"/>
        <v>1597.0096215841445</v>
      </c>
      <c r="I2391" s="9">
        <f t="shared" si="185"/>
        <v>1703.4769296897543</v>
      </c>
    </row>
    <row r="2392" spans="1:9" x14ac:dyDescent="0.35">
      <c r="A2392" s="18" t="s">
        <v>2508</v>
      </c>
      <c r="B2392" s="18" t="s">
        <v>952</v>
      </c>
      <c r="C2392" s="20">
        <v>45642</v>
      </c>
      <c r="D2392" s="11">
        <v>863.4222849193344</v>
      </c>
      <c r="E2392" s="27">
        <f t="shared" si="181"/>
        <v>961.16168757220305</v>
      </c>
      <c r="F2392" s="6">
        <f t="shared" si="182"/>
        <v>1249.510193843864</v>
      </c>
      <c r="G2392" s="7">
        <f t="shared" si="183"/>
        <v>1345.6263626010841</v>
      </c>
      <c r="H2392" s="8">
        <f t="shared" si="184"/>
        <v>1441.7425313583046</v>
      </c>
      <c r="I2392" s="9">
        <f t="shared" si="185"/>
        <v>1537.8587001155249</v>
      </c>
    </row>
    <row r="2393" spans="1:9" x14ac:dyDescent="0.35">
      <c r="A2393" s="18" t="s">
        <v>2509</v>
      </c>
      <c r="B2393" s="18" t="s">
        <v>951</v>
      </c>
      <c r="C2393" s="20">
        <v>45642</v>
      </c>
      <c r="D2393" s="11">
        <v>863.4222849193344</v>
      </c>
      <c r="E2393" s="27">
        <f t="shared" si="181"/>
        <v>961.16168757220305</v>
      </c>
      <c r="F2393" s="6">
        <f t="shared" si="182"/>
        <v>1249.510193843864</v>
      </c>
      <c r="G2393" s="7">
        <f t="shared" si="183"/>
        <v>1345.6263626010841</v>
      </c>
      <c r="H2393" s="8">
        <f t="shared" si="184"/>
        <v>1441.7425313583046</v>
      </c>
      <c r="I2393" s="9">
        <f t="shared" si="185"/>
        <v>1537.8587001155249</v>
      </c>
    </row>
    <row r="2394" spans="1:9" x14ac:dyDescent="0.35">
      <c r="A2394" s="18" t="s">
        <v>2510</v>
      </c>
      <c r="B2394" s="18" t="s">
        <v>953</v>
      </c>
      <c r="C2394" s="20">
        <v>45642</v>
      </c>
      <c r="D2394" s="11">
        <v>863.4222849193344</v>
      </c>
      <c r="E2394" s="27">
        <f t="shared" si="181"/>
        <v>961.16168757220305</v>
      </c>
      <c r="F2394" s="6">
        <f t="shared" si="182"/>
        <v>1249.510193843864</v>
      </c>
      <c r="G2394" s="7">
        <f t="shared" si="183"/>
        <v>1345.6263626010841</v>
      </c>
      <c r="H2394" s="8">
        <f t="shared" si="184"/>
        <v>1441.7425313583046</v>
      </c>
      <c r="I2394" s="9">
        <f t="shared" si="185"/>
        <v>1537.8587001155249</v>
      </c>
    </row>
    <row r="2395" spans="1:9" x14ac:dyDescent="0.35">
      <c r="A2395" s="18" t="s">
        <v>1775</v>
      </c>
      <c r="B2395" s="18" t="s">
        <v>1776</v>
      </c>
      <c r="C2395" s="20">
        <v>45642</v>
      </c>
      <c r="D2395" s="11">
        <v>863.4222849193344</v>
      </c>
      <c r="E2395" s="27">
        <f t="shared" si="181"/>
        <v>961.16168757220305</v>
      </c>
      <c r="F2395" s="6">
        <f t="shared" si="182"/>
        <v>1249.510193843864</v>
      </c>
      <c r="G2395" s="7">
        <f t="shared" si="183"/>
        <v>1345.6263626010841</v>
      </c>
      <c r="H2395" s="8">
        <f t="shared" si="184"/>
        <v>1441.7425313583046</v>
      </c>
      <c r="I2395" s="9">
        <f t="shared" si="185"/>
        <v>1537.8587001155249</v>
      </c>
    </row>
    <row r="2396" spans="1:9" x14ac:dyDescent="0.35">
      <c r="A2396" s="18" t="s">
        <v>2511</v>
      </c>
      <c r="B2396" s="18" t="s">
        <v>954</v>
      </c>
      <c r="C2396" s="20">
        <v>45642</v>
      </c>
      <c r="D2396" s="11">
        <v>863.4222849193344</v>
      </c>
      <c r="E2396" s="27">
        <f t="shared" si="181"/>
        <v>961.16168757220305</v>
      </c>
      <c r="F2396" s="6">
        <f t="shared" si="182"/>
        <v>1249.510193843864</v>
      </c>
      <c r="G2396" s="7">
        <f t="shared" si="183"/>
        <v>1345.6263626010841</v>
      </c>
      <c r="H2396" s="8">
        <f t="shared" si="184"/>
        <v>1441.7425313583046</v>
      </c>
      <c r="I2396" s="9">
        <f t="shared" si="185"/>
        <v>1537.8587001155249</v>
      </c>
    </row>
    <row r="2397" spans="1:9" x14ac:dyDescent="0.35">
      <c r="A2397" s="18" t="s">
        <v>2512</v>
      </c>
      <c r="B2397" s="18" t="s">
        <v>2423</v>
      </c>
      <c r="C2397" s="20">
        <v>45642</v>
      </c>
      <c r="D2397" s="11">
        <v>863.4222849193344</v>
      </c>
      <c r="E2397" s="27">
        <f t="shared" si="181"/>
        <v>961.16168757220305</v>
      </c>
      <c r="F2397" s="6">
        <f t="shared" si="182"/>
        <v>1249.510193843864</v>
      </c>
      <c r="G2397" s="7">
        <f t="shared" si="183"/>
        <v>1345.6263626010841</v>
      </c>
      <c r="H2397" s="8">
        <f t="shared" si="184"/>
        <v>1441.7425313583046</v>
      </c>
      <c r="I2397" s="9">
        <f t="shared" si="185"/>
        <v>1537.8587001155249</v>
      </c>
    </row>
    <row r="2398" spans="1:9" x14ac:dyDescent="0.35">
      <c r="A2398" s="18" t="s">
        <v>2513</v>
      </c>
      <c r="B2398" s="18" t="s">
        <v>2424</v>
      </c>
      <c r="C2398" s="20">
        <v>45642</v>
      </c>
      <c r="D2398" s="11">
        <v>1036.106741903202</v>
      </c>
      <c r="E2398" s="27">
        <f t="shared" si="181"/>
        <v>1153.3940250866444</v>
      </c>
      <c r="F2398" s="6">
        <f t="shared" si="182"/>
        <v>1499.4122326126378</v>
      </c>
      <c r="G2398" s="7">
        <f t="shared" si="183"/>
        <v>1614.7516351213021</v>
      </c>
      <c r="H2398" s="8">
        <f t="shared" si="184"/>
        <v>1730.0910376299666</v>
      </c>
      <c r="I2398" s="9">
        <f t="shared" si="185"/>
        <v>1845.4304401386312</v>
      </c>
    </row>
    <row r="2399" spans="1:9" x14ac:dyDescent="0.35">
      <c r="A2399" s="18" t="s">
        <v>2514</v>
      </c>
      <c r="B2399" s="18" t="s">
        <v>2425</v>
      </c>
      <c r="C2399" s="20">
        <v>45642</v>
      </c>
      <c r="D2399" s="11">
        <v>1036.106741903202</v>
      </c>
      <c r="E2399" s="27">
        <f t="shared" si="181"/>
        <v>1153.3940250866444</v>
      </c>
      <c r="F2399" s="6">
        <f t="shared" si="182"/>
        <v>1499.4122326126378</v>
      </c>
      <c r="G2399" s="7">
        <f t="shared" si="183"/>
        <v>1614.7516351213021</v>
      </c>
      <c r="H2399" s="8">
        <f t="shared" si="184"/>
        <v>1730.0910376299666</v>
      </c>
      <c r="I2399" s="9">
        <f t="shared" si="185"/>
        <v>1845.4304401386312</v>
      </c>
    </row>
    <row r="2400" spans="1:9" x14ac:dyDescent="0.35">
      <c r="A2400" s="18" t="s">
        <v>1773</v>
      </c>
      <c r="B2400" s="18" t="s">
        <v>378</v>
      </c>
      <c r="C2400" s="20">
        <v>45642</v>
      </c>
      <c r="D2400" s="11">
        <v>863.4222849193344</v>
      </c>
      <c r="E2400" s="27">
        <f t="shared" si="181"/>
        <v>961.16168757220305</v>
      </c>
      <c r="F2400" s="6">
        <f t="shared" si="182"/>
        <v>1249.510193843864</v>
      </c>
      <c r="G2400" s="7">
        <f t="shared" si="183"/>
        <v>1345.6263626010841</v>
      </c>
      <c r="H2400" s="8">
        <f t="shared" si="184"/>
        <v>1441.7425313583046</v>
      </c>
      <c r="I2400" s="9">
        <f t="shared" si="185"/>
        <v>1537.8587001155249</v>
      </c>
    </row>
    <row r="2401" spans="1:9" x14ac:dyDescent="0.35">
      <c r="A2401" s="18" t="s">
        <v>1774</v>
      </c>
      <c r="B2401" s="18" t="s">
        <v>379</v>
      </c>
      <c r="C2401" s="20">
        <v>45642</v>
      </c>
      <c r="D2401" s="11">
        <v>863.4222849193344</v>
      </c>
      <c r="E2401" s="27">
        <f t="shared" si="181"/>
        <v>961.16168757220305</v>
      </c>
      <c r="F2401" s="6">
        <f t="shared" si="182"/>
        <v>1249.510193843864</v>
      </c>
      <c r="G2401" s="7">
        <f t="shared" si="183"/>
        <v>1345.6263626010841</v>
      </c>
      <c r="H2401" s="8">
        <f t="shared" si="184"/>
        <v>1441.7425313583046</v>
      </c>
      <c r="I2401" s="9">
        <f t="shared" si="185"/>
        <v>1537.8587001155249</v>
      </c>
    </row>
    <row r="2402" spans="1:9" x14ac:dyDescent="0.35">
      <c r="A2402" s="18" t="s">
        <v>4767</v>
      </c>
      <c r="B2402" s="18" t="s">
        <v>4768</v>
      </c>
      <c r="C2402" s="20">
        <v>45642</v>
      </c>
      <c r="D2402" s="11">
        <v>863.43872586887926</v>
      </c>
      <c r="E2402" s="27">
        <f t="shared" si="181"/>
        <v>961.17998963723642</v>
      </c>
      <c r="F2402" s="6">
        <f t="shared" si="182"/>
        <v>1249.5339865284075</v>
      </c>
      <c r="G2402" s="7">
        <f t="shared" si="183"/>
        <v>1345.651985492131</v>
      </c>
      <c r="H2402" s="8">
        <f t="shared" si="184"/>
        <v>1441.7699844558547</v>
      </c>
      <c r="I2402" s="9">
        <f t="shared" si="185"/>
        <v>1537.8879834195784</v>
      </c>
    </row>
    <row r="2403" spans="1:9" ht="18" x14ac:dyDescent="0.4">
      <c r="B2403" s="19" t="s">
        <v>6524</v>
      </c>
      <c r="D2403" s="11">
        <v>0</v>
      </c>
      <c r="E2403" s="27">
        <f t="shared" si="181"/>
        <v>0</v>
      </c>
      <c r="F2403" s="6">
        <f t="shared" si="182"/>
        <v>0</v>
      </c>
      <c r="G2403" s="7">
        <f t="shared" si="183"/>
        <v>0</v>
      </c>
      <c r="H2403" s="8">
        <f t="shared" si="184"/>
        <v>0</v>
      </c>
      <c r="I2403" s="9">
        <f t="shared" si="185"/>
        <v>0</v>
      </c>
    </row>
    <row r="2404" spans="1:9" x14ac:dyDescent="0.35">
      <c r="A2404" s="18" t="s">
        <v>6510</v>
      </c>
      <c r="B2404" s="18" t="s">
        <v>6525</v>
      </c>
      <c r="C2404" s="20">
        <v>45560</v>
      </c>
      <c r="D2404" s="11">
        <v>13855.088000000002</v>
      </c>
      <c r="E2404" s="27">
        <f t="shared" si="181"/>
        <v>15423.483961600003</v>
      </c>
      <c r="F2404" s="6">
        <f t="shared" si="182"/>
        <v>20050.529150080005</v>
      </c>
      <c r="G2404" s="7">
        <f t="shared" si="183"/>
        <v>21592.877546240001</v>
      </c>
      <c r="H2404" s="8">
        <f t="shared" si="184"/>
        <v>23135.225942400004</v>
      </c>
      <c r="I2404" s="9">
        <f t="shared" si="185"/>
        <v>24677.574338560007</v>
      </c>
    </row>
    <row r="2405" spans="1:9" x14ac:dyDescent="0.35">
      <c r="A2405" s="18" t="s">
        <v>6511</v>
      </c>
      <c r="B2405" s="18" t="s">
        <v>6526</v>
      </c>
      <c r="C2405" s="20">
        <v>45560</v>
      </c>
      <c r="D2405" s="11">
        <v>15229.24</v>
      </c>
      <c r="E2405" s="27">
        <f t="shared" si="181"/>
        <v>16953.189967999999</v>
      </c>
      <c r="F2405" s="6">
        <f t="shared" si="182"/>
        <v>22039.146958400001</v>
      </c>
      <c r="G2405" s="7">
        <f t="shared" si="183"/>
        <v>23734.465955199998</v>
      </c>
      <c r="H2405" s="8">
        <f t="shared" si="184"/>
        <v>25429.784951999998</v>
      </c>
      <c r="I2405" s="9">
        <f t="shared" si="185"/>
        <v>27125.103948799999</v>
      </c>
    </row>
    <row r="2406" spans="1:9" x14ac:dyDescent="0.35">
      <c r="A2406" s="18" t="s">
        <v>6512</v>
      </c>
      <c r="B2406" s="18" t="s">
        <v>6527</v>
      </c>
      <c r="C2406" s="20">
        <v>45560</v>
      </c>
      <c r="D2406" s="11">
        <v>5076.76</v>
      </c>
      <c r="E2406" s="27">
        <f t="shared" si="181"/>
        <v>5651.4492320000008</v>
      </c>
      <c r="F2406" s="6">
        <f t="shared" si="182"/>
        <v>7346.8840016000013</v>
      </c>
      <c r="G2406" s="7">
        <f t="shared" si="183"/>
        <v>7912.0289248000008</v>
      </c>
      <c r="H2406" s="8">
        <f t="shared" si="184"/>
        <v>8477.1738480000022</v>
      </c>
      <c r="I2406" s="9">
        <f t="shared" si="185"/>
        <v>9042.3187712000017</v>
      </c>
    </row>
    <row r="2407" spans="1:9" x14ac:dyDescent="0.35">
      <c r="A2407" s="18" t="s">
        <v>6513</v>
      </c>
      <c r="B2407" s="18" t="s">
        <v>6528</v>
      </c>
      <c r="C2407" s="20">
        <v>45560</v>
      </c>
      <c r="D2407" s="11">
        <v>4372.5240000000003</v>
      </c>
      <c r="E2407" s="27">
        <f t="shared" si="181"/>
        <v>4867.4937167999997</v>
      </c>
      <c r="F2407" s="6">
        <f t="shared" si="182"/>
        <v>6327.7418318399996</v>
      </c>
      <c r="G2407" s="7">
        <f t="shared" si="183"/>
        <v>6814.4912035199995</v>
      </c>
      <c r="H2407" s="8">
        <f t="shared" si="184"/>
        <v>7301.2405751999995</v>
      </c>
      <c r="I2407" s="9">
        <f t="shared" si="185"/>
        <v>7787.9899468799995</v>
      </c>
    </row>
    <row r="2408" spans="1:9" x14ac:dyDescent="0.35">
      <c r="A2408" s="18" t="s">
        <v>6514</v>
      </c>
      <c r="B2408" s="18" t="s">
        <v>6529</v>
      </c>
      <c r="C2408" s="20">
        <v>45560</v>
      </c>
      <c r="D2408" s="11">
        <v>1499.992</v>
      </c>
      <c r="E2408" s="27">
        <f t="shared" si="181"/>
        <v>1669.7910944</v>
      </c>
      <c r="F2408" s="6">
        <f t="shared" si="182"/>
        <v>2170.7284227200003</v>
      </c>
      <c r="G2408" s="7">
        <f t="shared" si="183"/>
        <v>2337.70753216</v>
      </c>
      <c r="H2408" s="8">
        <f t="shared" si="184"/>
        <v>2504.6866416000003</v>
      </c>
      <c r="I2408" s="9">
        <f t="shared" si="185"/>
        <v>2671.66575104</v>
      </c>
    </row>
    <row r="2409" spans="1:9" x14ac:dyDescent="0.35">
      <c r="A2409" s="18" t="s">
        <v>6515</v>
      </c>
      <c r="B2409" s="18" t="s">
        <v>6530</v>
      </c>
      <c r="C2409" s="20">
        <v>45560</v>
      </c>
      <c r="D2409" s="11">
        <v>4602.8320000000003</v>
      </c>
      <c r="E2409" s="27">
        <f t="shared" si="181"/>
        <v>5123.8725824000003</v>
      </c>
      <c r="F2409" s="6">
        <f t="shared" si="182"/>
        <v>6661.034357120001</v>
      </c>
      <c r="G2409" s="7">
        <f t="shared" si="183"/>
        <v>7173.42161536</v>
      </c>
      <c r="H2409" s="8">
        <f t="shared" si="184"/>
        <v>7685.8088736000009</v>
      </c>
      <c r="I2409" s="9">
        <f t="shared" si="185"/>
        <v>8198.1961318400008</v>
      </c>
    </row>
    <row r="2410" spans="1:9" x14ac:dyDescent="0.35">
      <c r="A2410" s="18" t="s">
        <v>6516</v>
      </c>
      <c r="B2410" s="18" t="s">
        <v>6531</v>
      </c>
      <c r="C2410" s="20">
        <v>45560</v>
      </c>
      <c r="D2410" s="11">
        <v>1387.152</v>
      </c>
      <c r="E2410" s="27">
        <f t="shared" si="181"/>
        <v>1544.1776064000001</v>
      </c>
      <c r="F2410" s="6">
        <f t="shared" si="182"/>
        <v>2007.4308883200001</v>
      </c>
      <c r="G2410" s="7">
        <f t="shared" si="183"/>
        <v>2161.84864896</v>
      </c>
      <c r="H2410" s="8">
        <f t="shared" si="184"/>
        <v>2316.2664095999999</v>
      </c>
      <c r="I2410" s="9">
        <f t="shared" si="185"/>
        <v>2470.6841702400002</v>
      </c>
    </row>
    <row r="2411" spans="1:9" x14ac:dyDescent="0.35">
      <c r="A2411" s="18" t="s">
        <v>6517</v>
      </c>
      <c r="B2411" s="18" t="s">
        <v>6532</v>
      </c>
      <c r="C2411" s="20">
        <v>45560</v>
      </c>
      <c r="D2411" s="11">
        <v>4277.5200000000004</v>
      </c>
      <c r="E2411" s="27">
        <f t="shared" si="181"/>
        <v>4761.7352640000008</v>
      </c>
      <c r="F2411" s="6">
        <f t="shared" si="182"/>
        <v>6190.2558432000014</v>
      </c>
      <c r="G2411" s="7">
        <f t="shared" si="183"/>
        <v>6666.4293696000004</v>
      </c>
      <c r="H2411" s="8">
        <f t="shared" si="184"/>
        <v>7142.6028960000012</v>
      </c>
      <c r="I2411" s="9">
        <f t="shared" si="185"/>
        <v>7618.776422400002</v>
      </c>
    </row>
    <row r="2412" spans="1:9" x14ac:dyDescent="0.35">
      <c r="A2412" s="18" t="s">
        <v>6518</v>
      </c>
      <c r="B2412" s="18" t="s">
        <v>6533</v>
      </c>
      <c r="C2412" s="20">
        <v>45560</v>
      </c>
      <c r="D2412" s="11">
        <v>4010.6560000000004</v>
      </c>
      <c r="E2412" s="27">
        <f t="shared" si="181"/>
        <v>4464.6622592000003</v>
      </c>
      <c r="F2412" s="6">
        <f t="shared" si="182"/>
        <v>5804.0609369600006</v>
      </c>
      <c r="G2412" s="7">
        <f t="shared" si="183"/>
        <v>6250.5271628800001</v>
      </c>
      <c r="H2412" s="8">
        <f t="shared" si="184"/>
        <v>6696.9933888000005</v>
      </c>
      <c r="I2412" s="9">
        <f t="shared" si="185"/>
        <v>7143.4596147200009</v>
      </c>
    </row>
    <row r="2413" spans="1:9" x14ac:dyDescent="0.35">
      <c r="A2413" s="18" t="s">
        <v>6519</v>
      </c>
      <c r="B2413" s="18" t="s">
        <v>6534</v>
      </c>
      <c r="C2413" s="20">
        <v>45560</v>
      </c>
      <c r="D2413" s="11">
        <v>1064.96</v>
      </c>
      <c r="E2413" s="27">
        <f t="shared" si="181"/>
        <v>1185.5134720000001</v>
      </c>
      <c r="F2413" s="6">
        <f t="shared" si="182"/>
        <v>1541.1675136000001</v>
      </c>
      <c r="G2413" s="7">
        <f t="shared" si="183"/>
        <v>1659.7188608000001</v>
      </c>
      <c r="H2413" s="8">
        <f t="shared" si="184"/>
        <v>1778.2702080000001</v>
      </c>
      <c r="I2413" s="9">
        <f t="shared" si="185"/>
        <v>1896.8215552000001</v>
      </c>
    </row>
    <row r="2414" spans="1:9" x14ac:dyDescent="0.35">
      <c r="A2414" s="18" t="s">
        <v>6520</v>
      </c>
      <c r="B2414" s="18" t="s">
        <v>6535</v>
      </c>
      <c r="C2414" s="20">
        <v>45560</v>
      </c>
      <c r="D2414" s="11">
        <v>1064.96</v>
      </c>
      <c r="E2414" s="27">
        <f t="shared" si="181"/>
        <v>1185.5134720000001</v>
      </c>
      <c r="F2414" s="6">
        <f t="shared" si="182"/>
        <v>1541.1675136000001</v>
      </c>
      <c r="G2414" s="7">
        <f t="shared" si="183"/>
        <v>1659.7188608000001</v>
      </c>
      <c r="H2414" s="8">
        <f t="shared" si="184"/>
        <v>1778.2702080000001</v>
      </c>
      <c r="I2414" s="9">
        <f t="shared" si="185"/>
        <v>1896.8215552000001</v>
      </c>
    </row>
    <row r="2415" spans="1:9" x14ac:dyDescent="0.35">
      <c r="A2415" s="18" t="s">
        <v>6521</v>
      </c>
      <c r="B2415" s="18" t="s">
        <v>6536</v>
      </c>
      <c r="C2415" s="20">
        <v>45560</v>
      </c>
      <c r="D2415" s="11">
        <v>1064.96</v>
      </c>
      <c r="E2415" s="27">
        <f t="shared" si="181"/>
        <v>1185.5134720000001</v>
      </c>
      <c r="F2415" s="6">
        <f t="shared" si="182"/>
        <v>1541.1675136000001</v>
      </c>
      <c r="G2415" s="7">
        <f t="shared" si="183"/>
        <v>1659.7188608000001</v>
      </c>
      <c r="H2415" s="8">
        <f t="shared" si="184"/>
        <v>1778.2702080000001</v>
      </c>
      <c r="I2415" s="9">
        <f t="shared" si="185"/>
        <v>1896.8215552000001</v>
      </c>
    </row>
    <row r="2416" spans="1:9" x14ac:dyDescent="0.35">
      <c r="A2416" s="18" t="s">
        <v>6522</v>
      </c>
      <c r="B2416" s="18" t="s">
        <v>6537</v>
      </c>
      <c r="C2416" s="20">
        <v>45560</v>
      </c>
      <c r="D2416" s="11">
        <v>1064.96</v>
      </c>
      <c r="E2416" s="27">
        <f t="shared" si="181"/>
        <v>1185.5134720000001</v>
      </c>
      <c r="F2416" s="6">
        <f t="shared" si="182"/>
        <v>1541.1675136000001</v>
      </c>
      <c r="G2416" s="7">
        <f t="shared" si="183"/>
        <v>1659.7188608000001</v>
      </c>
      <c r="H2416" s="8">
        <f t="shared" si="184"/>
        <v>1778.2702080000001</v>
      </c>
      <c r="I2416" s="9">
        <f t="shared" si="185"/>
        <v>1896.8215552000001</v>
      </c>
    </row>
    <row r="2417" spans="1:9" x14ac:dyDescent="0.35">
      <c r="A2417" s="18" t="s">
        <v>6523</v>
      </c>
      <c r="B2417" s="18" t="s">
        <v>6538</v>
      </c>
      <c r="C2417" s="20">
        <v>45560</v>
      </c>
      <c r="D2417" s="11">
        <v>1298.232</v>
      </c>
      <c r="E2417" s="27">
        <f t="shared" si="181"/>
        <v>1445.1918624</v>
      </c>
      <c r="F2417" s="6">
        <f t="shared" si="182"/>
        <v>1878.7494211200001</v>
      </c>
      <c r="G2417" s="7">
        <f t="shared" si="183"/>
        <v>2023.2686073599998</v>
      </c>
      <c r="H2417" s="8">
        <f t="shared" si="184"/>
        <v>2167.7877936</v>
      </c>
      <c r="I2417" s="9">
        <f t="shared" si="185"/>
        <v>2312.3069798400002</v>
      </c>
    </row>
    <row r="2418" spans="1:9" ht="15.75" customHeight="1" x14ac:dyDescent="0.4">
      <c r="B2418" s="19" t="s">
        <v>1899</v>
      </c>
      <c r="D2418" s="11">
        <v>0</v>
      </c>
      <c r="E2418" s="27">
        <f t="shared" si="181"/>
        <v>0</v>
      </c>
      <c r="F2418" s="6">
        <f t="shared" si="182"/>
        <v>0</v>
      </c>
      <c r="G2418" s="7">
        <f t="shared" si="183"/>
        <v>0</v>
      </c>
      <c r="H2418" s="8">
        <f t="shared" si="184"/>
        <v>0</v>
      </c>
      <c r="I2418" s="9">
        <f t="shared" si="185"/>
        <v>0</v>
      </c>
    </row>
    <row r="2419" spans="1:9" x14ac:dyDescent="0.35">
      <c r="A2419" s="18" t="s">
        <v>2515</v>
      </c>
      <c r="B2419" s="18" t="s">
        <v>2426</v>
      </c>
      <c r="C2419" s="20">
        <v>45544</v>
      </c>
      <c r="D2419" s="11">
        <v>6337.9800000000005</v>
      </c>
      <c r="E2419" s="27">
        <f t="shared" si="181"/>
        <v>7055.4393360000013</v>
      </c>
      <c r="F2419" s="6">
        <f t="shared" si="182"/>
        <v>9172.0711368000011</v>
      </c>
      <c r="G2419" s="7">
        <f t="shared" si="183"/>
        <v>9877.6150704000011</v>
      </c>
      <c r="H2419" s="8">
        <f t="shared" si="184"/>
        <v>10583.159004000001</v>
      </c>
      <c r="I2419" s="9">
        <f t="shared" si="185"/>
        <v>11288.702937600003</v>
      </c>
    </row>
    <row r="2420" spans="1:9" x14ac:dyDescent="0.35">
      <c r="A2420" s="18" t="s">
        <v>2516</v>
      </c>
      <c r="B2420" s="18" t="s">
        <v>2427</v>
      </c>
      <c r="C2420" s="20">
        <v>45544</v>
      </c>
      <c r="D2420" s="11">
        <v>11581.515000000003</v>
      </c>
      <c r="E2420" s="27">
        <f t="shared" si="181"/>
        <v>12892.542498000004</v>
      </c>
      <c r="F2420" s="6">
        <f t="shared" si="182"/>
        <v>16760.305247400007</v>
      </c>
      <c r="G2420" s="7">
        <f t="shared" si="183"/>
        <v>18049.559497200004</v>
      </c>
      <c r="H2420" s="8">
        <f t="shared" si="184"/>
        <v>19338.813747000007</v>
      </c>
      <c r="I2420" s="9">
        <f t="shared" si="185"/>
        <v>20628.067996800008</v>
      </c>
    </row>
    <row r="2421" spans="1:9" x14ac:dyDescent="0.35">
      <c r="A2421" s="18" t="s">
        <v>2517</v>
      </c>
      <c r="B2421" s="18" t="s">
        <v>2428</v>
      </c>
      <c r="C2421" s="20">
        <v>45544</v>
      </c>
      <c r="D2421" s="11">
        <v>10189.823549898299</v>
      </c>
      <c r="E2421" s="27">
        <f t="shared" si="181"/>
        <v>11343.311575746788</v>
      </c>
      <c r="F2421" s="6">
        <f t="shared" si="182"/>
        <v>14746.305048470824</v>
      </c>
      <c r="G2421" s="7">
        <f t="shared" si="183"/>
        <v>15880.636206045501</v>
      </c>
      <c r="H2421" s="8">
        <f t="shared" si="184"/>
        <v>17014.967363620181</v>
      </c>
      <c r="I2421" s="9">
        <f t="shared" si="185"/>
        <v>18149.298521194862</v>
      </c>
    </row>
    <row r="2422" spans="1:9" x14ac:dyDescent="0.35">
      <c r="A2422" s="18" t="s">
        <v>2518</v>
      </c>
      <c r="B2422" s="18" t="s">
        <v>2429</v>
      </c>
      <c r="C2422" s="20">
        <v>45544</v>
      </c>
      <c r="D2422" s="11">
        <v>0</v>
      </c>
      <c r="E2422" s="27">
        <f t="shared" si="181"/>
        <v>0</v>
      </c>
      <c r="F2422" s="6">
        <f t="shared" si="182"/>
        <v>0</v>
      </c>
      <c r="G2422" s="7">
        <f t="shared" si="183"/>
        <v>0</v>
      </c>
      <c r="H2422" s="8">
        <f t="shared" si="184"/>
        <v>0</v>
      </c>
      <c r="I2422" s="9">
        <f t="shared" si="185"/>
        <v>0</v>
      </c>
    </row>
    <row r="2423" spans="1:9" ht="15.75" customHeight="1" x14ac:dyDescent="0.4">
      <c r="B2423" s="19" t="s">
        <v>1900</v>
      </c>
      <c r="D2423" s="11">
        <v>0</v>
      </c>
      <c r="E2423" s="27">
        <f t="shared" si="181"/>
        <v>0</v>
      </c>
      <c r="F2423" s="6">
        <f t="shared" si="182"/>
        <v>0</v>
      </c>
      <c r="G2423" s="7">
        <f t="shared" si="183"/>
        <v>0</v>
      </c>
      <c r="H2423" s="8">
        <f t="shared" si="184"/>
        <v>0</v>
      </c>
      <c r="I2423" s="9">
        <f t="shared" si="185"/>
        <v>0</v>
      </c>
    </row>
    <row r="2424" spans="1:9" x14ac:dyDescent="0.35">
      <c r="A2424" s="18" t="s">
        <v>2519</v>
      </c>
      <c r="B2424" s="18" t="s">
        <v>5530</v>
      </c>
      <c r="C2424" s="20">
        <v>45471</v>
      </c>
      <c r="D2424" s="11">
        <v>2933.06</v>
      </c>
      <c r="E2424" s="27">
        <f t="shared" si="181"/>
        <v>3265.0823919999998</v>
      </c>
      <c r="F2424" s="6">
        <f t="shared" si="182"/>
        <v>4244.6071095999996</v>
      </c>
      <c r="G2424" s="7">
        <f t="shared" si="183"/>
        <v>4571.1153487999991</v>
      </c>
      <c r="H2424" s="8">
        <f t="shared" si="184"/>
        <v>4897.6235879999995</v>
      </c>
      <c r="I2424" s="9">
        <f t="shared" si="185"/>
        <v>5224.1318271999999</v>
      </c>
    </row>
    <row r="2425" spans="1:9" x14ac:dyDescent="0.35">
      <c r="A2425" s="18" t="s">
        <v>2520</v>
      </c>
      <c r="B2425" s="18" t="s">
        <v>5531</v>
      </c>
      <c r="C2425" s="20">
        <v>45471</v>
      </c>
      <c r="D2425" s="11">
        <v>4448.2750000000005</v>
      </c>
      <c r="E2425" s="27">
        <f t="shared" si="181"/>
        <v>4951.8197300000002</v>
      </c>
      <c r="F2425" s="6">
        <f t="shared" si="182"/>
        <v>6437.3656490000003</v>
      </c>
      <c r="G2425" s="7">
        <f t="shared" si="183"/>
        <v>6932.547622</v>
      </c>
      <c r="H2425" s="8">
        <f t="shared" si="184"/>
        <v>7427.7295950000007</v>
      </c>
      <c r="I2425" s="9">
        <f t="shared" si="185"/>
        <v>7922.9115680000004</v>
      </c>
    </row>
    <row r="2426" spans="1:9" x14ac:dyDescent="0.35">
      <c r="A2426" s="18" t="s">
        <v>4831</v>
      </c>
      <c r="B2426" s="18" t="s">
        <v>5532</v>
      </c>
      <c r="C2426" s="20">
        <v>45471</v>
      </c>
      <c r="D2426" s="11">
        <v>12298</v>
      </c>
      <c r="E2426" s="27">
        <f t="shared" si="181"/>
        <v>13690.133600000001</v>
      </c>
      <c r="F2426" s="6">
        <f t="shared" si="182"/>
        <v>17797.173680000004</v>
      </c>
      <c r="G2426" s="7">
        <f t="shared" si="183"/>
        <v>19166.187040000001</v>
      </c>
      <c r="H2426" s="8">
        <f t="shared" si="184"/>
        <v>20535.200400000002</v>
      </c>
      <c r="I2426" s="9">
        <f t="shared" si="185"/>
        <v>21904.213760000002</v>
      </c>
    </row>
    <row r="2427" spans="1:9" x14ac:dyDescent="0.35">
      <c r="A2427" s="18" t="s">
        <v>5578</v>
      </c>
      <c r="B2427" s="18" t="s">
        <v>5576</v>
      </c>
      <c r="C2427" s="20">
        <v>45471</v>
      </c>
      <c r="D2427" s="11">
        <v>2364.0500000000002</v>
      </c>
      <c r="E2427" s="27">
        <f t="shared" si="181"/>
        <v>2631.6604600000001</v>
      </c>
      <c r="F2427" s="6">
        <f t="shared" si="182"/>
        <v>3421.158598</v>
      </c>
      <c r="G2427" s="7">
        <f t="shared" si="183"/>
        <v>3684.3246439999998</v>
      </c>
      <c r="H2427" s="8">
        <f t="shared" si="184"/>
        <v>3947.4906900000001</v>
      </c>
      <c r="I2427" s="9">
        <f t="shared" si="185"/>
        <v>4210.6567359999999</v>
      </c>
    </row>
    <row r="2428" spans="1:9" x14ac:dyDescent="0.35">
      <c r="A2428" s="18" t="s">
        <v>5579</v>
      </c>
      <c r="B2428" s="18" t="s">
        <v>5577</v>
      </c>
      <c r="C2428" s="20">
        <v>45471</v>
      </c>
      <c r="D2428" s="11">
        <v>4092.2049999999999</v>
      </c>
      <c r="E2428" s="27">
        <f t="shared" si="181"/>
        <v>4555.4426059999996</v>
      </c>
      <c r="F2428" s="6">
        <f t="shared" si="182"/>
        <v>5922.0753877999996</v>
      </c>
      <c r="G2428" s="7">
        <f t="shared" si="183"/>
        <v>6377.6196483999993</v>
      </c>
      <c r="H2428" s="8">
        <f t="shared" si="184"/>
        <v>6833.163908999999</v>
      </c>
      <c r="I2428" s="9">
        <f t="shared" si="185"/>
        <v>7288.7081695999996</v>
      </c>
    </row>
    <row r="2429" spans="1:9" ht="18" x14ac:dyDescent="0.4">
      <c r="B2429" s="19" t="s">
        <v>6256</v>
      </c>
      <c r="D2429" s="11">
        <v>0</v>
      </c>
      <c r="E2429" s="27">
        <f t="shared" si="181"/>
        <v>0</v>
      </c>
      <c r="F2429" s="6">
        <f t="shared" si="182"/>
        <v>0</v>
      </c>
      <c r="G2429" s="7">
        <f t="shared" si="183"/>
        <v>0</v>
      </c>
      <c r="H2429" s="8">
        <f t="shared" si="184"/>
        <v>0</v>
      </c>
      <c r="I2429" s="9">
        <f t="shared" si="185"/>
        <v>0</v>
      </c>
    </row>
    <row r="2430" spans="1:9" x14ac:dyDescent="0.35">
      <c r="A2430" s="18" t="s">
        <v>6257</v>
      </c>
      <c r="B2430" s="18" t="s">
        <v>6258</v>
      </c>
      <c r="C2430" s="20">
        <v>45483</v>
      </c>
      <c r="D2430" s="11">
        <v>787.73</v>
      </c>
      <c r="E2430" s="27">
        <f t="shared" si="181"/>
        <v>876.90103599999998</v>
      </c>
      <c r="F2430" s="6">
        <f t="shared" si="182"/>
        <v>1139.9713468</v>
      </c>
      <c r="G2430" s="7">
        <f t="shared" si="183"/>
        <v>1227.6614503999999</v>
      </c>
      <c r="H2430" s="8">
        <f t="shared" si="184"/>
        <v>1315.3515539999999</v>
      </c>
      <c r="I2430" s="9">
        <f t="shared" si="185"/>
        <v>1403.0416576</v>
      </c>
    </row>
    <row r="2431" spans="1:9" x14ac:dyDescent="0.35">
      <c r="A2431" s="18" t="s">
        <v>6325</v>
      </c>
      <c r="B2431" s="18" t="s">
        <v>6326</v>
      </c>
      <c r="C2431" s="20">
        <v>45483</v>
      </c>
      <c r="D2431" s="11">
        <v>999.34</v>
      </c>
      <c r="E2431" s="27">
        <f t="shared" si="181"/>
        <v>1112.4652879999999</v>
      </c>
      <c r="F2431" s="6">
        <f t="shared" si="182"/>
        <v>1446.2048743999999</v>
      </c>
      <c r="G2431" s="7">
        <f t="shared" si="183"/>
        <v>1557.4514031999997</v>
      </c>
      <c r="H2431" s="8">
        <f t="shared" si="184"/>
        <v>1668.6979319999998</v>
      </c>
      <c r="I2431" s="9">
        <f t="shared" si="185"/>
        <v>1779.9444607999999</v>
      </c>
    </row>
    <row r="2432" spans="1:9" ht="15.75" customHeight="1" x14ac:dyDescent="0.4">
      <c r="B2432" s="19" t="s">
        <v>1901</v>
      </c>
      <c r="D2432" s="11">
        <v>0</v>
      </c>
      <c r="E2432" s="27">
        <f t="shared" si="181"/>
        <v>0</v>
      </c>
      <c r="F2432" s="6">
        <f t="shared" si="182"/>
        <v>0</v>
      </c>
      <c r="G2432" s="7">
        <f t="shared" si="183"/>
        <v>0</v>
      </c>
      <c r="H2432" s="8">
        <f t="shared" si="184"/>
        <v>0</v>
      </c>
      <c r="I2432" s="9">
        <f t="shared" si="185"/>
        <v>0</v>
      </c>
    </row>
    <row r="2433" spans="1:9" x14ac:dyDescent="0.35">
      <c r="A2433" s="18" t="s">
        <v>2521</v>
      </c>
      <c r="B2433" s="18" t="s">
        <v>2430</v>
      </c>
      <c r="C2433" s="20">
        <v>45677</v>
      </c>
      <c r="D2433" s="11">
        <v>1757.16</v>
      </c>
      <c r="E2433" s="27">
        <f t="shared" si="181"/>
        <v>1956.070512</v>
      </c>
      <c r="F2433" s="6">
        <f t="shared" si="182"/>
        <v>2542.8916656000001</v>
      </c>
      <c r="G2433" s="7">
        <f t="shared" si="183"/>
        <v>2738.4987167999998</v>
      </c>
      <c r="H2433" s="8">
        <f t="shared" si="184"/>
        <v>2934.1057679999999</v>
      </c>
      <c r="I2433" s="9">
        <f t="shared" si="185"/>
        <v>3129.7128192</v>
      </c>
    </row>
    <row r="2434" spans="1:9" x14ac:dyDescent="0.35">
      <c r="A2434" s="18" t="s">
        <v>2522</v>
      </c>
      <c r="B2434" s="18" t="s">
        <v>2431</v>
      </c>
      <c r="C2434" s="20">
        <v>45677</v>
      </c>
      <c r="D2434" s="11">
        <v>2296.7800000000002</v>
      </c>
      <c r="E2434" s="27">
        <f t="shared" si="181"/>
        <v>2556.7754960000002</v>
      </c>
      <c r="F2434" s="6">
        <f t="shared" si="182"/>
        <v>3323.8081448000003</v>
      </c>
      <c r="G2434" s="7">
        <f t="shared" si="183"/>
        <v>3579.4856944000003</v>
      </c>
      <c r="H2434" s="8">
        <f t="shared" si="184"/>
        <v>3835.1632440000003</v>
      </c>
      <c r="I2434" s="9">
        <f t="shared" si="185"/>
        <v>4090.8407936000003</v>
      </c>
    </row>
    <row r="2435" spans="1:9" x14ac:dyDescent="0.35">
      <c r="A2435" s="18" t="s">
        <v>3246</v>
      </c>
      <c r="B2435" s="18" t="s">
        <v>3248</v>
      </c>
      <c r="C2435" s="20">
        <v>45544</v>
      </c>
      <c r="D2435" s="11">
        <v>612.9</v>
      </c>
      <c r="E2435" s="27">
        <f t="shared" si="181"/>
        <v>682.28027999999995</v>
      </c>
      <c r="F2435" s="6">
        <f t="shared" si="182"/>
        <v>886.96436399999993</v>
      </c>
      <c r="G2435" s="7">
        <f t="shared" si="183"/>
        <v>955.19239199999981</v>
      </c>
      <c r="H2435" s="8">
        <f t="shared" si="184"/>
        <v>1023.4204199999999</v>
      </c>
      <c r="I2435" s="9">
        <f t="shared" si="185"/>
        <v>1091.6484479999999</v>
      </c>
    </row>
    <row r="2436" spans="1:9" x14ac:dyDescent="0.35">
      <c r="A2436" s="18" t="s">
        <v>3247</v>
      </c>
      <c r="B2436" s="18" t="s">
        <v>3423</v>
      </c>
      <c r="C2436" s="20">
        <v>45544</v>
      </c>
      <c r="D2436" s="11">
        <v>645.29999999999995</v>
      </c>
      <c r="E2436" s="27">
        <f t="shared" si="181"/>
        <v>718.34795999999994</v>
      </c>
      <c r="F2436" s="6">
        <f t="shared" si="182"/>
        <v>933.85234800000001</v>
      </c>
      <c r="G2436" s="7">
        <f t="shared" si="183"/>
        <v>1005.6871439999999</v>
      </c>
      <c r="H2436" s="8">
        <f t="shared" si="184"/>
        <v>1077.5219399999999</v>
      </c>
      <c r="I2436" s="9">
        <f t="shared" si="185"/>
        <v>1149.356736</v>
      </c>
    </row>
    <row r="2437" spans="1:9" x14ac:dyDescent="0.35">
      <c r="A2437" s="18" t="s">
        <v>380</v>
      </c>
      <c r="B2437" s="18" t="s">
        <v>381</v>
      </c>
      <c r="C2437" s="20">
        <v>45544</v>
      </c>
      <c r="D2437" s="11">
        <v>1053</v>
      </c>
      <c r="E2437" s="27">
        <f t="shared" si="181"/>
        <v>1172.1995999999999</v>
      </c>
      <c r="F2437" s="6">
        <f t="shared" si="182"/>
        <v>1523.8594799999998</v>
      </c>
      <c r="G2437" s="7">
        <f t="shared" si="183"/>
        <v>1641.0794399999997</v>
      </c>
      <c r="H2437" s="8">
        <f t="shared" si="184"/>
        <v>1758.2993999999999</v>
      </c>
      <c r="I2437" s="9">
        <f t="shared" si="185"/>
        <v>1875.51936</v>
      </c>
    </row>
    <row r="2438" spans="1:9" x14ac:dyDescent="0.35">
      <c r="A2438" s="28" t="s">
        <v>3427</v>
      </c>
      <c r="B2438" s="28" t="s">
        <v>3429</v>
      </c>
      <c r="C2438" s="29">
        <v>45729</v>
      </c>
      <c r="D2438" s="11">
        <v>1713.18</v>
      </c>
      <c r="E2438" s="27">
        <f t="shared" si="181"/>
        <v>1907.1119759999999</v>
      </c>
      <c r="F2438" s="6">
        <f t="shared" si="182"/>
        <v>2479.2455688</v>
      </c>
      <c r="G2438" s="7">
        <f t="shared" si="183"/>
        <v>2669.9567663999997</v>
      </c>
      <c r="H2438" s="8">
        <f t="shared" si="184"/>
        <v>2860.6679639999998</v>
      </c>
      <c r="I2438" s="9">
        <f t="shared" si="185"/>
        <v>3051.3791615999999</v>
      </c>
    </row>
    <row r="2439" spans="1:9" x14ac:dyDescent="0.35">
      <c r="A2439" s="28" t="s">
        <v>3428</v>
      </c>
      <c r="B2439" s="28" t="s">
        <v>3430</v>
      </c>
      <c r="C2439" s="29">
        <v>45729</v>
      </c>
      <c r="D2439" s="11">
        <v>6765.73</v>
      </c>
      <c r="E2439" s="27">
        <f t="shared" si="181"/>
        <v>7531.6106359999994</v>
      </c>
      <c r="F2439" s="6">
        <f t="shared" si="182"/>
        <v>9791.0938267999991</v>
      </c>
      <c r="G2439" s="7">
        <f t="shared" si="183"/>
        <v>10544.254890399998</v>
      </c>
      <c r="H2439" s="8">
        <f t="shared" si="184"/>
        <v>11297.415954</v>
      </c>
      <c r="I2439" s="9">
        <f t="shared" si="185"/>
        <v>12050.577017600001</v>
      </c>
    </row>
    <row r="2440" spans="1:9" x14ac:dyDescent="0.35">
      <c r="A2440" s="28" t="s">
        <v>3431</v>
      </c>
      <c r="B2440" s="28" t="s">
        <v>3433</v>
      </c>
      <c r="C2440" s="29">
        <v>45729</v>
      </c>
      <c r="D2440" s="11">
        <v>3264.53</v>
      </c>
      <c r="E2440" s="27">
        <f t="shared" si="181"/>
        <v>3634.0747960000003</v>
      </c>
      <c r="F2440" s="6">
        <f t="shared" si="182"/>
        <v>4724.2972348000003</v>
      </c>
      <c r="G2440" s="7">
        <f t="shared" si="183"/>
        <v>5087.7047143999998</v>
      </c>
      <c r="H2440" s="8">
        <f t="shared" si="184"/>
        <v>5451.1121940000003</v>
      </c>
      <c r="I2440" s="9">
        <f t="shared" si="185"/>
        <v>5814.5196736000007</v>
      </c>
    </row>
    <row r="2441" spans="1:9" x14ac:dyDescent="0.35">
      <c r="A2441" s="28" t="s">
        <v>3432</v>
      </c>
      <c r="B2441" s="28" t="s">
        <v>3434</v>
      </c>
      <c r="C2441" s="29">
        <v>45729</v>
      </c>
      <c r="D2441" s="11">
        <v>3462.85</v>
      </c>
      <c r="E2441" s="27">
        <f t="shared" si="181"/>
        <v>3854.8446199999998</v>
      </c>
      <c r="F2441" s="6">
        <f t="shared" si="182"/>
        <v>5011.298006</v>
      </c>
      <c r="G2441" s="7">
        <f t="shared" si="183"/>
        <v>5396.7824679999994</v>
      </c>
      <c r="H2441" s="8">
        <f t="shared" si="184"/>
        <v>5782.2669299999998</v>
      </c>
      <c r="I2441" s="9">
        <f t="shared" si="185"/>
        <v>6167.7513920000001</v>
      </c>
    </row>
    <row r="2442" spans="1:9" x14ac:dyDescent="0.35">
      <c r="A2442" s="28" t="s">
        <v>4704</v>
      </c>
      <c r="B2442" s="28" t="s">
        <v>4706</v>
      </c>
      <c r="C2442" s="29">
        <v>45729</v>
      </c>
      <c r="D2442" s="11">
        <v>9154.57</v>
      </c>
      <c r="E2442" s="27">
        <f t="shared" si="181"/>
        <v>10190.867323999999</v>
      </c>
      <c r="F2442" s="6">
        <f t="shared" si="182"/>
        <v>13248.127521199998</v>
      </c>
      <c r="G2442" s="7">
        <f t="shared" si="183"/>
        <v>14267.214253599997</v>
      </c>
      <c r="H2442" s="8">
        <f t="shared" si="184"/>
        <v>15286.300985999998</v>
      </c>
      <c r="I2442" s="9">
        <f t="shared" si="185"/>
        <v>16305.387718399999</v>
      </c>
    </row>
    <row r="2443" spans="1:9" x14ac:dyDescent="0.35">
      <c r="A2443" s="18" t="s">
        <v>4705</v>
      </c>
      <c r="B2443" s="18" t="s">
        <v>4707</v>
      </c>
      <c r="C2443" s="20">
        <v>45363</v>
      </c>
      <c r="D2443" s="11">
        <v>0</v>
      </c>
      <c r="E2443" s="27">
        <f t="shared" si="181"/>
        <v>0</v>
      </c>
      <c r="F2443" s="6">
        <f t="shared" si="182"/>
        <v>0</v>
      </c>
      <c r="G2443" s="7">
        <f t="shared" si="183"/>
        <v>0</v>
      </c>
      <c r="H2443" s="8">
        <f t="shared" si="184"/>
        <v>0</v>
      </c>
      <c r="I2443" s="9">
        <f t="shared" si="185"/>
        <v>0</v>
      </c>
    </row>
    <row r="2444" spans="1:9" x14ac:dyDescent="0.35">
      <c r="A2444" s="18" t="s">
        <v>6294</v>
      </c>
      <c r="B2444" s="18" t="s">
        <v>6295</v>
      </c>
      <c r="C2444" s="20">
        <v>45544</v>
      </c>
      <c r="D2444" s="11">
        <v>584.1</v>
      </c>
      <c r="E2444" s="27">
        <f t="shared" ref="E2444:E2507" si="186">D2444*1.21*0.92</f>
        <v>650.22011999999995</v>
      </c>
      <c r="F2444" s="6">
        <f t="shared" si="182"/>
        <v>845.28615600000001</v>
      </c>
      <c r="G2444" s="7">
        <f t="shared" si="183"/>
        <v>910.30816799999991</v>
      </c>
      <c r="H2444" s="8">
        <f t="shared" si="184"/>
        <v>975.33017999999993</v>
      </c>
      <c r="I2444" s="9">
        <f t="shared" si="185"/>
        <v>1040.3521920000001</v>
      </c>
    </row>
    <row r="2445" spans="1:9" ht="15.75" customHeight="1" x14ac:dyDescent="0.4">
      <c r="B2445" s="19" t="s">
        <v>1902</v>
      </c>
      <c r="D2445" s="11">
        <v>0</v>
      </c>
      <c r="E2445" s="27">
        <f t="shared" si="186"/>
        <v>0</v>
      </c>
      <c r="F2445" s="6">
        <f t="shared" si="182"/>
        <v>0</v>
      </c>
      <c r="G2445" s="7">
        <f t="shared" si="183"/>
        <v>0</v>
      </c>
      <c r="H2445" s="8">
        <f t="shared" si="184"/>
        <v>0</v>
      </c>
      <c r="I2445" s="9">
        <f t="shared" si="185"/>
        <v>0</v>
      </c>
    </row>
    <row r="2446" spans="1:9" x14ac:dyDescent="0.35">
      <c r="A2446" s="18" t="s">
        <v>2523</v>
      </c>
      <c r="B2446" s="18" t="s">
        <v>932</v>
      </c>
      <c r="C2446" s="20">
        <v>45483</v>
      </c>
      <c r="D2446" s="11">
        <v>7392.53</v>
      </c>
      <c r="E2446" s="27">
        <f t="shared" si="186"/>
        <v>8229.364395999999</v>
      </c>
      <c r="F2446" s="6">
        <f t="shared" si="182"/>
        <v>10698.173714799999</v>
      </c>
      <c r="G2446" s="7">
        <f t="shared" si="183"/>
        <v>11521.110154399998</v>
      </c>
      <c r="H2446" s="8">
        <f t="shared" si="184"/>
        <v>12344.046593999999</v>
      </c>
      <c r="I2446" s="9">
        <f t="shared" si="185"/>
        <v>13166.9830336</v>
      </c>
    </row>
    <row r="2447" spans="1:9" x14ac:dyDescent="0.35">
      <c r="A2447" s="18" t="s">
        <v>2524</v>
      </c>
      <c r="B2447" s="18" t="s">
        <v>948</v>
      </c>
      <c r="C2447" s="20">
        <v>45483</v>
      </c>
      <c r="D2447" s="11">
        <v>9326.6</v>
      </c>
      <c r="E2447" s="27">
        <f t="shared" si="186"/>
        <v>10382.37112</v>
      </c>
      <c r="F2447" s="6">
        <f t="shared" si="182"/>
        <v>13497.082456</v>
      </c>
      <c r="G2447" s="7">
        <f t="shared" si="183"/>
        <v>14535.319567999999</v>
      </c>
      <c r="H2447" s="8">
        <f t="shared" si="184"/>
        <v>15573.55668</v>
      </c>
      <c r="I2447" s="9">
        <f t="shared" si="185"/>
        <v>16611.793792</v>
      </c>
    </row>
    <row r="2448" spans="1:9" x14ac:dyDescent="0.35">
      <c r="A2448" s="18" t="s">
        <v>2525</v>
      </c>
      <c r="B2448" s="18" t="s">
        <v>949</v>
      </c>
      <c r="C2448" s="20">
        <v>45483</v>
      </c>
      <c r="D2448" s="11">
        <v>15803.188236000002</v>
      </c>
      <c r="E2448" s="27">
        <f t="shared" si="186"/>
        <v>17592.109144315204</v>
      </c>
      <c r="F2448" s="6">
        <f t="shared" si="182"/>
        <v>22869.741887609765</v>
      </c>
      <c r="G2448" s="7">
        <f t="shared" si="183"/>
        <v>24628.952802041284</v>
      </c>
      <c r="H2448" s="8">
        <f t="shared" si="184"/>
        <v>26388.163716472805</v>
      </c>
      <c r="I2448" s="9">
        <f t="shared" si="185"/>
        <v>28147.374630904327</v>
      </c>
    </row>
    <row r="2449" spans="1:9" x14ac:dyDescent="0.35">
      <c r="A2449" s="18" t="s">
        <v>2526</v>
      </c>
      <c r="B2449" s="18" t="s">
        <v>12</v>
      </c>
      <c r="C2449" s="20">
        <v>45483</v>
      </c>
      <c r="D2449" s="11">
        <v>19650</v>
      </c>
      <c r="E2449" s="27">
        <f t="shared" si="186"/>
        <v>21874.38</v>
      </c>
      <c r="F2449" s="6">
        <f t="shared" si="182"/>
        <v>28436.694000000003</v>
      </c>
      <c r="G2449" s="7">
        <f t="shared" si="183"/>
        <v>30624.131999999998</v>
      </c>
      <c r="H2449" s="8">
        <f t="shared" si="184"/>
        <v>32811.57</v>
      </c>
      <c r="I2449" s="9">
        <f t="shared" si="185"/>
        <v>34999.008000000002</v>
      </c>
    </row>
    <row r="2450" spans="1:9" x14ac:dyDescent="0.35">
      <c r="A2450" s="18" t="s">
        <v>4871</v>
      </c>
      <c r="B2450" s="18" t="s">
        <v>4872</v>
      </c>
      <c r="C2450" s="20">
        <v>45504</v>
      </c>
      <c r="D2450" s="11">
        <v>5850</v>
      </c>
      <c r="E2450" s="27">
        <f t="shared" si="186"/>
        <v>6512.22</v>
      </c>
      <c r="F2450" s="6">
        <f t="shared" si="182"/>
        <v>8465.8860000000004</v>
      </c>
      <c r="G2450" s="7">
        <f t="shared" si="183"/>
        <v>9117.1080000000002</v>
      </c>
      <c r="H2450" s="8">
        <f t="shared" si="184"/>
        <v>9768.33</v>
      </c>
      <c r="I2450" s="9">
        <f t="shared" si="185"/>
        <v>10419.552000000001</v>
      </c>
    </row>
    <row r="2451" spans="1:9" x14ac:dyDescent="0.35">
      <c r="A2451" s="18" t="s">
        <v>4987</v>
      </c>
      <c r="B2451" s="18" t="s">
        <v>4988</v>
      </c>
      <c r="C2451" s="20">
        <v>45483</v>
      </c>
      <c r="D2451" s="11">
        <v>7050.35</v>
      </c>
      <c r="E2451" s="27">
        <f t="shared" si="186"/>
        <v>7848.4496200000012</v>
      </c>
      <c r="F2451" s="6">
        <f t="shared" si="182"/>
        <v>10202.984506000003</v>
      </c>
      <c r="G2451" s="7">
        <f t="shared" si="183"/>
        <v>10987.829468000002</v>
      </c>
      <c r="H2451" s="8">
        <f t="shared" si="184"/>
        <v>11772.674430000003</v>
      </c>
      <c r="I2451" s="9">
        <f t="shared" si="185"/>
        <v>12557.519392000002</v>
      </c>
    </row>
    <row r="2452" spans="1:9" x14ac:dyDescent="0.35">
      <c r="A2452" s="18" t="s">
        <v>5810</v>
      </c>
      <c r="B2452" s="18" t="s">
        <v>5811</v>
      </c>
      <c r="C2452" s="20">
        <v>45483</v>
      </c>
      <c r="D2452" s="11">
        <v>9305.1581435999997</v>
      </c>
      <c r="E2452" s="27">
        <f t="shared" si="186"/>
        <v>10358.50204545552</v>
      </c>
      <c r="F2452" s="6">
        <f t="shared" si="182"/>
        <v>13466.052659092176</v>
      </c>
      <c r="G2452" s="7">
        <f t="shared" si="183"/>
        <v>14501.902863637726</v>
      </c>
      <c r="H2452" s="8">
        <f t="shared" si="184"/>
        <v>15537.75306818328</v>
      </c>
      <c r="I2452" s="9">
        <f t="shared" si="185"/>
        <v>16573.603272728833</v>
      </c>
    </row>
    <row r="2453" spans="1:9" ht="18" x14ac:dyDescent="0.4">
      <c r="B2453" s="19" t="s">
        <v>6065</v>
      </c>
      <c r="D2453" s="11">
        <v>0</v>
      </c>
      <c r="E2453" s="27">
        <f t="shared" si="186"/>
        <v>0</v>
      </c>
      <c r="F2453" s="6">
        <f t="shared" si="182"/>
        <v>0</v>
      </c>
      <c r="G2453" s="7">
        <f t="shared" si="183"/>
        <v>0</v>
      </c>
      <c r="H2453" s="8">
        <f t="shared" si="184"/>
        <v>0</v>
      </c>
      <c r="I2453" s="9">
        <f t="shared" si="185"/>
        <v>0</v>
      </c>
    </row>
    <row r="2454" spans="1:9" x14ac:dyDescent="0.35">
      <c r="A2454" s="18" t="s">
        <v>1843</v>
      </c>
      <c r="B2454" s="18" t="s">
        <v>6066</v>
      </c>
      <c r="C2454" s="20">
        <v>45726</v>
      </c>
      <c r="D2454" s="11">
        <v>7542.5215950000011</v>
      </c>
      <c r="E2454" s="27">
        <f t="shared" si="186"/>
        <v>8396.3350395540019</v>
      </c>
      <c r="F2454" s="6">
        <f t="shared" si="182"/>
        <v>10915.235551420203</v>
      </c>
      <c r="G2454" s="7">
        <f t="shared" si="183"/>
        <v>11754.869055375602</v>
      </c>
      <c r="H2454" s="8">
        <f t="shared" si="184"/>
        <v>12594.502559331002</v>
      </c>
      <c r="I2454" s="9">
        <f t="shared" si="185"/>
        <v>13434.136063286403</v>
      </c>
    </row>
    <row r="2455" spans="1:9" x14ac:dyDescent="0.35">
      <c r="A2455" s="18" t="s">
        <v>1844</v>
      </c>
      <c r="B2455" s="18" t="s">
        <v>6067</v>
      </c>
      <c r="C2455" s="20">
        <v>45726</v>
      </c>
      <c r="D2455" s="11">
        <v>7542.5215950000011</v>
      </c>
      <c r="E2455" s="27">
        <f t="shared" si="186"/>
        <v>8396.3350395540019</v>
      </c>
      <c r="F2455" s="6">
        <f t="shared" si="182"/>
        <v>10915.235551420203</v>
      </c>
      <c r="G2455" s="7">
        <f t="shared" si="183"/>
        <v>11754.869055375602</v>
      </c>
      <c r="H2455" s="8">
        <f t="shared" si="184"/>
        <v>12594.502559331002</v>
      </c>
      <c r="I2455" s="9">
        <f t="shared" si="185"/>
        <v>13434.136063286403</v>
      </c>
    </row>
    <row r="2456" spans="1:9" x14ac:dyDescent="0.35">
      <c r="A2456" s="18" t="s">
        <v>1845</v>
      </c>
      <c r="B2456" s="18" t="s">
        <v>6068</v>
      </c>
      <c r="C2456" s="20">
        <v>45726</v>
      </c>
      <c r="D2456" s="11">
        <v>11187.190500000001</v>
      </c>
      <c r="E2456" s="27">
        <f t="shared" si="186"/>
        <v>12453.5804646</v>
      </c>
      <c r="F2456" s="6">
        <f t="shared" si="182"/>
        <v>16189.65460398</v>
      </c>
      <c r="G2456" s="7">
        <f t="shared" si="183"/>
        <v>17435.01265044</v>
      </c>
      <c r="H2456" s="8">
        <f t="shared" si="184"/>
        <v>18680.370696899998</v>
      </c>
      <c r="I2456" s="9">
        <f t="shared" si="185"/>
        <v>19925.728743359999</v>
      </c>
    </row>
    <row r="2457" spans="1:9" x14ac:dyDescent="0.35">
      <c r="A2457" s="18" t="s">
        <v>1846</v>
      </c>
      <c r="B2457" s="18" t="s">
        <v>6069</v>
      </c>
      <c r="C2457" s="20">
        <v>45726</v>
      </c>
      <c r="D2457" s="11">
        <v>11187.190500000001</v>
      </c>
      <c r="E2457" s="27">
        <f t="shared" si="186"/>
        <v>12453.5804646</v>
      </c>
      <c r="F2457" s="6">
        <f t="shared" si="182"/>
        <v>16189.65460398</v>
      </c>
      <c r="G2457" s="7">
        <f t="shared" si="183"/>
        <v>17435.01265044</v>
      </c>
      <c r="H2457" s="8">
        <f t="shared" si="184"/>
        <v>18680.370696899998</v>
      </c>
      <c r="I2457" s="9">
        <f t="shared" si="185"/>
        <v>19925.728743359999</v>
      </c>
    </row>
    <row r="2458" spans="1:9" x14ac:dyDescent="0.35">
      <c r="A2458" s="18" t="s">
        <v>1847</v>
      </c>
      <c r="B2458" s="18" t="s">
        <v>6070</v>
      </c>
      <c r="C2458" s="20">
        <v>45726</v>
      </c>
      <c r="D2458" s="11">
        <v>11187.190500000001</v>
      </c>
      <c r="E2458" s="27">
        <f t="shared" si="186"/>
        <v>12453.5804646</v>
      </c>
      <c r="F2458" s="6">
        <f t="shared" si="182"/>
        <v>16189.65460398</v>
      </c>
      <c r="G2458" s="7">
        <f t="shared" si="183"/>
        <v>17435.01265044</v>
      </c>
      <c r="H2458" s="8">
        <f t="shared" si="184"/>
        <v>18680.370696899998</v>
      </c>
      <c r="I2458" s="9">
        <f t="shared" si="185"/>
        <v>19925.728743359999</v>
      </c>
    </row>
    <row r="2459" spans="1:9" x14ac:dyDescent="0.35">
      <c r="A2459" s="18" t="s">
        <v>1848</v>
      </c>
      <c r="B2459" s="18" t="s">
        <v>6071</v>
      </c>
      <c r="C2459" s="20">
        <v>45726</v>
      </c>
      <c r="D2459" s="11">
        <v>11599.350150000002</v>
      </c>
      <c r="E2459" s="27">
        <f t="shared" si="186"/>
        <v>12912.396586980001</v>
      </c>
      <c r="F2459" s="6">
        <f t="shared" si="182"/>
        <v>16786.115563074003</v>
      </c>
      <c r="G2459" s="7">
        <f t="shared" si="183"/>
        <v>18077.355221771999</v>
      </c>
      <c r="H2459" s="8">
        <f t="shared" si="184"/>
        <v>19368.594880470002</v>
      </c>
      <c r="I2459" s="9">
        <f t="shared" si="185"/>
        <v>20659.834539168005</v>
      </c>
    </row>
    <row r="2460" spans="1:9" ht="15.75" customHeight="1" x14ac:dyDescent="0.4">
      <c r="A2460" s="36"/>
      <c r="B2460" s="37" t="s">
        <v>1903</v>
      </c>
      <c r="C2460" s="38"/>
      <c r="D2460" s="11">
        <v>0</v>
      </c>
      <c r="E2460" s="27">
        <f t="shared" si="186"/>
        <v>0</v>
      </c>
      <c r="F2460" s="6">
        <f t="shared" si="182"/>
        <v>0</v>
      </c>
      <c r="G2460" s="7">
        <f t="shared" si="183"/>
        <v>0</v>
      </c>
      <c r="H2460" s="8">
        <f t="shared" si="184"/>
        <v>0</v>
      </c>
      <c r="I2460" s="9">
        <f t="shared" si="185"/>
        <v>0</v>
      </c>
    </row>
    <row r="2461" spans="1:9" x14ac:dyDescent="0.35">
      <c r="A2461" s="36" t="s">
        <v>2527</v>
      </c>
      <c r="B2461" s="36" t="s">
        <v>13</v>
      </c>
      <c r="C2461" s="38">
        <v>45737</v>
      </c>
      <c r="D2461" s="11">
        <v>7728</v>
      </c>
      <c r="E2461" s="27">
        <f t="shared" si="186"/>
        <v>8602.8096000000005</v>
      </c>
      <c r="F2461" s="6">
        <f t="shared" si="182"/>
        <v>11183.652480000001</v>
      </c>
      <c r="G2461" s="7">
        <f t="shared" si="183"/>
        <v>12043.933440000001</v>
      </c>
      <c r="H2461" s="8">
        <f t="shared" si="184"/>
        <v>12904.214400000001</v>
      </c>
      <c r="I2461" s="9">
        <f t="shared" si="185"/>
        <v>13764.495360000001</v>
      </c>
    </row>
    <row r="2462" spans="1:9" x14ac:dyDescent="0.35">
      <c r="A2462" s="36" t="s">
        <v>2528</v>
      </c>
      <c r="B2462" s="36" t="s">
        <v>14</v>
      </c>
      <c r="C2462" s="38">
        <v>45737</v>
      </c>
      <c r="D2462" s="11">
        <v>5520</v>
      </c>
      <c r="E2462" s="27">
        <f t="shared" si="186"/>
        <v>6144.8640000000005</v>
      </c>
      <c r="F2462" s="6">
        <f t="shared" si="182"/>
        <v>7988.3232000000007</v>
      </c>
      <c r="G2462" s="7">
        <f t="shared" si="183"/>
        <v>8602.8096000000005</v>
      </c>
      <c r="H2462" s="8">
        <f t="shared" si="184"/>
        <v>9217.2960000000003</v>
      </c>
      <c r="I2462" s="9">
        <f t="shared" si="185"/>
        <v>9831.7824000000019</v>
      </c>
    </row>
    <row r="2463" spans="1:9" x14ac:dyDescent="0.35">
      <c r="A2463" s="36" t="s">
        <v>6197</v>
      </c>
      <c r="B2463" s="36" t="s">
        <v>6195</v>
      </c>
      <c r="C2463" s="38">
        <v>45737</v>
      </c>
      <c r="D2463" s="11">
        <v>37240</v>
      </c>
      <c r="E2463" s="27">
        <f t="shared" si="186"/>
        <v>41455.568000000007</v>
      </c>
      <c r="F2463" s="6">
        <f t="shared" si="182"/>
        <v>53892.238400000009</v>
      </c>
      <c r="G2463" s="7">
        <f t="shared" si="183"/>
        <v>58037.795200000008</v>
      </c>
      <c r="H2463" s="8">
        <f t="shared" si="184"/>
        <v>62183.352000000014</v>
      </c>
      <c r="I2463" s="9">
        <f t="shared" si="185"/>
        <v>66328.908800000019</v>
      </c>
    </row>
    <row r="2464" spans="1:9" x14ac:dyDescent="0.35">
      <c r="A2464" s="36" t="s">
        <v>6198</v>
      </c>
      <c r="B2464" s="36" t="s">
        <v>6196</v>
      </c>
      <c r="C2464" s="38">
        <v>45737</v>
      </c>
      <c r="D2464" s="11">
        <v>37240</v>
      </c>
      <c r="E2464" s="27">
        <f t="shared" si="186"/>
        <v>41455.568000000007</v>
      </c>
      <c r="F2464" s="6">
        <f t="shared" ref="F2464:F2530" si="187">E2464*1.3</f>
        <v>53892.238400000009</v>
      </c>
      <c r="G2464" s="7">
        <f t="shared" ref="G2464:G2530" si="188">E2464*1.4</f>
        <v>58037.795200000008</v>
      </c>
      <c r="H2464" s="8">
        <f t="shared" ref="H2464:H2530" si="189">E2464*1.5</f>
        <v>62183.352000000014</v>
      </c>
      <c r="I2464" s="9">
        <f t="shared" ref="I2464:I2530" si="190">E2464*1.6</f>
        <v>66328.908800000019</v>
      </c>
    </row>
    <row r="2465" spans="1:9" ht="15.75" customHeight="1" x14ac:dyDescent="0.4">
      <c r="B2465" s="19" t="s">
        <v>1082</v>
      </c>
      <c r="D2465" s="11">
        <v>0</v>
      </c>
      <c r="E2465" s="27">
        <f t="shared" si="186"/>
        <v>0</v>
      </c>
      <c r="F2465" s="6">
        <f t="shared" si="187"/>
        <v>0</v>
      </c>
      <c r="G2465" s="7">
        <f t="shared" si="188"/>
        <v>0</v>
      </c>
      <c r="H2465" s="8">
        <f t="shared" si="189"/>
        <v>0</v>
      </c>
      <c r="I2465" s="9">
        <f t="shared" si="190"/>
        <v>0</v>
      </c>
    </row>
    <row r="2466" spans="1:9" x14ac:dyDescent="0.35">
      <c r="A2466" s="18" t="s">
        <v>2529</v>
      </c>
      <c r="B2466" s="32" t="s">
        <v>15</v>
      </c>
      <c r="C2466" s="20">
        <v>45372</v>
      </c>
      <c r="D2466" s="11">
        <v>1197.82</v>
      </c>
      <c r="E2466" s="27">
        <f t="shared" si="186"/>
        <v>1333.4132239999999</v>
      </c>
      <c r="F2466" s="6">
        <f t="shared" si="187"/>
        <v>1733.4371911999999</v>
      </c>
      <c r="G2466" s="7">
        <f t="shared" si="188"/>
        <v>1866.7785135999998</v>
      </c>
      <c r="H2466" s="8">
        <f t="shared" si="189"/>
        <v>2000.1198359999999</v>
      </c>
      <c r="I2466" s="9">
        <f t="shared" si="190"/>
        <v>2133.4611583999999</v>
      </c>
    </row>
    <row r="2467" spans="1:9" x14ac:dyDescent="0.35">
      <c r="A2467" s="18" t="s">
        <v>2530</v>
      </c>
      <c r="B2467" s="18" t="s">
        <v>16</v>
      </c>
      <c r="C2467" s="20">
        <v>45737</v>
      </c>
      <c r="D2467" s="11">
        <v>986.44</v>
      </c>
      <c r="E2467" s="27">
        <f t="shared" si="186"/>
        <v>1098.105008</v>
      </c>
      <c r="F2467" s="6">
        <f t="shared" si="187"/>
        <v>1427.5365104</v>
      </c>
      <c r="G2467" s="7">
        <f t="shared" si="188"/>
        <v>1537.3470112</v>
      </c>
      <c r="H2467" s="8">
        <f t="shared" si="189"/>
        <v>1647.157512</v>
      </c>
      <c r="I2467" s="9">
        <f t="shared" si="190"/>
        <v>1756.9680128</v>
      </c>
    </row>
    <row r="2468" spans="1:9" ht="15.75" customHeight="1" x14ac:dyDescent="0.4">
      <c r="B2468" s="21" t="s">
        <v>1083</v>
      </c>
      <c r="D2468" s="11">
        <v>0</v>
      </c>
      <c r="E2468" s="27">
        <f t="shared" si="186"/>
        <v>0</v>
      </c>
      <c r="F2468" s="6">
        <f t="shared" si="187"/>
        <v>0</v>
      </c>
      <c r="G2468" s="7">
        <f t="shared" si="188"/>
        <v>0</v>
      </c>
      <c r="H2468" s="8">
        <f t="shared" si="189"/>
        <v>0</v>
      </c>
      <c r="I2468" s="9">
        <f t="shared" si="190"/>
        <v>0</v>
      </c>
    </row>
    <row r="2469" spans="1:9" x14ac:dyDescent="0.35">
      <c r="A2469" s="24" t="s">
        <v>2531</v>
      </c>
      <c r="B2469" s="18" t="s">
        <v>17</v>
      </c>
      <c r="C2469" s="20">
        <v>45363</v>
      </c>
      <c r="D2469" s="11">
        <v>2853</v>
      </c>
      <c r="E2469" s="27">
        <f t="shared" si="186"/>
        <v>3175.9596000000001</v>
      </c>
      <c r="F2469" s="6">
        <f t="shared" si="187"/>
        <v>4128.74748</v>
      </c>
      <c r="G2469" s="7">
        <f t="shared" si="188"/>
        <v>4446.3434399999996</v>
      </c>
      <c r="H2469" s="8">
        <f t="shared" si="189"/>
        <v>4763.9394000000002</v>
      </c>
      <c r="I2469" s="9">
        <f t="shared" si="190"/>
        <v>5081.5353600000008</v>
      </c>
    </row>
    <row r="2470" spans="1:9" x14ac:dyDescent="0.35">
      <c r="A2470" s="24" t="s">
        <v>2532</v>
      </c>
      <c r="B2470" s="18" t="s">
        <v>18</v>
      </c>
      <c r="C2470" s="20">
        <v>45363</v>
      </c>
      <c r="D2470" s="11">
        <v>2853</v>
      </c>
      <c r="E2470" s="27">
        <f t="shared" si="186"/>
        <v>3175.9596000000001</v>
      </c>
      <c r="F2470" s="6">
        <f t="shared" si="187"/>
        <v>4128.74748</v>
      </c>
      <c r="G2470" s="7">
        <f t="shared" si="188"/>
        <v>4446.3434399999996</v>
      </c>
      <c r="H2470" s="8">
        <f t="shared" si="189"/>
        <v>4763.9394000000002</v>
      </c>
      <c r="I2470" s="9">
        <f t="shared" si="190"/>
        <v>5081.5353600000008</v>
      </c>
    </row>
    <row r="2471" spans="1:9" ht="15.75" customHeight="1" x14ac:dyDescent="0.4">
      <c r="B2471" s="21" t="s">
        <v>1084</v>
      </c>
      <c r="D2471" s="11">
        <v>0</v>
      </c>
      <c r="E2471" s="27">
        <f t="shared" si="186"/>
        <v>0</v>
      </c>
      <c r="F2471" s="6">
        <f t="shared" si="187"/>
        <v>0</v>
      </c>
      <c r="G2471" s="7">
        <f t="shared" si="188"/>
        <v>0</v>
      </c>
      <c r="H2471" s="8">
        <f t="shared" si="189"/>
        <v>0</v>
      </c>
      <c r="I2471" s="9">
        <f t="shared" si="190"/>
        <v>0</v>
      </c>
    </row>
    <row r="2472" spans="1:9" x14ac:dyDescent="0.35">
      <c r="A2472" s="18" t="s">
        <v>2533</v>
      </c>
      <c r="B2472" s="18" t="s">
        <v>3399</v>
      </c>
      <c r="C2472" s="20">
        <v>45726</v>
      </c>
      <c r="D2472" s="11">
        <v>2508.462</v>
      </c>
      <c r="E2472" s="27">
        <f t="shared" si="186"/>
        <v>2792.4198984</v>
      </c>
      <c r="F2472" s="6">
        <f t="shared" si="187"/>
        <v>3630.14586792</v>
      </c>
      <c r="G2472" s="7">
        <f t="shared" si="188"/>
        <v>3909.3878577599999</v>
      </c>
      <c r="H2472" s="8">
        <f t="shared" si="189"/>
        <v>4188.6298476000002</v>
      </c>
      <c r="I2472" s="9">
        <f t="shared" si="190"/>
        <v>4467.8718374400005</v>
      </c>
    </row>
    <row r="2473" spans="1:9" x14ac:dyDescent="0.35">
      <c r="A2473" s="18" t="s">
        <v>2534</v>
      </c>
      <c r="B2473" s="18" t="s">
        <v>3400</v>
      </c>
      <c r="C2473" s="20">
        <v>45726</v>
      </c>
      <c r="D2473" s="11">
        <v>3820.5790000000002</v>
      </c>
      <c r="E2473" s="27">
        <f t="shared" si="186"/>
        <v>4253.0685428000006</v>
      </c>
      <c r="F2473" s="6">
        <f t="shared" si="187"/>
        <v>5528.9891056400011</v>
      </c>
      <c r="G2473" s="7">
        <f t="shared" si="188"/>
        <v>5954.2959599200003</v>
      </c>
      <c r="H2473" s="8">
        <f t="shared" si="189"/>
        <v>6379.6028142000014</v>
      </c>
      <c r="I2473" s="9">
        <f t="shared" si="190"/>
        <v>6804.9096684800015</v>
      </c>
    </row>
    <row r="2474" spans="1:9" x14ac:dyDescent="0.35">
      <c r="A2474" s="18" t="s">
        <v>2535</v>
      </c>
      <c r="B2474" s="18" t="s">
        <v>3401</v>
      </c>
      <c r="C2474" s="20">
        <v>45726</v>
      </c>
      <c r="D2474" s="11">
        <v>6166.7130000000006</v>
      </c>
      <c r="E2474" s="27">
        <f t="shared" si="186"/>
        <v>6864.7849116000007</v>
      </c>
      <c r="F2474" s="6">
        <f t="shared" si="187"/>
        <v>8924.2203850800015</v>
      </c>
      <c r="G2474" s="7">
        <f t="shared" si="188"/>
        <v>9610.6988762399997</v>
      </c>
      <c r="H2474" s="8">
        <f t="shared" si="189"/>
        <v>10297.177367400001</v>
      </c>
      <c r="I2474" s="9">
        <f t="shared" si="190"/>
        <v>10983.655858560001</v>
      </c>
    </row>
    <row r="2475" spans="1:9" x14ac:dyDescent="0.35">
      <c r="A2475" s="18" t="s">
        <v>3396</v>
      </c>
      <c r="B2475" s="18" t="s">
        <v>3402</v>
      </c>
      <c r="C2475" s="20">
        <v>45726</v>
      </c>
      <c r="D2475" s="11">
        <v>9512.8739999999998</v>
      </c>
      <c r="E2475" s="27">
        <f t="shared" si="186"/>
        <v>10589.731336800001</v>
      </c>
      <c r="F2475" s="6">
        <f t="shared" si="187"/>
        <v>13766.650737840002</v>
      </c>
      <c r="G2475" s="7">
        <f t="shared" si="188"/>
        <v>14825.623871520002</v>
      </c>
      <c r="H2475" s="8">
        <f t="shared" si="189"/>
        <v>15884.597005200001</v>
      </c>
      <c r="I2475" s="9">
        <f t="shared" si="190"/>
        <v>16943.570138880004</v>
      </c>
    </row>
    <row r="2476" spans="1:9" x14ac:dyDescent="0.35">
      <c r="A2476" s="18" t="s">
        <v>3397</v>
      </c>
      <c r="B2476" s="18" t="s">
        <v>3403</v>
      </c>
      <c r="C2476" s="20">
        <v>45726</v>
      </c>
      <c r="D2476" s="11">
        <v>14883.603000000001</v>
      </c>
      <c r="E2476" s="27">
        <f t="shared" si="186"/>
        <v>16568.426859600004</v>
      </c>
      <c r="F2476" s="6">
        <f t="shared" si="187"/>
        <v>21538.954917480005</v>
      </c>
      <c r="G2476" s="7">
        <f t="shared" si="188"/>
        <v>23195.797603440005</v>
      </c>
      <c r="H2476" s="8">
        <f t="shared" si="189"/>
        <v>24852.640289400006</v>
      </c>
      <c r="I2476" s="9">
        <f t="shared" si="190"/>
        <v>26509.482975360006</v>
      </c>
    </row>
    <row r="2477" spans="1:9" x14ac:dyDescent="0.35">
      <c r="A2477" s="18" t="s">
        <v>3398</v>
      </c>
      <c r="B2477" s="18" t="s">
        <v>3404</v>
      </c>
      <c r="C2477" s="20">
        <v>45726</v>
      </c>
      <c r="D2477" s="11">
        <v>25366.222000000002</v>
      </c>
      <c r="E2477" s="27">
        <f t="shared" si="186"/>
        <v>28237.678330400002</v>
      </c>
      <c r="F2477" s="6">
        <f t="shared" si="187"/>
        <v>36708.981829520002</v>
      </c>
      <c r="G2477" s="7">
        <f t="shared" si="188"/>
        <v>39532.749662560003</v>
      </c>
      <c r="H2477" s="8">
        <f t="shared" si="189"/>
        <v>42356.517495600005</v>
      </c>
      <c r="I2477" s="9">
        <f t="shared" si="190"/>
        <v>45180.285328640006</v>
      </c>
    </row>
    <row r="2478" spans="1:9" ht="15.75" customHeight="1" x14ac:dyDescent="0.4">
      <c r="B2478" s="19" t="s">
        <v>1481</v>
      </c>
      <c r="D2478" s="11">
        <v>0</v>
      </c>
      <c r="E2478" s="27">
        <f t="shared" si="186"/>
        <v>0</v>
      </c>
      <c r="F2478" s="6">
        <f t="shared" si="187"/>
        <v>0</v>
      </c>
      <c r="G2478" s="7">
        <f t="shared" si="188"/>
        <v>0</v>
      </c>
      <c r="H2478" s="8">
        <f t="shared" si="189"/>
        <v>0</v>
      </c>
      <c r="I2478" s="9">
        <f t="shared" si="190"/>
        <v>0</v>
      </c>
    </row>
    <row r="2479" spans="1:9" x14ac:dyDescent="0.35">
      <c r="A2479" s="18" t="s">
        <v>1482</v>
      </c>
      <c r="B2479" s="18" t="s">
        <v>6042</v>
      </c>
      <c r="C2479" s="20">
        <v>45511</v>
      </c>
      <c r="D2479" s="11">
        <v>4127</v>
      </c>
      <c r="E2479" s="27">
        <f t="shared" si="186"/>
        <v>4594.1764000000003</v>
      </c>
      <c r="F2479" s="6">
        <f t="shared" si="187"/>
        <v>5972.4293200000002</v>
      </c>
      <c r="G2479" s="7">
        <f t="shared" si="188"/>
        <v>6431.8469599999999</v>
      </c>
      <c r="H2479" s="8">
        <f t="shared" si="189"/>
        <v>6891.2646000000004</v>
      </c>
      <c r="I2479" s="9">
        <f t="shared" si="190"/>
        <v>7350.682240000001</v>
      </c>
    </row>
    <row r="2480" spans="1:9" x14ac:dyDescent="0.35">
      <c r="A2480" s="18" t="s">
        <v>1484</v>
      </c>
      <c r="B2480" s="18" t="s">
        <v>6043</v>
      </c>
      <c r="C2480" s="20">
        <v>45511</v>
      </c>
      <c r="D2480" s="11">
        <v>4936.9500000000007</v>
      </c>
      <c r="E2480" s="27">
        <f t="shared" si="186"/>
        <v>5495.8127400000012</v>
      </c>
      <c r="F2480" s="6">
        <f t="shared" si="187"/>
        <v>7144.5565620000016</v>
      </c>
      <c r="G2480" s="7">
        <f t="shared" si="188"/>
        <v>7694.1378360000008</v>
      </c>
      <c r="H2480" s="8">
        <f t="shared" si="189"/>
        <v>8243.7191100000018</v>
      </c>
      <c r="I2480" s="9">
        <f t="shared" si="190"/>
        <v>8793.3003840000019</v>
      </c>
    </row>
    <row r="2481" spans="1:9" x14ac:dyDescent="0.35">
      <c r="A2481" s="18" t="s">
        <v>1485</v>
      </c>
      <c r="B2481" s="18" t="s">
        <v>6044</v>
      </c>
      <c r="C2481" s="20">
        <v>45511</v>
      </c>
      <c r="D2481" s="11">
        <v>5580.9000000000005</v>
      </c>
      <c r="E2481" s="27">
        <f t="shared" si="186"/>
        <v>6212.6578800000007</v>
      </c>
      <c r="F2481" s="6">
        <f t="shared" si="187"/>
        <v>8076.4552440000016</v>
      </c>
      <c r="G2481" s="7">
        <f t="shared" si="188"/>
        <v>8697.7210319999995</v>
      </c>
      <c r="H2481" s="8">
        <f t="shared" si="189"/>
        <v>9318.9868200000019</v>
      </c>
      <c r="I2481" s="9">
        <f t="shared" si="190"/>
        <v>9940.2526080000025</v>
      </c>
    </row>
    <row r="2482" spans="1:9" x14ac:dyDescent="0.35">
      <c r="A2482" s="18" t="s">
        <v>1486</v>
      </c>
      <c r="B2482" s="18" t="s">
        <v>6045</v>
      </c>
      <c r="C2482" s="20">
        <v>45511</v>
      </c>
      <c r="D2482" s="11">
        <v>8404.0111440000019</v>
      </c>
      <c r="E2482" s="27">
        <f t="shared" si="186"/>
        <v>9355.345205500802</v>
      </c>
      <c r="F2482" s="6">
        <f t="shared" si="187"/>
        <v>12161.948767151043</v>
      </c>
      <c r="G2482" s="7">
        <f t="shared" si="188"/>
        <v>13097.483287701121</v>
      </c>
      <c r="H2482" s="8">
        <f t="shared" si="189"/>
        <v>14033.017808251203</v>
      </c>
      <c r="I2482" s="9">
        <f t="shared" si="190"/>
        <v>14968.552328801285</v>
      </c>
    </row>
    <row r="2483" spans="1:9" x14ac:dyDescent="0.35">
      <c r="E2483" s="27">
        <f t="shared" si="186"/>
        <v>0</v>
      </c>
      <c r="F2483" s="6">
        <f t="shared" si="187"/>
        <v>0</v>
      </c>
      <c r="G2483" s="7">
        <f t="shared" si="188"/>
        <v>0</v>
      </c>
      <c r="H2483" s="8">
        <f t="shared" si="189"/>
        <v>0</v>
      </c>
      <c r="I2483" s="9">
        <f t="shared" si="190"/>
        <v>0</v>
      </c>
    </row>
    <row r="2484" spans="1:9" x14ac:dyDescent="0.35">
      <c r="A2484" s="18" t="s">
        <v>3199</v>
      </c>
      <c r="B2484" s="18" t="s">
        <v>3194</v>
      </c>
      <c r="C2484" s="20">
        <v>45511</v>
      </c>
      <c r="D2484" s="11">
        <v>2833.8092999999999</v>
      </c>
      <c r="E2484" s="27">
        <f t="shared" si="186"/>
        <v>3154.5965127599998</v>
      </c>
      <c r="F2484" s="6">
        <f t="shared" si="187"/>
        <v>4100.975466588</v>
      </c>
      <c r="G2484" s="7">
        <f t="shared" si="188"/>
        <v>4416.435117863999</v>
      </c>
      <c r="H2484" s="8">
        <f t="shared" si="189"/>
        <v>4731.8947691399999</v>
      </c>
      <c r="I2484" s="9">
        <f t="shared" si="190"/>
        <v>5047.3544204159998</v>
      </c>
    </row>
    <row r="2485" spans="1:9" x14ac:dyDescent="0.35">
      <c r="A2485" s="18" t="s">
        <v>3200</v>
      </c>
      <c r="B2485" s="18" t="s">
        <v>3195</v>
      </c>
      <c r="C2485" s="20">
        <v>45511</v>
      </c>
      <c r="D2485" s="11">
        <v>3449.8548000000005</v>
      </c>
      <c r="E2485" s="27">
        <f t="shared" si="186"/>
        <v>3840.3783633600005</v>
      </c>
      <c r="F2485" s="6">
        <f t="shared" si="187"/>
        <v>4992.4918723680012</v>
      </c>
      <c r="G2485" s="7">
        <f t="shared" si="188"/>
        <v>5376.5297087040008</v>
      </c>
      <c r="H2485" s="8">
        <f t="shared" si="189"/>
        <v>5760.5675450400013</v>
      </c>
      <c r="I2485" s="9">
        <f t="shared" si="190"/>
        <v>6144.6053813760009</v>
      </c>
    </row>
    <row r="2486" spans="1:9" x14ac:dyDescent="0.35">
      <c r="A2486" s="18" t="s">
        <v>3201</v>
      </c>
      <c r="B2486" s="18" t="s">
        <v>3196</v>
      </c>
      <c r="C2486" s="20">
        <v>45511</v>
      </c>
      <c r="D2486" s="11">
        <v>4816.7460000000001</v>
      </c>
      <c r="E2486" s="27">
        <f t="shared" si="186"/>
        <v>5362.0016472000007</v>
      </c>
      <c r="F2486" s="6">
        <f t="shared" si="187"/>
        <v>6970.602141360001</v>
      </c>
      <c r="G2486" s="7">
        <f t="shared" si="188"/>
        <v>7506.8023060800006</v>
      </c>
      <c r="H2486" s="8">
        <f t="shared" si="189"/>
        <v>8043.002470800001</v>
      </c>
      <c r="I2486" s="9">
        <f t="shared" si="190"/>
        <v>8579.2026355200014</v>
      </c>
    </row>
    <row r="2487" spans="1:9" x14ac:dyDescent="0.35">
      <c r="A2487" s="18" t="s">
        <v>3202</v>
      </c>
      <c r="B2487" s="18" t="s">
        <v>3197</v>
      </c>
      <c r="C2487" s="20">
        <v>45511</v>
      </c>
      <c r="D2487" s="11">
        <v>7155</v>
      </c>
      <c r="E2487" s="27">
        <f t="shared" si="186"/>
        <v>7964.9459999999999</v>
      </c>
      <c r="F2487" s="6">
        <f t="shared" si="187"/>
        <v>10354.4298</v>
      </c>
      <c r="G2487" s="7">
        <f t="shared" si="188"/>
        <v>11150.9244</v>
      </c>
      <c r="H2487" s="8">
        <f t="shared" si="189"/>
        <v>11947.419</v>
      </c>
      <c r="I2487" s="9">
        <f t="shared" si="190"/>
        <v>12743.9136</v>
      </c>
    </row>
    <row r="2488" spans="1:9" x14ac:dyDescent="0.35">
      <c r="A2488" s="18" t="s">
        <v>3203</v>
      </c>
      <c r="B2488" s="18" t="s">
        <v>3198</v>
      </c>
      <c r="C2488" s="20">
        <v>45511</v>
      </c>
      <c r="D2488" s="11">
        <v>7870.5000000000009</v>
      </c>
      <c r="E2488" s="27">
        <f t="shared" si="186"/>
        <v>8761.4405999999999</v>
      </c>
      <c r="F2488" s="6">
        <f t="shared" si="187"/>
        <v>11389.87278</v>
      </c>
      <c r="G2488" s="7">
        <f t="shared" si="188"/>
        <v>12266.016839999998</v>
      </c>
      <c r="H2488" s="8">
        <f t="shared" si="189"/>
        <v>13142.160899999999</v>
      </c>
      <c r="I2488" s="9">
        <f t="shared" si="190"/>
        <v>14018.304960000001</v>
      </c>
    </row>
    <row r="2489" spans="1:9" x14ac:dyDescent="0.35">
      <c r="E2489" s="27">
        <f t="shared" si="186"/>
        <v>0</v>
      </c>
      <c r="F2489" s="6">
        <f t="shared" si="187"/>
        <v>0</v>
      </c>
      <c r="G2489" s="7">
        <f t="shared" si="188"/>
        <v>0</v>
      </c>
      <c r="H2489" s="8">
        <f t="shared" si="189"/>
        <v>0</v>
      </c>
      <c r="I2489" s="9">
        <f t="shared" si="190"/>
        <v>0</v>
      </c>
    </row>
    <row r="2490" spans="1:9" x14ac:dyDescent="0.35">
      <c r="A2490" s="18" t="s">
        <v>1487</v>
      </c>
      <c r="B2490" s="18" t="s">
        <v>6479</v>
      </c>
      <c r="C2490" s="20">
        <v>45511</v>
      </c>
      <c r="D2490" s="11">
        <v>13407.396750000002</v>
      </c>
      <c r="E2490" s="27">
        <f t="shared" si="186"/>
        <v>14925.114062100003</v>
      </c>
      <c r="F2490" s="6">
        <f t="shared" si="187"/>
        <v>19402.648280730005</v>
      </c>
      <c r="G2490" s="7">
        <f t="shared" si="188"/>
        <v>20895.159686940002</v>
      </c>
      <c r="H2490" s="8">
        <f t="shared" si="189"/>
        <v>22387.671093150006</v>
      </c>
      <c r="I2490" s="9">
        <f t="shared" si="190"/>
        <v>23880.182499360006</v>
      </c>
    </row>
    <row r="2491" spans="1:9" x14ac:dyDescent="0.35">
      <c r="A2491" s="18" t="s">
        <v>1488</v>
      </c>
      <c r="B2491" s="18" t="s">
        <v>1483</v>
      </c>
      <c r="C2491" s="20">
        <v>45511</v>
      </c>
      <c r="D2491" s="11">
        <v>0</v>
      </c>
      <c r="E2491" s="27">
        <f t="shared" si="186"/>
        <v>0</v>
      </c>
      <c r="F2491" s="6">
        <f t="shared" si="187"/>
        <v>0</v>
      </c>
      <c r="G2491" s="7">
        <f t="shared" si="188"/>
        <v>0</v>
      </c>
      <c r="H2491" s="8">
        <f t="shared" si="189"/>
        <v>0</v>
      </c>
      <c r="I2491" s="9">
        <f t="shared" si="190"/>
        <v>0</v>
      </c>
    </row>
    <row r="2492" spans="1:9" x14ac:dyDescent="0.35">
      <c r="A2492" s="18" t="s">
        <v>1489</v>
      </c>
      <c r="B2492" s="18" t="s">
        <v>5053</v>
      </c>
      <c r="C2492" s="20">
        <v>45511</v>
      </c>
      <c r="D2492" s="11">
        <v>6506.470800000001</v>
      </c>
      <c r="E2492" s="27">
        <f t="shared" si="186"/>
        <v>7243.0032945600015</v>
      </c>
      <c r="F2492" s="6">
        <f t="shared" si="187"/>
        <v>9415.9042829280024</v>
      </c>
      <c r="G2492" s="7">
        <f t="shared" si="188"/>
        <v>10140.204612384001</v>
      </c>
      <c r="H2492" s="8">
        <f t="shared" si="189"/>
        <v>10864.504941840001</v>
      </c>
      <c r="I2492" s="9">
        <f t="shared" si="190"/>
        <v>11588.805271296003</v>
      </c>
    </row>
    <row r="2493" spans="1:9" x14ac:dyDescent="0.35">
      <c r="A2493" s="18" t="s">
        <v>3193</v>
      </c>
      <c r="B2493" s="18" t="s">
        <v>5005</v>
      </c>
      <c r="C2493" s="20">
        <v>45511</v>
      </c>
      <c r="D2493" s="11">
        <v>10118.875752000002</v>
      </c>
      <c r="E2493" s="27">
        <f t="shared" si="186"/>
        <v>11264.332487126403</v>
      </c>
      <c r="F2493" s="6">
        <f t="shared" si="187"/>
        <v>14643.632233264325</v>
      </c>
      <c r="G2493" s="7">
        <f t="shared" si="188"/>
        <v>15770.065481976962</v>
      </c>
      <c r="H2493" s="8">
        <f t="shared" si="189"/>
        <v>16896.498730689604</v>
      </c>
      <c r="I2493" s="9">
        <f t="shared" si="190"/>
        <v>18022.931979402245</v>
      </c>
    </row>
    <row r="2494" spans="1:9" x14ac:dyDescent="0.35">
      <c r="A2494" s="36" t="s">
        <v>1490</v>
      </c>
      <c r="B2494" s="36" t="s">
        <v>5446</v>
      </c>
      <c r="C2494" s="38">
        <v>45730</v>
      </c>
      <c r="D2494" s="11">
        <v>14262.92</v>
      </c>
      <c r="E2494" s="27">
        <f t="shared" si="186"/>
        <v>15877.482544</v>
      </c>
      <c r="F2494" s="6">
        <f t="shared" si="187"/>
        <v>20640.727307200003</v>
      </c>
      <c r="G2494" s="7">
        <f t="shared" si="188"/>
        <v>22228.4755616</v>
      </c>
      <c r="H2494" s="8">
        <f t="shared" si="189"/>
        <v>23816.223816000002</v>
      </c>
      <c r="I2494" s="9">
        <f t="shared" si="190"/>
        <v>25403.972070400003</v>
      </c>
    </row>
    <row r="2495" spans="1:9" x14ac:dyDescent="0.35">
      <c r="A2495" s="36" t="s">
        <v>5629</v>
      </c>
      <c r="B2495" s="36" t="s">
        <v>5630</v>
      </c>
      <c r="C2495" s="38">
        <v>45730</v>
      </c>
      <c r="D2495" s="11">
        <v>21618.9</v>
      </c>
      <c r="E2495" s="27">
        <f t="shared" si="186"/>
        <v>24066.159480000002</v>
      </c>
      <c r="F2495" s="6">
        <f t="shared" si="187"/>
        <v>31286.007324000002</v>
      </c>
      <c r="G2495" s="7">
        <f t="shared" si="188"/>
        <v>33692.623272000004</v>
      </c>
      <c r="H2495" s="8">
        <f t="shared" si="189"/>
        <v>36099.239220000003</v>
      </c>
      <c r="I2495" s="9">
        <f t="shared" si="190"/>
        <v>38505.855168000002</v>
      </c>
    </row>
    <row r="2496" spans="1:9" ht="15.75" customHeight="1" x14ac:dyDescent="0.4">
      <c r="B2496" s="19" t="s">
        <v>385</v>
      </c>
      <c r="D2496" s="11">
        <v>0</v>
      </c>
      <c r="E2496" s="27">
        <f t="shared" si="186"/>
        <v>0</v>
      </c>
      <c r="F2496" s="6">
        <f t="shared" si="187"/>
        <v>0</v>
      </c>
      <c r="G2496" s="7">
        <f t="shared" si="188"/>
        <v>0</v>
      </c>
      <c r="H2496" s="8">
        <f t="shared" si="189"/>
        <v>0</v>
      </c>
      <c r="I2496" s="9">
        <f t="shared" si="190"/>
        <v>0</v>
      </c>
    </row>
    <row r="2497" spans="1:9" x14ac:dyDescent="0.35">
      <c r="A2497" s="18" t="s">
        <v>382</v>
      </c>
      <c r="B2497" s="18" t="s">
        <v>3278</v>
      </c>
      <c r="C2497" s="20">
        <v>45537</v>
      </c>
      <c r="D2497" s="11">
        <v>2136.5711356563211</v>
      </c>
      <c r="E2497" s="27">
        <f t="shared" si="186"/>
        <v>2378.4309882126167</v>
      </c>
      <c r="F2497" s="6">
        <f t="shared" si="187"/>
        <v>3091.9602846764019</v>
      </c>
      <c r="G2497" s="7">
        <f t="shared" si="188"/>
        <v>3329.8033834976632</v>
      </c>
      <c r="H2497" s="8">
        <f t="shared" si="189"/>
        <v>3567.6464823189253</v>
      </c>
      <c r="I2497" s="9">
        <f t="shared" si="190"/>
        <v>3805.4895811401871</v>
      </c>
    </row>
    <row r="2498" spans="1:9" x14ac:dyDescent="0.35">
      <c r="A2498" s="18" t="s">
        <v>383</v>
      </c>
      <c r="B2498" s="18" t="s">
        <v>3279</v>
      </c>
      <c r="C2498" s="20">
        <v>45537</v>
      </c>
      <c r="D2498" s="11">
        <v>3112.0657521586481</v>
      </c>
      <c r="E2498" s="27">
        <f t="shared" si="186"/>
        <v>3464.3515953030069</v>
      </c>
      <c r="F2498" s="6">
        <f t="shared" si="187"/>
        <v>4503.657073893909</v>
      </c>
      <c r="G2498" s="7">
        <f t="shared" si="188"/>
        <v>4850.0922334242096</v>
      </c>
      <c r="H2498" s="8">
        <f t="shared" si="189"/>
        <v>5196.5273929545101</v>
      </c>
      <c r="I2498" s="9">
        <f t="shared" si="190"/>
        <v>5542.9625524848116</v>
      </c>
    </row>
    <row r="2499" spans="1:9" x14ac:dyDescent="0.35">
      <c r="A2499" s="18" t="s">
        <v>384</v>
      </c>
      <c r="B2499" s="18" t="s">
        <v>3280</v>
      </c>
      <c r="C2499" s="20">
        <v>45537</v>
      </c>
      <c r="D2499" s="11">
        <v>4644.3060766159651</v>
      </c>
      <c r="E2499" s="27">
        <f t="shared" si="186"/>
        <v>5170.0415244888918</v>
      </c>
      <c r="F2499" s="6">
        <f t="shared" si="187"/>
        <v>6721.0539818355592</v>
      </c>
      <c r="G2499" s="7">
        <f t="shared" si="188"/>
        <v>7238.058134284448</v>
      </c>
      <c r="H2499" s="8">
        <f t="shared" si="189"/>
        <v>7755.0622867333377</v>
      </c>
      <c r="I2499" s="9">
        <f t="shared" si="190"/>
        <v>8272.0664391822265</v>
      </c>
    </row>
    <row r="2500" spans="1:9" x14ac:dyDescent="0.35">
      <c r="A2500" s="18" t="s">
        <v>4576</v>
      </c>
      <c r="B2500" s="18" t="s">
        <v>4579</v>
      </c>
      <c r="C2500" s="20">
        <v>45537</v>
      </c>
      <c r="D2500" s="11">
        <v>7035.9333656602075</v>
      </c>
      <c r="E2500" s="27">
        <f t="shared" si="186"/>
        <v>7832.4010226529426</v>
      </c>
      <c r="F2500" s="6">
        <f t="shared" si="187"/>
        <v>10182.121329448826</v>
      </c>
      <c r="G2500" s="7">
        <f t="shared" si="188"/>
        <v>10965.361431714118</v>
      </c>
      <c r="H2500" s="8">
        <f t="shared" si="189"/>
        <v>11748.601533979414</v>
      </c>
      <c r="I2500" s="9">
        <f t="shared" si="190"/>
        <v>12531.84163624471</v>
      </c>
    </row>
    <row r="2501" spans="1:9" x14ac:dyDescent="0.35">
      <c r="A2501" s="18" t="s">
        <v>4577</v>
      </c>
      <c r="B2501" s="18" t="s">
        <v>4580</v>
      </c>
      <c r="C2501" s="20">
        <v>45537</v>
      </c>
      <c r="D2501" s="11">
        <v>8504.4096517705475</v>
      </c>
      <c r="E2501" s="27">
        <f t="shared" si="186"/>
        <v>9467.1088243509748</v>
      </c>
      <c r="F2501" s="6">
        <f t="shared" si="187"/>
        <v>12307.241471656267</v>
      </c>
      <c r="G2501" s="7">
        <f t="shared" si="188"/>
        <v>13253.952354091363</v>
      </c>
      <c r="H2501" s="8">
        <f t="shared" si="189"/>
        <v>14200.663236526463</v>
      </c>
      <c r="I2501" s="9">
        <f t="shared" si="190"/>
        <v>15147.374118961561</v>
      </c>
    </row>
    <row r="2502" spans="1:9" x14ac:dyDescent="0.35">
      <c r="A2502" s="18" t="s">
        <v>4578</v>
      </c>
      <c r="B2502" s="18" t="s">
        <v>4671</v>
      </c>
      <c r="C2502" s="20">
        <v>45537</v>
      </c>
      <c r="D2502" s="11">
        <v>13038.318288860393</v>
      </c>
      <c r="E2502" s="27">
        <f t="shared" si="186"/>
        <v>14514.25591915939</v>
      </c>
      <c r="F2502" s="6">
        <f t="shared" si="187"/>
        <v>18868.532694907208</v>
      </c>
      <c r="G2502" s="7">
        <f t="shared" si="188"/>
        <v>20319.958286823145</v>
      </c>
      <c r="H2502" s="8">
        <f t="shared" si="189"/>
        <v>21771.383878739085</v>
      </c>
      <c r="I2502" s="9">
        <f t="shared" si="190"/>
        <v>23222.809470655026</v>
      </c>
    </row>
    <row r="2503" spans="1:9" x14ac:dyDescent="0.35">
      <c r="A2503" s="18" t="s">
        <v>386</v>
      </c>
      <c r="B2503" s="18" t="s">
        <v>3405</v>
      </c>
      <c r="C2503" s="20">
        <v>45537</v>
      </c>
      <c r="D2503" s="11">
        <v>2598.1466371232768</v>
      </c>
      <c r="E2503" s="27">
        <f t="shared" si="186"/>
        <v>2892.256836445632</v>
      </c>
      <c r="F2503" s="6">
        <f t="shared" si="187"/>
        <v>3759.9338873793217</v>
      </c>
      <c r="G2503" s="7">
        <f t="shared" si="188"/>
        <v>4049.1595710238844</v>
      </c>
      <c r="H2503" s="8">
        <f t="shared" si="189"/>
        <v>4338.3852546684484</v>
      </c>
      <c r="I2503" s="9">
        <f t="shared" si="190"/>
        <v>4627.6109383130115</v>
      </c>
    </row>
    <row r="2504" spans="1:9" x14ac:dyDescent="0.35">
      <c r="A2504" s="18" t="s">
        <v>387</v>
      </c>
      <c r="B2504" s="18" t="s">
        <v>3406</v>
      </c>
      <c r="C2504" s="20">
        <v>45537</v>
      </c>
      <c r="D2504" s="11">
        <v>3762.0782624719072</v>
      </c>
      <c r="E2504" s="27">
        <f t="shared" si="186"/>
        <v>4187.9455217837276</v>
      </c>
      <c r="F2504" s="6">
        <f t="shared" si="187"/>
        <v>5444.3291783188461</v>
      </c>
      <c r="G2504" s="7">
        <f t="shared" si="188"/>
        <v>5863.1237304972183</v>
      </c>
      <c r="H2504" s="8">
        <f t="shared" si="189"/>
        <v>6281.9182826755914</v>
      </c>
      <c r="I2504" s="9">
        <f t="shared" si="190"/>
        <v>6700.7128348539645</v>
      </c>
    </row>
    <row r="2505" spans="1:9" x14ac:dyDescent="0.35">
      <c r="A2505" s="18" t="s">
        <v>388</v>
      </c>
      <c r="B2505" s="18" t="s">
        <v>3407</v>
      </c>
      <c r="C2505" s="20">
        <v>45537</v>
      </c>
      <c r="D2505" s="11">
        <v>5627.4143096373336</v>
      </c>
      <c r="E2505" s="27">
        <f t="shared" si="186"/>
        <v>6264.43760948828</v>
      </c>
      <c r="F2505" s="6">
        <f t="shared" si="187"/>
        <v>8143.7688923347641</v>
      </c>
      <c r="G2505" s="7">
        <f t="shared" si="188"/>
        <v>8770.2126532835919</v>
      </c>
      <c r="H2505" s="8">
        <f t="shared" si="189"/>
        <v>9396.6564142324205</v>
      </c>
      <c r="I2505" s="9">
        <f t="shared" si="190"/>
        <v>10023.100175181249</v>
      </c>
    </row>
    <row r="2506" spans="1:9" s="10" customFormat="1" ht="15.75" customHeight="1" x14ac:dyDescent="0.4">
      <c r="B2506" s="19" t="s">
        <v>2971</v>
      </c>
      <c r="C2506" s="20"/>
      <c r="D2506" s="11">
        <v>0</v>
      </c>
      <c r="E2506" s="27">
        <f t="shared" si="186"/>
        <v>0</v>
      </c>
      <c r="F2506" s="6">
        <f t="shared" si="187"/>
        <v>0</v>
      </c>
      <c r="G2506" s="7">
        <f t="shared" si="188"/>
        <v>0</v>
      </c>
      <c r="H2506" s="8">
        <f t="shared" si="189"/>
        <v>0</v>
      </c>
      <c r="I2506" s="9">
        <f t="shared" si="190"/>
        <v>0</v>
      </c>
    </row>
    <row r="2507" spans="1:9" x14ac:dyDescent="0.35">
      <c r="A2507" s="18" t="s">
        <v>2972</v>
      </c>
      <c r="B2507" s="18" t="s">
        <v>5062</v>
      </c>
      <c r="C2507" s="20">
        <v>45649</v>
      </c>
      <c r="D2507" s="11">
        <v>13528.379367621092</v>
      </c>
      <c r="E2507" s="27">
        <f t="shared" si="186"/>
        <v>15059.791912035798</v>
      </c>
      <c r="F2507" s="6">
        <f t="shared" si="187"/>
        <v>19577.729485646538</v>
      </c>
      <c r="G2507" s="7">
        <f t="shared" si="188"/>
        <v>21083.708676850118</v>
      </c>
      <c r="H2507" s="8">
        <f t="shared" si="189"/>
        <v>22589.687868053697</v>
      </c>
      <c r="I2507" s="9">
        <f t="shared" si="190"/>
        <v>24095.667059257277</v>
      </c>
    </row>
    <row r="2508" spans="1:9" x14ac:dyDescent="0.35">
      <c r="A2508" s="18" t="s">
        <v>2973</v>
      </c>
      <c r="B2508" s="18" t="s">
        <v>5063</v>
      </c>
      <c r="C2508" s="20">
        <v>45649</v>
      </c>
      <c r="D2508" s="11">
        <v>25030.562965877238</v>
      </c>
      <c r="E2508" s="27">
        <f t="shared" ref="E2508:E2571" si="191">D2508*1.21*0.92</f>
        <v>27864.022693614541</v>
      </c>
      <c r="F2508" s="6">
        <f t="shared" si="187"/>
        <v>36223.229501698901</v>
      </c>
      <c r="G2508" s="7">
        <f t="shared" si="188"/>
        <v>39009.631771060354</v>
      </c>
      <c r="H2508" s="8">
        <f t="shared" si="189"/>
        <v>41796.034040421815</v>
      </c>
      <c r="I2508" s="9">
        <f t="shared" si="190"/>
        <v>44582.436309783268</v>
      </c>
    </row>
    <row r="2509" spans="1:9" x14ac:dyDescent="0.35">
      <c r="A2509" s="18" t="s">
        <v>2974</v>
      </c>
      <c r="B2509" s="18" t="s">
        <v>5064</v>
      </c>
      <c r="C2509" s="20">
        <v>45649</v>
      </c>
      <c r="D2509" s="11">
        <v>35501.215392456834</v>
      </c>
      <c r="E2509" s="27">
        <f t="shared" si="191"/>
        <v>39519.952974882945</v>
      </c>
      <c r="F2509" s="6">
        <f t="shared" si="187"/>
        <v>51375.938867347832</v>
      </c>
      <c r="G2509" s="7">
        <f t="shared" si="188"/>
        <v>55327.934164836122</v>
      </c>
      <c r="H2509" s="8">
        <f t="shared" si="189"/>
        <v>59279.92946232442</v>
      </c>
      <c r="I2509" s="9">
        <f t="shared" si="190"/>
        <v>63231.924759812711</v>
      </c>
    </row>
    <row r="2510" spans="1:9" x14ac:dyDescent="0.35">
      <c r="A2510" s="18" t="s">
        <v>3263</v>
      </c>
      <c r="B2510" s="18" t="s">
        <v>5065</v>
      </c>
      <c r="C2510" s="20">
        <v>45649</v>
      </c>
      <c r="D2510" s="11">
        <v>57466.030549685951</v>
      </c>
      <c r="E2510" s="27">
        <f t="shared" si="191"/>
        <v>63971.185207910406</v>
      </c>
      <c r="F2510" s="6">
        <f t="shared" si="187"/>
        <v>83162.540770283536</v>
      </c>
      <c r="G2510" s="7">
        <f t="shared" si="188"/>
        <v>89559.659291074568</v>
      </c>
      <c r="H2510" s="8">
        <f t="shared" si="189"/>
        <v>95956.777811865613</v>
      </c>
      <c r="I2510" s="9">
        <f t="shared" si="190"/>
        <v>102353.89633265666</v>
      </c>
    </row>
    <row r="2511" spans="1:9" x14ac:dyDescent="0.35">
      <c r="A2511" s="18" t="s">
        <v>3264</v>
      </c>
      <c r="B2511" s="18" t="s">
        <v>5066</v>
      </c>
      <c r="C2511" s="20">
        <v>45649</v>
      </c>
      <c r="D2511" s="11">
        <v>80280.629043504465</v>
      </c>
      <c r="E2511" s="27">
        <f t="shared" si="191"/>
        <v>89368.396251229176</v>
      </c>
      <c r="F2511" s="6">
        <f t="shared" si="187"/>
        <v>116178.91512659793</v>
      </c>
      <c r="G2511" s="7">
        <f t="shared" si="188"/>
        <v>125115.75475172084</v>
      </c>
      <c r="H2511" s="8">
        <f t="shared" si="189"/>
        <v>134052.59437684377</v>
      </c>
      <c r="I2511" s="9">
        <f t="shared" si="190"/>
        <v>142989.4340019667</v>
      </c>
    </row>
    <row r="2512" spans="1:9" x14ac:dyDescent="0.35">
      <c r="A2512" s="18" t="s">
        <v>3265</v>
      </c>
      <c r="B2512" s="18" t="s">
        <v>5067</v>
      </c>
      <c r="C2512" s="20">
        <v>45649</v>
      </c>
      <c r="D2512" s="11">
        <v>136607.48807522544</v>
      </c>
      <c r="E2512" s="27">
        <f t="shared" si="191"/>
        <v>152071.45572534096</v>
      </c>
      <c r="F2512" s="6">
        <f t="shared" si="187"/>
        <v>197692.89244294327</v>
      </c>
      <c r="G2512" s="7">
        <f t="shared" si="188"/>
        <v>212900.03801547733</v>
      </c>
      <c r="H2512" s="8">
        <f t="shared" si="189"/>
        <v>228107.18358801142</v>
      </c>
      <c r="I2512" s="9">
        <f t="shared" si="190"/>
        <v>243314.32916054555</v>
      </c>
    </row>
    <row r="2513" spans="1:9" ht="15.75" customHeight="1" x14ac:dyDescent="0.4">
      <c r="B2513" s="19" t="s">
        <v>1085</v>
      </c>
      <c r="D2513" s="11">
        <v>0</v>
      </c>
      <c r="E2513" s="27">
        <f t="shared" si="191"/>
        <v>0</v>
      </c>
      <c r="F2513" s="6">
        <f t="shared" si="187"/>
        <v>0</v>
      </c>
      <c r="G2513" s="7">
        <f t="shared" si="188"/>
        <v>0</v>
      </c>
      <c r="H2513" s="8">
        <f t="shared" si="189"/>
        <v>0</v>
      </c>
      <c r="I2513" s="9">
        <f t="shared" si="190"/>
        <v>0</v>
      </c>
    </row>
    <row r="2514" spans="1:9" x14ac:dyDescent="0.35">
      <c r="A2514" s="18" t="s">
        <v>2536</v>
      </c>
      <c r="B2514" s="18" t="s">
        <v>19</v>
      </c>
      <c r="C2514" s="20">
        <v>45363</v>
      </c>
      <c r="D2514" s="11">
        <v>1799.4663596945868</v>
      </c>
      <c r="E2514" s="27">
        <f t="shared" si="191"/>
        <v>2003.1659516120142</v>
      </c>
      <c r="F2514" s="6">
        <f t="shared" si="187"/>
        <v>2604.1157370956184</v>
      </c>
      <c r="G2514" s="7">
        <f t="shared" si="188"/>
        <v>2804.4323322568198</v>
      </c>
      <c r="H2514" s="8">
        <f t="shared" si="189"/>
        <v>3004.7489274180211</v>
      </c>
      <c r="I2514" s="9">
        <f t="shared" si="190"/>
        <v>3205.0655225792229</v>
      </c>
    </row>
    <row r="2515" spans="1:9" x14ac:dyDescent="0.35">
      <c r="A2515" s="18" t="s">
        <v>408</v>
      </c>
      <c r="B2515" s="18" t="s">
        <v>411</v>
      </c>
      <c r="C2515" s="20">
        <v>45363</v>
      </c>
      <c r="D2515" s="11">
        <v>2472.0739122704867</v>
      </c>
      <c r="E2515" s="27">
        <f t="shared" si="191"/>
        <v>2751.9126791395061</v>
      </c>
      <c r="F2515" s="6">
        <f t="shared" si="187"/>
        <v>3577.4864828813579</v>
      </c>
      <c r="G2515" s="7">
        <f t="shared" si="188"/>
        <v>3852.6777507953084</v>
      </c>
      <c r="H2515" s="8">
        <f t="shared" si="189"/>
        <v>4127.8690187092589</v>
      </c>
      <c r="I2515" s="9">
        <f t="shared" si="190"/>
        <v>4403.0602866232102</v>
      </c>
    </row>
    <row r="2516" spans="1:9" x14ac:dyDescent="0.35">
      <c r="A2516" s="18" t="s">
        <v>409</v>
      </c>
      <c r="B2516" s="18" t="s">
        <v>412</v>
      </c>
      <c r="C2516" s="20">
        <v>45363</v>
      </c>
      <c r="D2516" s="11">
        <v>1736.327189178988</v>
      </c>
      <c r="E2516" s="27">
        <f t="shared" si="191"/>
        <v>1932.8794269940495</v>
      </c>
      <c r="F2516" s="6">
        <f t="shared" si="187"/>
        <v>2512.7432550922645</v>
      </c>
      <c r="G2516" s="7">
        <f t="shared" si="188"/>
        <v>2706.031197791669</v>
      </c>
      <c r="H2516" s="8">
        <f t="shared" si="189"/>
        <v>2899.319140491074</v>
      </c>
      <c r="I2516" s="9">
        <f t="shared" si="190"/>
        <v>3092.6070831904794</v>
      </c>
    </row>
    <row r="2517" spans="1:9" x14ac:dyDescent="0.35">
      <c r="A2517" s="18" t="s">
        <v>410</v>
      </c>
      <c r="B2517" s="18" t="s">
        <v>413</v>
      </c>
      <c r="C2517" s="20">
        <v>45363</v>
      </c>
      <c r="D2517" s="11">
        <v>2334.3954432295277</v>
      </c>
      <c r="E2517" s="27">
        <f t="shared" si="191"/>
        <v>2598.6490074031103</v>
      </c>
      <c r="F2517" s="6">
        <f t="shared" si="187"/>
        <v>3378.2437096240437</v>
      </c>
      <c r="G2517" s="7">
        <f t="shared" si="188"/>
        <v>3638.1086103643543</v>
      </c>
      <c r="H2517" s="8">
        <f t="shared" si="189"/>
        <v>3897.9735111046657</v>
      </c>
      <c r="I2517" s="9">
        <f t="shared" si="190"/>
        <v>4157.8384118449767</v>
      </c>
    </row>
    <row r="2518" spans="1:9" ht="15.75" customHeight="1" x14ac:dyDescent="0.4">
      <c r="B2518" s="19" t="s">
        <v>1086</v>
      </c>
      <c r="D2518" s="11">
        <v>0</v>
      </c>
      <c r="E2518" s="27">
        <f t="shared" si="191"/>
        <v>0</v>
      </c>
      <c r="F2518" s="6">
        <f t="shared" si="187"/>
        <v>0</v>
      </c>
      <c r="G2518" s="7">
        <f t="shared" si="188"/>
        <v>0</v>
      </c>
      <c r="H2518" s="8">
        <f t="shared" si="189"/>
        <v>0</v>
      </c>
      <c r="I2518" s="9">
        <f t="shared" si="190"/>
        <v>0</v>
      </c>
    </row>
    <row r="2519" spans="1:9" x14ac:dyDescent="0.35">
      <c r="A2519" s="18" t="s">
        <v>2537</v>
      </c>
      <c r="B2519" s="18" t="s">
        <v>21</v>
      </c>
      <c r="C2519" s="20">
        <v>45649</v>
      </c>
      <c r="D2519" s="11">
        <v>74.266277432219709</v>
      </c>
      <c r="E2519" s="27">
        <f t="shared" si="191"/>
        <v>82.673220037546983</v>
      </c>
      <c r="F2519" s="6">
        <f t="shared" si="187"/>
        <v>107.47518604881108</v>
      </c>
      <c r="G2519" s="7">
        <f t="shared" si="188"/>
        <v>115.74250805256577</v>
      </c>
      <c r="H2519" s="8">
        <f t="shared" si="189"/>
        <v>124.00983005632048</v>
      </c>
      <c r="I2519" s="9">
        <f t="shared" si="190"/>
        <v>132.27715206007517</v>
      </c>
    </row>
    <row r="2520" spans="1:9" x14ac:dyDescent="0.35">
      <c r="A2520" s="18" t="s">
        <v>2538</v>
      </c>
      <c r="B2520" s="24" t="s">
        <v>20</v>
      </c>
      <c r="C2520" s="20">
        <v>45649</v>
      </c>
      <c r="D2520" s="11">
        <v>68.012275122138007</v>
      </c>
      <c r="E2520" s="27">
        <f t="shared" si="191"/>
        <v>75.711264665964023</v>
      </c>
      <c r="F2520" s="6">
        <f t="shared" si="187"/>
        <v>98.424644065753228</v>
      </c>
      <c r="G2520" s="7">
        <f t="shared" si="188"/>
        <v>105.99577053234962</v>
      </c>
      <c r="H2520" s="8">
        <f t="shared" si="189"/>
        <v>113.56689699894604</v>
      </c>
      <c r="I2520" s="9">
        <f t="shared" si="190"/>
        <v>121.13802346554245</v>
      </c>
    </row>
    <row r="2521" spans="1:9" x14ac:dyDescent="0.35">
      <c r="A2521" s="18" t="s">
        <v>3080</v>
      </c>
      <c r="B2521" s="18" t="s">
        <v>22</v>
      </c>
      <c r="C2521" s="20">
        <v>45649</v>
      </c>
      <c r="D2521" s="11">
        <v>68.012275122138007</v>
      </c>
      <c r="E2521" s="27">
        <f t="shared" si="191"/>
        <v>75.711264665964023</v>
      </c>
      <c r="F2521" s="6">
        <f t="shared" si="187"/>
        <v>98.424644065753228</v>
      </c>
      <c r="G2521" s="7">
        <f t="shared" si="188"/>
        <v>105.99577053234962</v>
      </c>
      <c r="H2521" s="8">
        <f t="shared" si="189"/>
        <v>113.56689699894604</v>
      </c>
      <c r="I2521" s="9">
        <f t="shared" si="190"/>
        <v>121.13802346554245</v>
      </c>
    </row>
    <row r="2522" spans="1:9" x14ac:dyDescent="0.35">
      <c r="A2522" s="18" t="s">
        <v>3081</v>
      </c>
      <c r="B2522" s="18" t="s">
        <v>937</v>
      </c>
      <c r="C2522" s="20">
        <v>45649</v>
      </c>
      <c r="D2522" s="11">
        <v>190.52423788144617</v>
      </c>
      <c r="E2522" s="27">
        <f t="shared" si="191"/>
        <v>212.09158160962588</v>
      </c>
      <c r="F2522" s="6">
        <f t="shared" si="187"/>
        <v>275.71905609251365</v>
      </c>
      <c r="G2522" s="7">
        <f t="shared" si="188"/>
        <v>296.9282142534762</v>
      </c>
      <c r="H2522" s="8">
        <f t="shared" si="189"/>
        <v>318.1373724144388</v>
      </c>
      <c r="I2522" s="9">
        <f t="shared" si="190"/>
        <v>339.3465305754014</v>
      </c>
    </row>
    <row r="2523" spans="1:9" x14ac:dyDescent="0.35">
      <c r="A2523" s="18" t="s">
        <v>2975</v>
      </c>
      <c r="B2523" s="18" t="s">
        <v>4986</v>
      </c>
      <c r="C2523" s="20">
        <v>45649</v>
      </c>
      <c r="D2523" s="11">
        <v>418.35647430720002</v>
      </c>
      <c r="E2523" s="27">
        <f t="shared" si="191"/>
        <v>465.71442719877507</v>
      </c>
      <c r="F2523" s="6">
        <f t="shared" si="187"/>
        <v>605.42875535840756</v>
      </c>
      <c r="G2523" s="7">
        <f t="shared" si="188"/>
        <v>652.00019807828505</v>
      </c>
      <c r="H2523" s="8">
        <f t="shared" si="189"/>
        <v>698.57164079816266</v>
      </c>
      <c r="I2523" s="9">
        <f t="shared" si="190"/>
        <v>745.14308351804016</v>
      </c>
    </row>
    <row r="2524" spans="1:9" ht="18" x14ac:dyDescent="0.4">
      <c r="B2524" s="19" t="s">
        <v>6705</v>
      </c>
      <c r="D2524" s="11">
        <v>0</v>
      </c>
      <c r="E2524" s="27">
        <f t="shared" si="191"/>
        <v>0</v>
      </c>
      <c r="F2524" s="6">
        <f t="shared" si="187"/>
        <v>0</v>
      </c>
      <c r="G2524" s="7">
        <f t="shared" si="188"/>
        <v>0</v>
      </c>
      <c r="H2524" s="8">
        <f t="shared" si="189"/>
        <v>0</v>
      </c>
      <c r="I2524" s="9">
        <f t="shared" si="190"/>
        <v>0</v>
      </c>
    </row>
    <row r="2525" spans="1:9" x14ac:dyDescent="0.35">
      <c r="A2525" s="18" t="s">
        <v>6703</v>
      </c>
      <c r="B2525" s="18" t="s">
        <v>6706</v>
      </c>
      <c r="C2525" s="20">
        <v>45605</v>
      </c>
      <c r="D2525" s="11">
        <v>1066.5</v>
      </c>
      <c r="E2525" s="27">
        <f t="shared" si="191"/>
        <v>1187.2277999999999</v>
      </c>
      <c r="F2525" s="6">
        <f t="shared" si="187"/>
        <v>1543.3961399999998</v>
      </c>
      <c r="G2525" s="7">
        <f t="shared" si="188"/>
        <v>1662.1189199999997</v>
      </c>
      <c r="H2525" s="8">
        <f t="shared" si="189"/>
        <v>1780.8416999999999</v>
      </c>
      <c r="I2525" s="9">
        <f t="shared" si="190"/>
        <v>1899.56448</v>
      </c>
    </row>
    <row r="2526" spans="1:9" x14ac:dyDescent="0.35">
      <c r="A2526" s="18" t="s">
        <v>6704</v>
      </c>
      <c r="B2526" s="18" t="s">
        <v>6707</v>
      </c>
      <c r="C2526" s="20">
        <v>45605</v>
      </c>
      <c r="D2526" s="11">
        <v>999</v>
      </c>
      <c r="E2526" s="27">
        <f t="shared" si="191"/>
        <v>1112.0868</v>
      </c>
      <c r="F2526" s="6">
        <f t="shared" si="187"/>
        <v>1445.7128400000001</v>
      </c>
      <c r="G2526" s="7">
        <f t="shared" si="188"/>
        <v>1556.9215199999999</v>
      </c>
      <c r="H2526" s="8">
        <f t="shared" si="189"/>
        <v>1668.1302000000001</v>
      </c>
      <c r="I2526" s="9">
        <f t="shared" si="190"/>
        <v>1779.3388800000002</v>
      </c>
    </row>
    <row r="2527" spans="1:9" ht="18" x14ac:dyDescent="0.4">
      <c r="B2527" s="19" t="s">
        <v>3393</v>
      </c>
      <c r="D2527" s="11">
        <v>0</v>
      </c>
      <c r="E2527" s="27">
        <f t="shared" si="191"/>
        <v>0</v>
      </c>
      <c r="F2527" s="6">
        <f t="shared" si="187"/>
        <v>0</v>
      </c>
      <c r="G2527" s="7">
        <f t="shared" si="188"/>
        <v>0</v>
      </c>
      <c r="H2527" s="8">
        <f t="shared" si="189"/>
        <v>0</v>
      </c>
      <c r="I2527" s="9">
        <f t="shared" si="190"/>
        <v>0</v>
      </c>
    </row>
    <row r="2528" spans="1:9" x14ac:dyDescent="0.35">
      <c r="A2528" s="18" t="s">
        <v>3391</v>
      </c>
      <c r="B2528" s="18" t="s">
        <v>3394</v>
      </c>
      <c r="C2528" s="20">
        <v>45692</v>
      </c>
      <c r="D2528" s="11">
        <v>5267.7</v>
      </c>
      <c r="E2528" s="27">
        <f t="shared" si="191"/>
        <v>5864.0036399999999</v>
      </c>
      <c r="F2528" s="6">
        <f t="shared" si="187"/>
        <v>7623.2047320000001</v>
      </c>
      <c r="G2528" s="7">
        <f t="shared" si="188"/>
        <v>8209.6050959999993</v>
      </c>
      <c r="H2528" s="8">
        <f t="shared" si="189"/>
        <v>8796.0054600000003</v>
      </c>
      <c r="I2528" s="9">
        <f t="shared" si="190"/>
        <v>9382.4058239999995</v>
      </c>
    </row>
    <row r="2529" spans="1:9" x14ac:dyDescent="0.35">
      <c r="A2529" s="18" t="s">
        <v>3392</v>
      </c>
      <c r="B2529" s="18" t="s">
        <v>3395</v>
      </c>
      <c r="C2529" s="20">
        <v>45692</v>
      </c>
      <c r="D2529" s="11">
        <v>4694.8999999999996</v>
      </c>
      <c r="E2529" s="27">
        <f t="shared" si="191"/>
        <v>5226.3626800000002</v>
      </c>
      <c r="F2529" s="6">
        <f t="shared" si="187"/>
        <v>6794.2714840000008</v>
      </c>
      <c r="G2529" s="7">
        <f t="shared" si="188"/>
        <v>7316.9077520000001</v>
      </c>
      <c r="H2529" s="8">
        <f t="shared" si="189"/>
        <v>7839.5440200000003</v>
      </c>
      <c r="I2529" s="9">
        <f t="shared" si="190"/>
        <v>8362.1802880000014</v>
      </c>
    </row>
    <row r="2530" spans="1:9" ht="15.75" customHeight="1" x14ac:dyDescent="0.4">
      <c r="B2530" s="19" t="s">
        <v>1020</v>
      </c>
      <c r="D2530" s="11">
        <v>0</v>
      </c>
      <c r="E2530" s="27">
        <f t="shared" si="191"/>
        <v>0</v>
      </c>
      <c r="F2530" s="6">
        <f t="shared" si="187"/>
        <v>0</v>
      </c>
      <c r="G2530" s="7">
        <f t="shared" si="188"/>
        <v>0</v>
      </c>
      <c r="H2530" s="8">
        <f t="shared" si="189"/>
        <v>0</v>
      </c>
      <c r="I2530" s="9">
        <f t="shared" si="190"/>
        <v>0</v>
      </c>
    </row>
    <row r="2531" spans="1:9" x14ac:dyDescent="0.35">
      <c r="A2531" s="18" t="s">
        <v>3082</v>
      </c>
      <c r="B2531" s="18" t="s">
        <v>938</v>
      </c>
      <c r="C2531" s="20">
        <v>45547</v>
      </c>
      <c r="D2531" s="11">
        <v>3515.4</v>
      </c>
      <c r="E2531" s="27">
        <f t="shared" si="191"/>
        <v>3913.34328</v>
      </c>
      <c r="F2531" s="6">
        <f t="shared" ref="F2531:F2596" si="192">E2531*1.3</f>
        <v>5087.3462639999998</v>
      </c>
      <c r="G2531" s="7">
        <f t="shared" ref="G2531:G2596" si="193">E2531*1.4</f>
        <v>5478.6805919999997</v>
      </c>
      <c r="H2531" s="8">
        <f t="shared" ref="H2531:H2596" si="194">E2531*1.5</f>
        <v>5870.0149199999996</v>
      </c>
      <c r="I2531" s="9">
        <f t="shared" ref="I2531:I2596" si="195">E2531*1.6</f>
        <v>6261.3492480000004</v>
      </c>
    </row>
    <row r="2532" spans="1:9" ht="15.75" customHeight="1" x14ac:dyDescent="0.4">
      <c r="B2532" s="19" t="s">
        <v>1087</v>
      </c>
      <c r="D2532" s="11">
        <v>0</v>
      </c>
      <c r="E2532" s="27">
        <f t="shared" si="191"/>
        <v>0</v>
      </c>
      <c r="F2532" s="6">
        <f t="shared" si="192"/>
        <v>0</v>
      </c>
      <c r="G2532" s="7">
        <f t="shared" si="193"/>
        <v>0</v>
      </c>
      <c r="H2532" s="8">
        <f t="shared" si="194"/>
        <v>0</v>
      </c>
      <c r="I2532" s="9">
        <f t="shared" si="195"/>
        <v>0</v>
      </c>
    </row>
    <row r="2533" spans="1:9" x14ac:dyDescent="0.35">
      <c r="A2533" s="24" t="s">
        <v>3083</v>
      </c>
      <c r="B2533" s="18" t="s">
        <v>4791</v>
      </c>
      <c r="C2533" s="20">
        <v>45713</v>
      </c>
      <c r="D2533" s="11">
        <v>1537.22</v>
      </c>
      <c r="E2533" s="27">
        <f t="shared" si="191"/>
        <v>1711.2333040000001</v>
      </c>
      <c r="F2533" s="6">
        <f t="shared" si="192"/>
        <v>2224.6032952</v>
      </c>
      <c r="G2533" s="7">
        <f t="shared" si="193"/>
        <v>2395.7266255999998</v>
      </c>
      <c r="H2533" s="8">
        <f t="shared" si="194"/>
        <v>2566.849956</v>
      </c>
      <c r="I2533" s="9">
        <f t="shared" si="195"/>
        <v>2737.9732864000002</v>
      </c>
    </row>
    <row r="2534" spans="1:9" x14ac:dyDescent="0.35">
      <c r="A2534" s="24" t="s">
        <v>3084</v>
      </c>
      <c r="B2534" s="18" t="s">
        <v>4792</v>
      </c>
      <c r="C2534" s="20">
        <v>45713</v>
      </c>
      <c r="D2534" s="11">
        <v>1711.23</v>
      </c>
      <c r="E2534" s="27">
        <f t="shared" si="191"/>
        <v>1904.9412359999999</v>
      </c>
      <c r="F2534" s="6">
        <f t="shared" si="192"/>
        <v>2476.4236068</v>
      </c>
      <c r="G2534" s="7">
        <f t="shared" si="193"/>
        <v>2666.9177303999995</v>
      </c>
      <c r="H2534" s="8">
        <f t="shared" si="194"/>
        <v>2857.4118539999999</v>
      </c>
      <c r="I2534" s="9">
        <f t="shared" si="195"/>
        <v>3047.9059775999999</v>
      </c>
    </row>
    <row r="2535" spans="1:9" x14ac:dyDescent="0.35">
      <c r="A2535" s="24" t="s">
        <v>3086</v>
      </c>
      <c r="B2535" s="18" t="s">
        <v>940</v>
      </c>
      <c r="C2535" s="20">
        <v>45363</v>
      </c>
      <c r="D2535" s="11">
        <v>0</v>
      </c>
      <c r="E2535" s="27">
        <f t="shared" si="191"/>
        <v>0</v>
      </c>
      <c r="F2535" s="6">
        <f t="shared" si="192"/>
        <v>0</v>
      </c>
      <c r="G2535" s="7">
        <f t="shared" si="193"/>
        <v>0</v>
      </c>
      <c r="H2535" s="8">
        <f t="shared" si="194"/>
        <v>0</v>
      </c>
      <c r="I2535" s="9">
        <f t="shared" si="195"/>
        <v>0</v>
      </c>
    </row>
    <row r="2536" spans="1:9" x14ac:dyDescent="0.35">
      <c r="A2536" s="18" t="s">
        <v>2976</v>
      </c>
      <c r="B2536" s="18" t="s">
        <v>4721</v>
      </c>
      <c r="C2536" s="20">
        <v>45363</v>
      </c>
      <c r="D2536" s="11">
        <v>0</v>
      </c>
      <c r="E2536" s="27">
        <f t="shared" si="191"/>
        <v>0</v>
      </c>
      <c r="F2536" s="6">
        <f t="shared" si="192"/>
        <v>0</v>
      </c>
      <c r="G2536" s="7">
        <f t="shared" si="193"/>
        <v>0</v>
      </c>
      <c r="H2536" s="8">
        <f t="shared" si="194"/>
        <v>0</v>
      </c>
      <c r="I2536" s="9">
        <f t="shared" si="195"/>
        <v>0</v>
      </c>
    </row>
    <row r="2537" spans="1:9" x14ac:dyDescent="0.35">
      <c r="A2537" s="18" t="s">
        <v>2977</v>
      </c>
      <c r="B2537" s="18" t="s">
        <v>4722</v>
      </c>
      <c r="C2537" s="20">
        <v>45363</v>
      </c>
      <c r="D2537" s="11">
        <v>0</v>
      </c>
      <c r="E2537" s="27">
        <f t="shared" si="191"/>
        <v>0</v>
      </c>
      <c r="F2537" s="6">
        <f t="shared" si="192"/>
        <v>0</v>
      </c>
      <c r="G2537" s="7">
        <f t="shared" si="193"/>
        <v>0</v>
      </c>
      <c r="H2537" s="8">
        <f t="shared" si="194"/>
        <v>0</v>
      </c>
      <c r="I2537" s="9">
        <f t="shared" si="195"/>
        <v>0</v>
      </c>
    </row>
    <row r="2538" spans="1:9" x14ac:dyDescent="0.35">
      <c r="A2538" s="18" t="s">
        <v>2978</v>
      </c>
      <c r="B2538" s="18" t="s">
        <v>2981</v>
      </c>
      <c r="C2538" s="20">
        <v>45363</v>
      </c>
      <c r="D2538" s="11">
        <v>0</v>
      </c>
      <c r="E2538" s="27">
        <f t="shared" si="191"/>
        <v>0</v>
      </c>
      <c r="F2538" s="6">
        <f t="shared" si="192"/>
        <v>0</v>
      </c>
      <c r="G2538" s="7">
        <f t="shared" si="193"/>
        <v>0</v>
      </c>
      <c r="H2538" s="8">
        <f t="shared" si="194"/>
        <v>0</v>
      </c>
      <c r="I2538" s="9">
        <f t="shared" si="195"/>
        <v>0</v>
      </c>
    </row>
    <row r="2539" spans="1:9" x14ac:dyDescent="0.35">
      <c r="A2539" s="18" t="s">
        <v>2979</v>
      </c>
      <c r="B2539" s="18" t="s">
        <v>2982</v>
      </c>
      <c r="C2539" s="20">
        <v>45363</v>
      </c>
      <c r="D2539" s="11">
        <v>0</v>
      </c>
      <c r="E2539" s="27">
        <f t="shared" si="191"/>
        <v>0</v>
      </c>
      <c r="F2539" s="6">
        <f t="shared" si="192"/>
        <v>0</v>
      </c>
      <c r="G2539" s="7">
        <f t="shared" si="193"/>
        <v>0</v>
      </c>
      <c r="H2539" s="8">
        <f t="shared" si="194"/>
        <v>0</v>
      </c>
      <c r="I2539" s="9">
        <f t="shared" si="195"/>
        <v>0</v>
      </c>
    </row>
    <row r="2540" spans="1:9" x14ac:dyDescent="0.35">
      <c r="A2540" s="18" t="s">
        <v>2980</v>
      </c>
      <c r="B2540" s="18" t="s">
        <v>2983</v>
      </c>
      <c r="C2540" s="20">
        <v>45363</v>
      </c>
      <c r="D2540" s="11">
        <v>0</v>
      </c>
      <c r="E2540" s="27">
        <f t="shared" si="191"/>
        <v>0</v>
      </c>
      <c r="F2540" s="6">
        <f t="shared" si="192"/>
        <v>0</v>
      </c>
      <c r="G2540" s="7">
        <f t="shared" si="193"/>
        <v>0</v>
      </c>
      <c r="H2540" s="8">
        <f t="shared" si="194"/>
        <v>0</v>
      </c>
      <c r="I2540" s="9">
        <f t="shared" si="195"/>
        <v>0</v>
      </c>
    </row>
    <row r="2541" spans="1:9" ht="15.75" customHeight="1" x14ac:dyDescent="0.4">
      <c r="B2541" s="19" t="s">
        <v>1088</v>
      </c>
      <c r="D2541" s="11">
        <v>0</v>
      </c>
      <c r="E2541" s="27">
        <f t="shared" si="191"/>
        <v>0</v>
      </c>
      <c r="F2541" s="6">
        <f t="shared" si="192"/>
        <v>0</v>
      </c>
      <c r="G2541" s="7">
        <f t="shared" si="193"/>
        <v>0</v>
      </c>
      <c r="H2541" s="8">
        <f t="shared" si="194"/>
        <v>0</v>
      </c>
      <c r="I2541" s="9">
        <f t="shared" si="195"/>
        <v>0</v>
      </c>
    </row>
    <row r="2542" spans="1:9" x14ac:dyDescent="0.35">
      <c r="A2542" s="24" t="s">
        <v>3087</v>
      </c>
      <c r="B2542" s="18" t="s">
        <v>941</v>
      </c>
      <c r="C2542" s="20">
        <v>45642</v>
      </c>
      <c r="D2542" s="11">
        <v>686.94359999999995</v>
      </c>
      <c r="E2542" s="27">
        <f t="shared" si="191"/>
        <v>764.70561551999992</v>
      </c>
      <c r="F2542" s="6">
        <f t="shared" si="192"/>
        <v>994.11730017599996</v>
      </c>
      <c r="G2542" s="7">
        <f t="shared" si="193"/>
        <v>1070.5878617279998</v>
      </c>
      <c r="H2542" s="8">
        <f t="shared" si="194"/>
        <v>1147.0584232799999</v>
      </c>
      <c r="I2542" s="9">
        <f t="shared" si="195"/>
        <v>1223.5289848319999</v>
      </c>
    </row>
    <row r="2543" spans="1:9" x14ac:dyDescent="0.35">
      <c r="A2543" s="24" t="s">
        <v>3088</v>
      </c>
      <c r="B2543" s="18" t="s">
        <v>942</v>
      </c>
      <c r="C2543" s="20">
        <v>45642</v>
      </c>
      <c r="D2543" s="11">
        <v>770</v>
      </c>
      <c r="E2543" s="27">
        <f t="shared" si="191"/>
        <v>857.16399999999999</v>
      </c>
      <c r="F2543" s="6">
        <f t="shared" si="192"/>
        <v>1114.3132000000001</v>
      </c>
      <c r="G2543" s="7">
        <f t="shared" si="193"/>
        <v>1200.0295999999998</v>
      </c>
      <c r="H2543" s="8">
        <f t="shared" si="194"/>
        <v>1285.7460000000001</v>
      </c>
      <c r="I2543" s="9">
        <f t="shared" si="195"/>
        <v>1371.4624000000001</v>
      </c>
    </row>
    <row r="2544" spans="1:9" x14ac:dyDescent="0.35">
      <c r="A2544" s="24" t="s">
        <v>3089</v>
      </c>
      <c r="B2544" s="18" t="s">
        <v>939</v>
      </c>
      <c r="C2544" s="20">
        <v>45642</v>
      </c>
      <c r="D2544" s="11">
        <v>0</v>
      </c>
      <c r="E2544" s="27">
        <f t="shared" si="191"/>
        <v>0</v>
      </c>
      <c r="F2544" s="6">
        <f t="shared" si="192"/>
        <v>0</v>
      </c>
      <c r="G2544" s="7">
        <f t="shared" si="193"/>
        <v>0</v>
      </c>
      <c r="H2544" s="8">
        <f t="shared" si="194"/>
        <v>0</v>
      </c>
      <c r="I2544" s="9">
        <f t="shared" si="195"/>
        <v>0</v>
      </c>
    </row>
    <row r="2545" spans="1:9" x14ac:dyDescent="0.35">
      <c r="A2545" s="24" t="s">
        <v>3090</v>
      </c>
      <c r="B2545" s="18" t="s">
        <v>940</v>
      </c>
      <c r="C2545" s="20">
        <v>45642</v>
      </c>
      <c r="D2545" s="11">
        <v>686.94359999999995</v>
      </c>
      <c r="E2545" s="27">
        <f t="shared" si="191"/>
        <v>764.70561551999992</v>
      </c>
      <c r="F2545" s="6">
        <f t="shared" si="192"/>
        <v>994.11730017599996</v>
      </c>
      <c r="G2545" s="7">
        <f t="shared" si="193"/>
        <v>1070.5878617279998</v>
      </c>
      <c r="H2545" s="8">
        <f t="shared" si="194"/>
        <v>1147.0584232799999</v>
      </c>
      <c r="I2545" s="9">
        <f t="shared" si="195"/>
        <v>1223.5289848319999</v>
      </c>
    </row>
    <row r="2546" spans="1:9" x14ac:dyDescent="0.35">
      <c r="A2546" s="18" t="s">
        <v>2984</v>
      </c>
      <c r="B2546" s="18" t="s">
        <v>111</v>
      </c>
      <c r="C2546" s="20">
        <v>45642</v>
      </c>
      <c r="D2546" s="11">
        <v>0</v>
      </c>
      <c r="E2546" s="27">
        <f t="shared" si="191"/>
        <v>0</v>
      </c>
      <c r="F2546" s="6">
        <f t="shared" si="192"/>
        <v>0</v>
      </c>
      <c r="G2546" s="7">
        <f t="shared" si="193"/>
        <v>0</v>
      </c>
      <c r="H2546" s="8">
        <f t="shared" si="194"/>
        <v>0</v>
      </c>
      <c r="I2546" s="9">
        <f t="shared" si="195"/>
        <v>0</v>
      </c>
    </row>
    <row r="2547" spans="1:9" x14ac:dyDescent="0.35">
      <c r="A2547" s="18" t="s">
        <v>2985</v>
      </c>
      <c r="B2547" s="18" t="s">
        <v>110</v>
      </c>
      <c r="C2547" s="20">
        <v>45642</v>
      </c>
      <c r="D2547" s="11">
        <v>0</v>
      </c>
      <c r="E2547" s="27">
        <f t="shared" si="191"/>
        <v>0</v>
      </c>
      <c r="F2547" s="6">
        <f t="shared" si="192"/>
        <v>0</v>
      </c>
      <c r="G2547" s="7">
        <f t="shared" si="193"/>
        <v>0</v>
      </c>
      <c r="H2547" s="8">
        <f t="shared" si="194"/>
        <v>0</v>
      </c>
      <c r="I2547" s="9">
        <f t="shared" si="195"/>
        <v>0</v>
      </c>
    </row>
    <row r="2548" spans="1:9" ht="18" x14ac:dyDescent="0.4">
      <c r="A2548" s="18" t="s">
        <v>2986</v>
      </c>
      <c r="B2548" s="18" t="s">
        <v>5960</v>
      </c>
      <c r="C2548" s="20">
        <v>45642</v>
      </c>
      <c r="D2548" s="11">
        <v>803.5859999999999</v>
      </c>
      <c r="E2548" s="27">
        <f t="shared" si="191"/>
        <v>894.5519352</v>
      </c>
      <c r="F2548" s="6">
        <f t="shared" si="192"/>
        <v>1162.91751576</v>
      </c>
      <c r="G2548" s="7">
        <f t="shared" si="193"/>
        <v>1252.37270928</v>
      </c>
      <c r="H2548" s="8">
        <f t="shared" si="194"/>
        <v>1341.8279027999999</v>
      </c>
      <c r="I2548" s="9">
        <f t="shared" si="195"/>
        <v>1431.2830963200001</v>
      </c>
    </row>
    <row r="2549" spans="1:9" ht="18" x14ac:dyDescent="0.4">
      <c r="A2549" s="18" t="s">
        <v>2987</v>
      </c>
      <c r="B2549" s="18" t="s">
        <v>5961</v>
      </c>
      <c r="C2549" s="20">
        <v>45642</v>
      </c>
      <c r="D2549" s="11">
        <v>784.14559999999994</v>
      </c>
      <c r="E2549" s="27">
        <f t="shared" si="191"/>
        <v>872.91088191999995</v>
      </c>
      <c r="F2549" s="6">
        <f t="shared" si="192"/>
        <v>1134.7841464959999</v>
      </c>
      <c r="G2549" s="7">
        <f t="shared" si="193"/>
        <v>1222.0752346879999</v>
      </c>
      <c r="H2549" s="8">
        <f t="shared" si="194"/>
        <v>1309.3663228799999</v>
      </c>
      <c r="I2549" s="9">
        <f t="shared" si="195"/>
        <v>1396.6574110720001</v>
      </c>
    </row>
    <row r="2550" spans="1:9" x14ac:dyDescent="0.35">
      <c r="A2550" s="18" t="s">
        <v>2988</v>
      </c>
      <c r="B2550" s="18" t="s">
        <v>112</v>
      </c>
      <c r="C2550" s="20">
        <v>45642</v>
      </c>
      <c r="D2550" s="11">
        <v>0</v>
      </c>
      <c r="E2550" s="27">
        <f t="shared" si="191"/>
        <v>0</v>
      </c>
      <c r="F2550" s="6">
        <f t="shared" si="192"/>
        <v>0</v>
      </c>
      <c r="G2550" s="7">
        <f t="shared" si="193"/>
        <v>0</v>
      </c>
      <c r="H2550" s="8">
        <f t="shared" si="194"/>
        <v>0</v>
      </c>
      <c r="I2550" s="9">
        <f t="shared" si="195"/>
        <v>0</v>
      </c>
    </row>
    <row r="2551" spans="1:9" x14ac:dyDescent="0.35">
      <c r="A2551" s="18" t="s">
        <v>2989</v>
      </c>
      <c r="B2551" s="18" t="s">
        <v>1827</v>
      </c>
      <c r="C2551" s="20">
        <v>45642</v>
      </c>
      <c r="D2551" s="11">
        <v>926.75800000000004</v>
      </c>
      <c r="E2551" s="27">
        <f t="shared" si="191"/>
        <v>1031.6670056</v>
      </c>
      <c r="F2551" s="6">
        <f t="shared" si="192"/>
        <v>1341.1671072800002</v>
      </c>
      <c r="G2551" s="7">
        <f t="shared" si="193"/>
        <v>1444.33380784</v>
      </c>
      <c r="H2551" s="8">
        <f t="shared" si="194"/>
        <v>1547.5005083999999</v>
      </c>
      <c r="I2551" s="9">
        <f t="shared" si="195"/>
        <v>1650.6672089600002</v>
      </c>
    </row>
    <row r="2552" spans="1:9" x14ac:dyDescent="0.35">
      <c r="A2552" s="18" t="s">
        <v>2990</v>
      </c>
      <c r="B2552" s="18" t="s">
        <v>1828</v>
      </c>
      <c r="C2552" s="20">
        <v>45642</v>
      </c>
      <c r="D2552" s="11">
        <v>0</v>
      </c>
      <c r="E2552" s="27">
        <f t="shared" si="191"/>
        <v>0</v>
      </c>
      <c r="F2552" s="6">
        <f t="shared" si="192"/>
        <v>0</v>
      </c>
      <c r="G2552" s="7">
        <f t="shared" si="193"/>
        <v>0</v>
      </c>
      <c r="H2552" s="8">
        <f t="shared" si="194"/>
        <v>0</v>
      </c>
      <c r="I2552" s="9">
        <f t="shared" si="195"/>
        <v>0</v>
      </c>
    </row>
    <row r="2553" spans="1:9" x14ac:dyDescent="0.35">
      <c r="A2553" s="18" t="s">
        <v>2991</v>
      </c>
      <c r="B2553" s="18" t="s">
        <v>3226</v>
      </c>
      <c r="C2553" s="20">
        <v>45642</v>
      </c>
      <c r="D2553" s="11">
        <v>1464.7080000000001</v>
      </c>
      <c r="E2553" s="27">
        <f t="shared" si="191"/>
        <v>1630.5129456000002</v>
      </c>
      <c r="F2553" s="6">
        <f t="shared" si="192"/>
        <v>2119.6668292800005</v>
      </c>
      <c r="G2553" s="7">
        <f t="shared" si="193"/>
        <v>2282.7181238400003</v>
      </c>
      <c r="H2553" s="8">
        <f t="shared" si="194"/>
        <v>2445.7694184000002</v>
      </c>
      <c r="I2553" s="9">
        <f t="shared" si="195"/>
        <v>2608.8207129600005</v>
      </c>
    </row>
    <row r="2554" spans="1:9" x14ac:dyDescent="0.35">
      <c r="A2554" s="18" t="s">
        <v>3459</v>
      </c>
      <c r="B2554" s="18" t="s">
        <v>4816</v>
      </c>
      <c r="C2554" s="20">
        <v>45642</v>
      </c>
      <c r="D2554" s="11">
        <v>4552.9120000000003</v>
      </c>
      <c r="E2554" s="27">
        <f t="shared" si="191"/>
        <v>5068.3016384000002</v>
      </c>
      <c r="F2554" s="6">
        <f t="shared" si="192"/>
        <v>6588.7921299200007</v>
      </c>
      <c r="G2554" s="7">
        <f t="shared" si="193"/>
        <v>7095.6222937599996</v>
      </c>
      <c r="H2554" s="8">
        <f t="shared" si="194"/>
        <v>7602.4524576000003</v>
      </c>
      <c r="I2554" s="9">
        <f t="shared" si="195"/>
        <v>8109.2826214400011</v>
      </c>
    </row>
    <row r="2555" spans="1:9" x14ac:dyDescent="0.35">
      <c r="A2555" s="18" t="s">
        <v>2992</v>
      </c>
      <c r="B2555" s="18" t="s">
        <v>1829</v>
      </c>
      <c r="C2555" s="20">
        <v>45642</v>
      </c>
      <c r="D2555" s="11">
        <v>0</v>
      </c>
      <c r="E2555" s="27">
        <f t="shared" si="191"/>
        <v>0</v>
      </c>
      <c r="F2555" s="6">
        <f t="shared" si="192"/>
        <v>0</v>
      </c>
      <c r="G2555" s="7">
        <f t="shared" si="193"/>
        <v>0</v>
      </c>
      <c r="H2555" s="8">
        <f t="shared" si="194"/>
        <v>0</v>
      </c>
      <c r="I2555" s="9">
        <f t="shared" si="195"/>
        <v>0</v>
      </c>
    </row>
    <row r="2556" spans="1:9" x14ac:dyDescent="0.35">
      <c r="A2556" s="18" t="s">
        <v>2993</v>
      </c>
      <c r="B2556" s="18" t="s">
        <v>1089</v>
      </c>
      <c r="C2556" s="20">
        <v>45642</v>
      </c>
      <c r="D2556" s="11">
        <v>0</v>
      </c>
      <c r="E2556" s="27">
        <f t="shared" si="191"/>
        <v>0</v>
      </c>
      <c r="F2556" s="6">
        <f t="shared" si="192"/>
        <v>0</v>
      </c>
      <c r="G2556" s="7">
        <f t="shared" si="193"/>
        <v>0</v>
      </c>
      <c r="H2556" s="8">
        <f t="shared" si="194"/>
        <v>0</v>
      </c>
      <c r="I2556" s="9">
        <f t="shared" si="195"/>
        <v>0</v>
      </c>
    </row>
    <row r="2557" spans="1:9" x14ac:dyDescent="0.35">
      <c r="A2557" s="18" t="s">
        <v>2994</v>
      </c>
      <c r="B2557" s="18" t="s">
        <v>1830</v>
      </c>
      <c r="C2557" s="20">
        <v>45642</v>
      </c>
      <c r="D2557" s="11">
        <v>865.17200000000003</v>
      </c>
      <c r="E2557" s="27">
        <f t="shared" si="191"/>
        <v>963.10947040000008</v>
      </c>
      <c r="F2557" s="6">
        <f t="shared" si="192"/>
        <v>1252.0423115200001</v>
      </c>
      <c r="G2557" s="7">
        <f t="shared" si="193"/>
        <v>1348.3532585600001</v>
      </c>
      <c r="H2557" s="8">
        <f t="shared" si="194"/>
        <v>1444.6642056000001</v>
      </c>
      <c r="I2557" s="9">
        <f t="shared" si="195"/>
        <v>1540.9751526400003</v>
      </c>
    </row>
    <row r="2558" spans="1:9" x14ac:dyDescent="0.35">
      <c r="A2558" s="18" t="s">
        <v>2995</v>
      </c>
      <c r="B2558" s="18" t="s">
        <v>1831</v>
      </c>
      <c r="C2558" s="20">
        <v>45642</v>
      </c>
      <c r="D2558" s="11">
        <v>693.399</v>
      </c>
      <c r="E2558" s="27">
        <f t="shared" si="191"/>
        <v>771.89176680000003</v>
      </c>
      <c r="F2558" s="6">
        <f t="shared" si="192"/>
        <v>1003.4592968400001</v>
      </c>
      <c r="G2558" s="7">
        <f t="shared" si="193"/>
        <v>1080.6484735199999</v>
      </c>
      <c r="H2558" s="8">
        <f t="shared" si="194"/>
        <v>1157.8376502000001</v>
      </c>
      <c r="I2558" s="9">
        <f t="shared" si="195"/>
        <v>1235.02682688</v>
      </c>
    </row>
    <row r="2559" spans="1:9" x14ac:dyDescent="0.35">
      <c r="A2559" s="18" t="s">
        <v>2996</v>
      </c>
      <c r="B2559" s="18" t="s">
        <v>1832</v>
      </c>
      <c r="C2559" s="20">
        <v>45642</v>
      </c>
      <c r="D2559" s="11">
        <v>0</v>
      </c>
      <c r="E2559" s="27">
        <f t="shared" si="191"/>
        <v>0</v>
      </c>
      <c r="F2559" s="6">
        <f t="shared" si="192"/>
        <v>0</v>
      </c>
      <c r="G2559" s="7">
        <f t="shared" si="193"/>
        <v>0</v>
      </c>
      <c r="H2559" s="8">
        <f t="shared" si="194"/>
        <v>0</v>
      </c>
      <c r="I2559" s="9">
        <f t="shared" si="195"/>
        <v>0</v>
      </c>
    </row>
    <row r="2560" spans="1:9" x14ac:dyDescent="0.35">
      <c r="A2560" s="18" t="s">
        <v>2997</v>
      </c>
      <c r="B2560" s="18" t="s">
        <v>1833</v>
      </c>
      <c r="C2560" s="20">
        <v>45642</v>
      </c>
      <c r="D2560" s="11">
        <v>615.71159999999998</v>
      </c>
      <c r="E2560" s="27">
        <f t="shared" si="191"/>
        <v>685.41015312000002</v>
      </c>
      <c r="F2560" s="6">
        <f t="shared" si="192"/>
        <v>891.03319905600006</v>
      </c>
      <c r="G2560" s="7">
        <f t="shared" si="193"/>
        <v>959.57421436799996</v>
      </c>
      <c r="H2560" s="8">
        <f t="shared" si="194"/>
        <v>1028.1152296800001</v>
      </c>
      <c r="I2560" s="9">
        <f t="shared" si="195"/>
        <v>1096.656244992</v>
      </c>
    </row>
    <row r="2561" spans="1:9" x14ac:dyDescent="0.35">
      <c r="A2561" s="18" t="s">
        <v>2998</v>
      </c>
      <c r="B2561" s="18" t="s">
        <v>1834</v>
      </c>
      <c r="C2561" s="20">
        <v>45642</v>
      </c>
      <c r="D2561" s="11">
        <v>628.17720000000008</v>
      </c>
      <c r="E2561" s="27">
        <f t="shared" si="191"/>
        <v>699.28685904000008</v>
      </c>
      <c r="F2561" s="6">
        <f t="shared" si="192"/>
        <v>909.07291675200008</v>
      </c>
      <c r="G2561" s="7">
        <f t="shared" si="193"/>
        <v>979.00160265600005</v>
      </c>
      <c r="H2561" s="8">
        <f t="shared" si="194"/>
        <v>1048.93028856</v>
      </c>
      <c r="I2561" s="9">
        <f t="shared" si="195"/>
        <v>1118.8589744640001</v>
      </c>
    </row>
    <row r="2562" spans="1:9" ht="18" x14ac:dyDescent="0.4">
      <c r="B2562" s="19" t="s">
        <v>1090</v>
      </c>
      <c r="D2562" s="11">
        <v>0</v>
      </c>
      <c r="E2562" s="27">
        <f t="shared" si="191"/>
        <v>0</v>
      </c>
      <c r="F2562" s="6">
        <f t="shared" si="192"/>
        <v>0</v>
      </c>
      <c r="G2562" s="7">
        <f t="shared" si="193"/>
        <v>0</v>
      </c>
      <c r="H2562" s="8">
        <f t="shared" si="194"/>
        <v>0</v>
      </c>
      <c r="I2562" s="9">
        <f t="shared" si="195"/>
        <v>0</v>
      </c>
    </row>
    <row r="2563" spans="1:9" x14ac:dyDescent="0.35">
      <c r="A2563" s="24" t="s">
        <v>819</v>
      </c>
      <c r="B2563" s="18" t="s">
        <v>1261</v>
      </c>
      <c r="C2563" s="20">
        <v>45642</v>
      </c>
      <c r="D2563" s="11">
        <v>283.1472</v>
      </c>
      <c r="E2563" s="27">
        <f t="shared" si="191"/>
        <v>315.19946304000001</v>
      </c>
      <c r="F2563" s="6">
        <f t="shared" si="192"/>
        <v>409.75930195200004</v>
      </c>
      <c r="G2563" s="7">
        <f t="shared" si="193"/>
        <v>441.27924825600002</v>
      </c>
      <c r="H2563" s="8">
        <f t="shared" si="194"/>
        <v>472.79919456000005</v>
      </c>
      <c r="I2563" s="9">
        <f t="shared" si="195"/>
        <v>504.31914086400002</v>
      </c>
    </row>
    <row r="2564" spans="1:9" x14ac:dyDescent="0.35">
      <c r="A2564" s="24" t="s">
        <v>820</v>
      </c>
      <c r="B2564" s="18" t="s">
        <v>1262</v>
      </c>
      <c r="C2564" s="20">
        <v>45642</v>
      </c>
      <c r="D2564" s="11">
        <v>329.44799999999998</v>
      </c>
      <c r="E2564" s="27">
        <f t="shared" si="191"/>
        <v>366.74151360000002</v>
      </c>
      <c r="F2564" s="6">
        <f t="shared" si="192"/>
        <v>476.76396768000006</v>
      </c>
      <c r="G2564" s="7">
        <f t="shared" si="193"/>
        <v>513.43811903999995</v>
      </c>
      <c r="H2564" s="8">
        <f t="shared" si="194"/>
        <v>550.11227040000006</v>
      </c>
      <c r="I2564" s="9">
        <f t="shared" si="195"/>
        <v>586.78642176000005</v>
      </c>
    </row>
    <row r="2565" spans="1:9" ht="15.75" customHeight="1" x14ac:dyDescent="0.4">
      <c r="B2565" s="19" t="s">
        <v>1836</v>
      </c>
      <c r="D2565" s="11">
        <v>0</v>
      </c>
      <c r="E2565" s="27">
        <f t="shared" si="191"/>
        <v>0</v>
      </c>
      <c r="F2565" s="6">
        <f t="shared" si="192"/>
        <v>0</v>
      </c>
      <c r="G2565" s="7">
        <f t="shared" si="193"/>
        <v>0</v>
      </c>
      <c r="H2565" s="8">
        <f t="shared" si="194"/>
        <v>0</v>
      </c>
      <c r="I2565" s="9">
        <f t="shared" si="195"/>
        <v>0</v>
      </c>
    </row>
    <row r="2566" spans="1:9" x14ac:dyDescent="0.35">
      <c r="A2566" s="24" t="s">
        <v>1835</v>
      </c>
      <c r="B2566" s="18" t="s">
        <v>6100</v>
      </c>
      <c r="C2566" s="20">
        <v>45483</v>
      </c>
      <c r="D2566" s="11">
        <v>12520.04</v>
      </c>
      <c r="E2566" s="27">
        <f t="shared" si="191"/>
        <v>13937.308528000001</v>
      </c>
      <c r="F2566" s="6">
        <f t="shared" si="192"/>
        <v>18118.501086400003</v>
      </c>
      <c r="G2566" s="7">
        <f t="shared" si="193"/>
        <v>19512.231939199999</v>
      </c>
      <c r="H2566" s="8">
        <f t="shared" si="194"/>
        <v>20905.962792000002</v>
      </c>
      <c r="I2566" s="9">
        <f t="shared" si="195"/>
        <v>22299.693644800005</v>
      </c>
    </row>
    <row r="2567" spans="1:9" x14ac:dyDescent="0.35">
      <c r="A2567" s="24" t="s">
        <v>1837</v>
      </c>
      <c r="B2567" s="18" t="s">
        <v>6101</v>
      </c>
      <c r="C2567" s="20">
        <v>45483</v>
      </c>
      <c r="D2567" s="11">
        <v>23570.7516</v>
      </c>
      <c r="E2567" s="27">
        <f t="shared" si="191"/>
        <v>26238.960681119999</v>
      </c>
      <c r="F2567" s="6">
        <f t="shared" si="192"/>
        <v>34110.648885456001</v>
      </c>
      <c r="G2567" s="7">
        <f t="shared" si="193"/>
        <v>36734.544953567995</v>
      </c>
      <c r="H2567" s="8">
        <f t="shared" si="194"/>
        <v>39358.441021680002</v>
      </c>
      <c r="I2567" s="9">
        <f t="shared" si="195"/>
        <v>41982.337089792003</v>
      </c>
    </row>
    <row r="2568" spans="1:9" ht="15.75" customHeight="1" x14ac:dyDescent="0.4">
      <c r="B2568" s="19" t="s">
        <v>1838</v>
      </c>
      <c r="D2568" s="11">
        <v>0</v>
      </c>
      <c r="E2568" s="27">
        <f t="shared" si="191"/>
        <v>0</v>
      </c>
      <c r="F2568" s="6">
        <f t="shared" si="192"/>
        <v>0</v>
      </c>
      <c r="G2568" s="7">
        <f t="shared" si="193"/>
        <v>0</v>
      </c>
      <c r="H2568" s="8">
        <f t="shared" si="194"/>
        <v>0</v>
      </c>
      <c r="I2568" s="9">
        <f t="shared" si="195"/>
        <v>0</v>
      </c>
    </row>
    <row r="2569" spans="1:9" x14ac:dyDescent="0.35">
      <c r="A2569" s="24" t="s">
        <v>1839</v>
      </c>
      <c r="B2569" s="18" t="s">
        <v>6102</v>
      </c>
      <c r="C2569" s="20">
        <v>45483</v>
      </c>
      <c r="D2569" s="11">
        <v>20434.91</v>
      </c>
      <c r="E2569" s="27">
        <f t="shared" si="191"/>
        <v>22748.141812000002</v>
      </c>
      <c r="F2569" s="6">
        <f t="shared" si="192"/>
        <v>29572.584355600004</v>
      </c>
      <c r="G2569" s="7">
        <f t="shared" si="193"/>
        <v>31847.398536799999</v>
      </c>
      <c r="H2569" s="8">
        <f t="shared" si="194"/>
        <v>34122.212718000002</v>
      </c>
      <c r="I2569" s="9">
        <f t="shared" si="195"/>
        <v>36397.026899200006</v>
      </c>
    </row>
    <row r="2570" spans="1:9" x14ac:dyDescent="0.35">
      <c r="A2570" s="24" t="s">
        <v>1840</v>
      </c>
      <c r="B2570" s="18" t="s">
        <v>6103</v>
      </c>
      <c r="C2570" s="20">
        <v>45483</v>
      </c>
      <c r="D2570" s="11">
        <v>13861.76</v>
      </c>
      <c r="E2570" s="27">
        <f t="shared" si="191"/>
        <v>15430.911232</v>
      </c>
      <c r="F2570" s="6">
        <f t="shared" si="192"/>
        <v>20060.184601600002</v>
      </c>
      <c r="G2570" s="7">
        <f t="shared" si="193"/>
        <v>21603.275724799998</v>
      </c>
      <c r="H2570" s="8">
        <f t="shared" si="194"/>
        <v>23146.366848000001</v>
      </c>
      <c r="I2570" s="9">
        <f t="shared" si="195"/>
        <v>24689.457971200001</v>
      </c>
    </row>
    <row r="2571" spans="1:9" ht="15.75" customHeight="1" x14ac:dyDescent="0.4">
      <c r="B2571" s="19" t="s">
        <v>1841</v>
      </c>
      <c r="D2571" s="11">
        <v>0</v>
      </c>
      <c r="E2571" s="27">
        <f t="shared" si="191"/>
        <v>0</v>
      </c>
      <c r="F2571" s="6">
        <f t="shared" si="192"/>
        <v>0</v>
      </c>
      <c r="G2571" s="7">
        <f t="shared" si="193"/>
        <v>0</v>
      </c>
      <c r="H2571" s="8">
        <f t="shared" si="194"/>
        <v>0</v>
      </c>
      <c r="I2571" s="9">
        <f t="shared" si="195"/>
        <v>0</v>
      </c>
    </row>
    <row r="2572" spans="1:9" x14ac:dyDescent="0.35">
      <c r="A2572" s="24" t="s">
        <v>1842</v>
      </c>
      <c r="B2572" s="18" t="s">
        <v>6104</v>
      </c>
      <c r="C2572" s="20">
        <v>45483</v>
      </c>
      <c r="D2572" s="11">
        <v>26762.13</v>
      </c>
      <c r="E2572" s="27">
        <f t="shared" ref="E2572:E2636" si="196">D2572*1.21*0.92</f>
        <v>29791.603116000002</v>
      </c>
      <c r="F2572" s="6">
        <f t="shared" si="192"/>
        <v>38729.084050800004</v>
      </c>
      <c r="G2572" s="7">
        <f t="shared" si="193"/>
        <v>41708.244362400001</v>
      </c>
      <c r="H2572" s="8">
        <f t="shared" si="194"/>
        <v>44687.404674000005</v>
      </c>
      <c r="I2572" s="9">
        <f t="shared" si="195"/>
        <v>47666.564985600009</v>
      </c>
    </row>
    <row r="2573" spans="1:9" ht="15.75" customHeight="1" x14ac:dyDescent="0.4">
      <c r="B2573" s="19" t="s">
        <v>6341</v>
      </c>
      <c r="D2573" s="11">
        <v>0</v>
      </c>
      <c r="E2573" s="27">
        <f t="shared" si="196"/>
        <v>0</v>
      </c>
      <c r="F2573" s="6">
        <f t="shared" si="192"/>
        <v>0</v>
      </c>
      <c r="G2573" s="7">
        <f t="shared" si="193"/>
        <v>0</v>
      </c>
      <c r="H2573" s="8">
        <f t="shared" si="194"/>
        <v>0</v>
      </c>
      <c r="I2573" s="9">
        <f t="shared" si="195"/>
        <v>0</v>
      </c>
    </row>
    <row r="2574" spans="1:9" x14ac:dyDescent="0.35">
      <c r="A2574" s="24" t="s">
        <v>34</v>
      </c>
      <c r="B2574" s="18" t="s">
        <v>37</v>
      </c>
      <c r="C2574" s="20">
        <v>45363</v>
      </c>
      <c r="D2574" s="11">
        <v>316</v>
      </c>
      <c r="E2574" s="27">
        <f t="shared" si="196"/>
        <v>351.77120000000002</v>
      </c>
      <c r="F2574" s="6">
        <f t="shared" si="192"/>
        <v>457.30256000000003</v>
      </c>
      <c r="G2574" s="7">
        <f t="shared" si="193"/>
        <v>492.47967999999997</v>
      </c>
      <c r="H2574" s="8">
        <f t="shared" si="194"/>
        <v>527.65679999999998</v>
      </c>
      <c r="I2574" s="9">
        <f t="shared" si="195"/>
        <v>562.83392000000003</v>
      </c>
    </row>
    <row r="2575" spans="1:9" x14ac:dyDescent="0.35">
      <c r="A2575" s="24" t="s">
        <v>35</v>
      </c>
      <c r="B2575" s="18" t="s">
        <v>38</v>
      </c>
      <c r="C2575" s="20">
        <v>45363</v>
      </c>
      <c r="D2575" s="11">
        <v>316</v>
      </c>
      <c r="E2575" s="27">
        <f t="shared" si="196"/>
        <v>351.77120000000002</v>
      </c>
      <c r="F2575" s="6">
        <f t="shared" si="192"/>
        <v>457.30256000000003</v>
      </c>
      <c r="G2575" s="7">
        <f t="shared" si="193"/>
        <v>492.47967999999997</v>
      </c>
      <c r="H2575" s="8">
        <f t="shared" si="194"/>
        <v>527.65679999999998</v>
      </c>
      <c r="I2575" s="9">
        <f t="shared" si="195"/>
        <v>562.83392000000003</v>
      </c>
    </row>
    <row r="2576" spans="1:9" x14ac:dyDescent="0.35">
      <c r="A2576" s="24" t="s">
        <v>36</v>
      </c>
      <c r="B2576" s="18" t="s">
        <v>39</v>
      </c>
      <c r="C2576" s="20">
        <v>45363</v>
      </c>
      <c r="D2576" s="11">
        <v>316</v>
      </c>
      <c r="E2576" s="27">
        <f t="shared" si="196"/>
        <v>351.77120000000002</v>
      </c>
      <c r="F2576" s="6">
        <f t="shared" si="192"/>
        <v>457.30256000000003</v>
      </c>
      <c r="G2576" s="7">
        <f t="shared" si="193"/>
        <v>492.47967999999997</v>
      </c>
      <c r="H2576" s="8">
        <f t="shared" si="194"/>
        <v>527.65679999999998</v>
      </c>
      <c r="I2576" s="9">
        <f t="shared" si="195"/>
        <v>562.83392000000003</v>
      </c>
    </row>
    <row r="2577" spans="1:9" ht="18" x14ac:dyDescent="0.4">
      <c r="A2577" s="24"/>
      <c r="B2577" s="19" t="s">
        <v>6342</v>
      </c>
      <c r="D2577" s="11">
        <v>0</v>
      </c>
      <c r="E2577" s="27">
        <f t="shared" si="196"/>
        <v>0</v>
      </c>
      <c r="F2577" s="6">
        <f t="shared" si="192"/>
        <v>0</v>
      </c>
      <c r="G2577" s="7">
        <f t="shared" si="193"/>
        <v>0</v>
      </c>
      <c r="H2577" s="8">
        <f t="shared" si="194"/>
        <v>0</v>
      </c>
      <c r="I2577" s="9">
        <f t="shared" si="195"/>
        <v>0</v>
      </c>
    </row>
    <row r="2578" spans="1:9" x14ac:dyDescent="0.35">
      <c r="A2578" s="24" t="s">
        <v>6343</v>
      </c>
      <c r="B2578" s="24" t="s">
        <v>6344</v>
      </c>
      <c r="C2578" s="20">
        <v>45392</v>
      </c>
      <c r="D2578" s="11">
        <v>714</v>
      </c>
      <c r="E2578" s="27">
        <f t="shared" si="196"/>
        <v>794.82479999999998</v>
      </c>
      <c r="F2578" s="6">
        <f t="shared" si="192"/>
        <v>1033.27224</v>
      </c>
      <c r="G2578" s="7">
        <f t="shared" si="193"/>
        <v>1112.7547199999999</v>
      </c>
      <c r="H2578" s="8">
        <f t="shared" si="194"/>
        <v>1192.2372</v>
      </c>
      <c r="I2578" s="9">
        <f t="shared" si="195"/>
        <v>1271.7196800000002</v>
      </c>
    </row>
    <row r="2579" spans="1:9" x14ac:dyDescent="0.35">
      <c r="A2579" s="24" t="s">
        <v>6354</v>
      </c>
      <c r="B2579" s="24" t="s">
        <v>6345</v>
      </c>
      <c r="C2579" s="20">
        <v>45392</v>
      </c>
      <c r="D2579" s="11">
        <v>654</v>
      </c>
      <c r="E2579" s="27">
        <f t="shared" si="196"/>
        <v>728.03280000000007</v>
      </c>
      <c r="F2579" s="6">
        <f t="shared" si="192"/>
        <v>946.4426400000001</v>
      </c>
      <c r="G2579" s="7">
        <f t="shared" si="193"/>
        <v>1019.2459200000001</v>
      </c>
      <c r="H2579" s="8">
        <f t="shared" si="194"/>
        <v>1092.0492000000002</v>
      </c>
      <c r="I2579" s="9">
        <f t="shared" si="195"/>
        <v>1164.8524800000002</v>
      </c>
    </row>
    <row r="2580" spans="1:9" ht="15.75" customHeight="1" x14ac:dyDescent="0.4">
      <c r="B2580" s="19" t="s">
        <v>40</v>
      </c>
      <c r="D2580" s="11">
        <v>0</v>
      </c>
      <c r="E2580" s="27">
        <f t="shared" si="196"/>
        <v>0</v>
      </c>
      <c r="F2580" s="6">
        <f t="shared" si="192"/>
        <v>0</v>
      </c>
      <c r="G2580" s="7">
        <f t="shared" si="193"/>
        <v>0</v>
      </c>
      <c r="H2580" s="8">
        <f t="shared" si="194"/>
        <v>0</v>
      </c>
      <c r="I2580" s="9">
        <f t="shared" si="195"/>
        <v>0</v>
      </c>
    </row>
    <row r="2581" spans="1:9" x14ac:dyDescent="0.35">
      <c r="A2581" s="24" t="s">
        <v>41</v>
      </c>
      <c r="B2581" s="18" t="s">
        <v>42</v>
      </c>
      <c r="C2581" s="20">
        <v>45517</v>
      </c>
      <c r="D2581" s="11">
        <v>870.35</v>
      </c>
      <c r="E2581" s="27">
        <f t="shared" si="196"/>
        <v>968.87361999999996</v>
      </c>
      <c r="F2581" s="6">
        <f t="shared" si="192"/>
        <v>1259.5357059999999</v>
      </c>
      <c r="G2581" s="7">
        <f t="shared" si="193"/>
        <v>1356.4230679999998</v>
      </c>
      <c r="H2581" s="8">
        <f t="shared" si="194"/>
        <v>1453.31043</v>
      </c>
      <c r="I2581" s="9">
        <f t="shared" si="195"/>
        <v>1550.1977919999999</v>
      </c>
    </row>
    <row r="2582" spans="1:9" ht="15.75" customHeight="1" x14ac:dyDescent="0.4">
      <c r="B2582" s="19" t="s">
        <v>1091</v>
      </c>
      <c r="D2582" s="11">
        <v>0</v>
      </c>
      <c r="E2582" s="27">
        <f t="shared" si="196"/>
        <v>0</v>
      </c>
      <c r="F2582" s="6">
        <f t="shared" si="192"/>
        <v>0</v>
      </c>
      <c r="G2582" s="7">
        <f t="shared" si="193"/>
        <v>0</v>
      </c>
      <c r="H2582" s="8">
        <f t="shared" si="194"/>
        <v>0</v>
      </c>
      <c r="I2582" s="9">
        <f t="shared" si="195"/>
        <v>0</v>
      </c>
    </row>
    <row r="2583" spans="1:9" x14ac:dyDescent="0.35">
      <c r="A2583" s="24" t="s">
        <v>3091</v>
      </c>
      <c r="B2583" s="18" t="s">
        <v>943</v>
      </c>
      <c r="C2583" s="20">
        <v>45588</v>
      </c>
      <c r="D2583" s="11">
        <v>733.33</v>
      </c>
      <c r="E2583" s="27">
        <f t="shared" si="196"/>
        <v>816.34295600000007</v>
      </c>
      <c r="F2583" s="6">
        <f t="shared" si="192"/>
        <v>1061.2458428000002</v>
      </c>
      <c r="G2583" s="7">
        <f t="shared" si="193"/>
        <v>1142.8801384000001</v>
      </c>
      <c r="H2583" s="8">
        <f t="shared" si="194"/>
        <v>1224.5144340000002</v>
      </c>
      <c r="I2583" s="9">
        <f t="shared" si="195"/>
        <v>1306.1487296000003</v>
      </c>
    </row>
    <row r="2584" spans="1:9" x14ac:dyDescent="0.35">
      <c r="A2584" s="24" t="s">
        <v>3092</v>
      </c>
      <c r="B2584" s="18" t="s">
        <v>944</v>
      </c>
      <c r="C2584" s="20">
        <v>45588</v>
      </c>
      <c r="D2584" s="11">
        <v>1677.65</v>
      </c>
      <c r="E2584" s="27">
        <f t="shared" si="196"/>
        <v>1867.55998</v>
      </c>
      <c r="F2584" s="6">
        <f t="shared" si="192"/>
        <v>2427.8279740000003</v>
      </c>
      <c r="G2584" s="7">
        <f t="shared" si="193"/>
        <v>2614.5839719999999</v>
      </c>
      <c r="H2584" s="8">
        <f t="shared" si="194"/>
        <v>2801.33997</v>
      </c>
      <c r="I2584" s="9">
        <f t="shared" si="195"/>
        <v>2988.0959680000001</v>
      </c>
    </row>
    <row r="2585" spans="1:9" x14ac:dyDescent="0.35">
      <c r="A2585" s="24" t="s">
        <v>3093</v>
      </c>
      <c r="B2585" s="18" t="s">
        <v>945</v>
      </c>
      <c r="C2585" s="20">
        <v>45588</v>
      </c>
      <c r="D2585" s="11">
        <v>843.35</v>
      </c>
      <c r="E2585" s="27">
        <f t="shared" si="196"/>
        <v>938.81722000000002</v>
      </c>
      <c r="F2585" s="6">
        <f t="shared" si="192"/>
        <v>1220.4623860000002</v>
      </c>
      <c r="G2585" s="7">
        <f t="shared" si="193"/>
        <v>1314.344108</v>
      </c>
      <c r="H2585" s="8">
        <f t="shared" si="194"/>
        <v>1408.2258300000001</v>
      </c>
      <c r="I2585" s="9">
        <f t="shared" si="195"/>
        <v>1502.1075520000002</v>
      </c>
    </row>
    <row r="2586" spans="1:9" x14ac:dyDescent="0.35">
      <c r="A2586" s="24" t="s">
        <v>3094</v>
      </c>
      <c r="B2586" s="18" t="s">
        <v>946</v>
      </c>
      <c r="C2586" s="20">
        <v>45588</v>
      </c>
      <c r="D2586" s="11">
        <v>1001.64</v>
      </c>
      <c r="E2586" s="27">
        <f t="shared" si="196"/>
        <v>1115.025648</v>
      </c>
      <c r="F2586" s="6">
        <f t="shared" si="192"/>
        <v>1449.5333424</v>
      </c>
      <c r="G2586" s="7">
        <f t="shared" si="193"/>
        <v>1561.0359071999999</v>
      </c>
      <c r="H2586" s="8">
        <f t="shared" si="194"/>
        <v>1672.5384720000002</v>
      </c>
      <c r="I2586" s="9">
        <f t="shared" si="195"/>
        <v>1784.0410368000003</v>
      </c>
    </row>
    <row r="2587" spans="1:9" x14ac:dyDescent="0.35">
      <c r="A2587" s="24" t="s">
        <v>3095</v>
      </c>
      <c r="B2587" s="18" t="s">
        <v>947</v>
      </c>
      <c r="C2587" s="20">
        <v>45405</v>
      </c>
      <c r="D2587" s="11">
        <v>0</v>
      </c>
      <c r="E2587" s="27">
        <f t="shared" si="196"/>
        <v>0</v>
      </c>
      <c r="F2587" s="6">
        <f t="shared" si="192"/>
        <v>0</v>
      </c>
      <c r="G2587" s="7">
        <f t="shared" si="193"/>
        <v>0</v>
      </c>
      <c r="H2587" s="8">
        <f t="shared" si="194"/>
        <v>0</v>
      </c>
      <c r="I2587" s="9">
        <f t="shared" si="195"/>
        <v>0</v>
      </c>
    </row>
    <row r="2588" spans="1:9" ht="18" x14ac:dyDescent="0.4">
      <c r="A2588" s="10"/>
      <c r="B2588" s="19" t="s">
        <v>6054</v>
      </c>
      <c r="D2588" s="11">
        <v>0</v>
      </c>
      <c r="E2588" s="27">
        <f t="shared" si="196"/>
        <v>0</v>
      </c>
      <c r="F2588" s="6">
        <f t="shared" si="192"/>
        <v>0</v>
      </c>
      <c r="G2588" s="7">
        <f t="shared" si="193"/>
        <v>0</v>
      </c>
      <c r="H2588" s="8">
        <f t="shared" si="194"/>
        <v>0</v>
      </c>
      <c r="I2588" s="9">
        <f t="shared" si="195"/>
        <v>0</v>
      </c>
    </row>
    <row r="2589" spans="1:9" x14ac:dyDescent="0.35">
      <c r="A2589" s="10" t="s">
        <v>6053</v>
      </c>
      <c r="B2589" s="24" t="s">
        <v>6055</v>
      </c>
      <c r="C2589" s="20">
        <v>45677</v>
      </c>
      <c r="D2589" s="11">
        <v>5437.6</v>
      </c>
      <c r="E2589" s="27">
        <f t="shared" si="196"/>
        <v>6053.1363200000005</v>
      </c>
      <c r="F2589" s="6">
        <f t="shared" si="192"/>
        <v>7869.0772160000006</v>
      </c>
      <c r="G2589" s="7">
        <f t="shared" si="193"/>
        <v>8474.3908480000009</v>
      </c>
      <c r="H2589" s="8">
        <f t="shared" si="194"/>
        <v>9079.7044800000003</v>
      </c>
      <c r="I2589" s="9">
        <f t="shared" si="195"/>
        <v>9685.0181120000016</v>
      </c>
    </row>
    <row r="2590" spans="1:9" ht="15.75" customHeight="1" x14ac:dyDescent="0.4">
      <c r="B2590" s="19" t="s">
        <v>3137</v>
      </c>
      <c r="D2590" s="11">
        <v>0</v>
      </c>
      <c r="E2590" s="27">
        <f t="shared" si="196"/>
        <v>0</v>
      </c>
      <c r="F2590" s="6">
        <f t="shared" si="192"/>
        <v>0</v>
      </c>
      <c r="G2590" s="7">
        <f t="shared" si="193"/>
        <v>0</v>
      </c>
      <c r="H2590" s="8">
        <f t="shared" si="194"/>
        <v>0</v>
      </c>
      <c r="I2590" s="9">
        <f t="shared" si="195"/>
        <v>0</v>
      </c>
    </row>
    <row r="2591" spans="1:9" x14ac:dyDescent="0.35">
      <c r="A2591" s="24" t="s">
        <v>43</v>
      </c>
      <c r="B2591" s="18" t="s">
        <v>2013</v>
      </c>
      <c r="C2591" s="20">
        <v>45363</v>
      </c>
      <c r="D2591" s="11">
        <v>0</v>
      </c>
      <c r="E2591" s="27">
        <f t="shared" si="196"/>
        <v>0</v>
      </c>
      <c r="F2591" s="6">
        <f t="shared" si="192"/>
        <v>0</v>
      </c>
      <c r="G2591" s="7">
        <f t="shared" si="193"/>
        <v>0</v>
      </c>
      <c r="H2591" s="8">
        <f t="shared" si="194"/>
        <v>0</v>
      </c>
      <c r="I2591" s="9">
        <f t="shared" si="195"/>
        <v>0</v>
      </c>
    </row>
    <row r="2592" spans="1:9" x14ac:dyDescent="0.35">
      <c r="A2592" s="24" t="s">
        <v>44</v>
      </c>
      <c r="B2592" s="18" t="s">
        <v>2014</v>
      </c>
      <c r="C2592" s="20">
        <v>45363</v>
      </c>
      <c r="D2592" s="11">
        <v>0</v>
      </c>
      <c r="E2592" s="27">
        <f t="shared" si="196"/>
        <v>0</v>
      </c>
      <c r="F2592" s="6">
        <f t="shared" si="192"/>
        <v>0</v>
      </c>
      <c r="G2592" s="7">
        <f t="shared" si="193"/>
        <v>0</v>
      </c>
      <c r="H2592" s="8">
        <f t="shared" si="194"/>
        <v>0</v>
      </c>
      <c r="I2592" s="9">
        <f t="shared" si="195"/>
        <v>0</v>
      </c>
    </row>
    <row r="2593" spans="1:9" x14ac:dyDescent="0.35">
      <c r="A2593" s="24" t="s">
        <v>2012</v>
      </c>
      <c r="B2593" s="18" t="s">
        <v>2015</v>
      </c>
      <c r="C2593" s="20">
        <v>45363</v>
      </c>
      <c r="D2593" s="11">
        <v>0</v>
      </c>
      <c r="E2593" s="27">
        <f t="shared" si="196"/>
        <v>0</v>
      </c>
      <c r="F2593" s="6">
        <f t="shared" si="192"/>
        <v>0</v>
      </c>
      <c r="G2593" s="7">
        <f t="shared" si="193"/>
        <v>0</v>
      </c>
      <c r="H2593" s="8">
        <f t="shared" si="194"/>
        <v>0</v>
      </c>
      <c r="I2593" s="9">
        <f t="shared" si="195"/>
        <v>0</v>
      </c>
    </row>
    <row r="2594" spans="1:9" ht="15.75" customHeight="1" x14ac:dyDescent="0.4">
      <c r="B2594" s="19" t="s">
        <v>2016</v>
      </c>
      <c r="D2594" s="11">
        <v>0</v>
      </c>
      <c r="E2594" s="27">
        <f t="shared" si="196"/>
        <v>0</v>
      </c>
      <c r="F2594" s="6">
        <f t="shared" si="192"/>
        <v>0</v>
      </c>
      <c r="G2594" s="7">
        <f t="shared" si="193"/>
        <v>0</v>
      </c>
      <c r="H2594" s="8">
        <f t="shared" si="194"/>
        <v>0</v>
      </c>
      <c r="I2594" s="9">
        <f t="shared" si="195"/>
        <v>0</v>
      </c>
    </row>
    <row r="2595" spans="1:9" x14ac:dyDescent="0.35">
      <c r="A2595" s="24" t="s">
        <v>2020</v>
      </c>
      <c r="B2595" s="18" t="s">
        <v>332</v>
      </c>
      <c r="C2595" s="20">
        <v>45594</v>
      </c>
      <c r="D2595" s="11">
        <v>16302.686400000002</v>
      </c>
      <c r="E2595" s="27">
        <f t="shared" si="196"/>
        <v>18148.150500480002</v>
      </c>
      <c r="F2595" s="6">
        <f t="shared" si="192"/>
        <v>23592.595650624004</v>
      </c>
      <c r="G2595" s="7">
        <f t="shared" si="193"/>
        <v>25407.410700672001</v>
      </c>
      <c r="H2595" s="8">
        <f t="shared" si="194"/>
        <v>27222.225750720005</v>
      </c>
      <c r="I2595" s="9">
        <f t="shared" si="195"/>
        <v>29037.040800768005</v>
      </c>
    </row>
    <row r="2596" spans="1:9" x14ac:dyDescent="0.35">
      <c r="A2596" s="24" t="s">
        <v>2021</v>
      </c>
      <c r="B2596" s="18" t="s">
        <v>3458</v>
      </c>
      <c r="C2596" s="20">
        <v>45594</v>
      </c>
      <c r="D2596" s="11">
        <v>22289.707440000002</v>
      </c>
      <c r="E2596" s="27">
        <f t="shared" si="196"/>
        <v>24812.902322208003</v>
      </c>
      <c r="F2596" s="6">
        <f t="shared" si="192"/>
        <v>32256.773018870404</v>
      </c>
      <c r="G2596" s="7">
        <f t="shared" si="193"/>
        <v>34738.063251091204</v>
      </c>
      <c r="H2596" s="8">
        <f t="shared" si="194"/>
        <v>37219.353483312007</v>
      </c>
      <c r="I2596" s="9">
        <f t="shared" si="195"/>
        <v>39700.643715532809</v>
      </c>
    </row>
    <row r="2597" spans="1:9" x14ac:dyDescent="0.35">
      <c r="A2597" s="24" t="s">
        <v>330</v>
      </c>
      <c r="B2597" s="18" t="s">
        <v>331</v>
      </c>
      <c r="C2597" s="20">
        <v>45594</v>
      </c>
      <c r="D2597" s="11">
        <v>8910.2613600000004</v>
      </c>
      <c r="E2597" s="27">
        <f t="shared" si="196"/>
        <v>9918.9029459520007</v>
      </c>
      <c r="F2597" s="6">
        <f t="shared" ref="F2597:F2666" si="197">E2597*1.3</f>
        <v>12894.573829737601</v>
      </c>
      <c r="G2597" s="7">
        <f t="shared" ref="G2597:G2666" si="198">E2597*1.4</f>
        <v>13886.464124332801</v>
      </c>
      <c r="H2597" s="8">
        <f t="shared" ref="H2597:H2666" si="199">E2597*1.5</f>
        <v>14878.354418928</v>
      </c>
      <c r="I2597" s="9">
        <f t="shared" ref="I2597:I2666" si="200">E2597*1.6</f>
        <v>15870.244713523201</v>
      </c>
    </row>
    <row r="2598" spans="1:9" ht="18" x14ac:dyDescent="0.4">
      <c r="B2598" s="19" t="s">
        <v>6199</v>
      </c>
      <c r="D2598" s="11">
        <v>0</v>
      </c>
      <c r="E2598" s="27">
        <f t="shared" si="196"/>
        <v>0</v>
      </c>
      <c r="F2598" s="6">
        <f t="shared" si="197"/>
        <v>0</v>
      </c>
      <c r="G2598" s="7">
        <f t="shared" si="198"/>
        <v>0</v>
      </c>
      <c r="H2598" s="8">
        <f t="shared" si="199"/>
        <v>0</v>
      </c>
      <c r="I2598" s="9">
        <f t="shared" si="200"/>
        <v>0</v>
      </c>
    </row>
    <row r="2599" spans="1:9" x14ac:dyDescent="0.35">
      <c r="A2599" s="24" t="s">
        <v>4886</v>
      </c>
      <c r="B2599" s="24" t="s">
        <v>6760</v>
      </c>
      <c r="C2599" s="20">
        <v>45692</v>
      </c>
      <c r="D2599" s="11">
        <v>376</v>
      </c>
      <c r="E2599" s="27">
        <f t="shared" si="196"/>
        <v>418.56319999999999</v>
      </c>
      <c r="F2599" s="6">
        <f t="shared" si="197"/>
        <v>544.13216</v>
      </c>
      <c r="G2599" s="7">
        <f t="shared" si="198"/>
        <v>585.98847999999998</v>
      </c>
      <c r="H2599" s="8">
        <f t="shared" si="199"/>
        <v>627.84479999999996</v>
      </c>
      <c r="I2599" s="9">
        <f t="shared" si="200"/>
        <v>669.70112000000006</v>
      </c>
    </row>
    <row r="2600" spans="1:9" x14ac:dyDescent="0.35">
      <c r="A2600" s="24" t="s">
        <v>6759</v>
      </c>
      <c r="B2600" s="24" t="s">
        <v>6761</v>
      </c>
      <c r="C2600" s="20">
        <v>45692</v>
      </c>
      <c r="D2600" s="11">
        <v>679.7</v>
      </c>
      <c r="E2600" s="27">
        <f t="shared" si="196"/>
        <v>756.64204000000007</v>
      </c>
      <c r="F2600" s="6">
        <f t="shared" si="197"/>
        <v>983.63465200000007</v>
      </c>
      <c r="G2600" s="7">
        <f t="shared" si="198"/>
        <v>1059.2988560000001</v>
      </c>
      <c r="H2600" s="8">
        <f t="shared" si="199"/>
        <v>1134.96306</v>
      </c>
      <c r="I2600" s="9">
        <f t="shared" si="200"/>
        <v>1210.6272640000002</v>
      </c>
    </row>
    <row r="2601" spans="1:9" ht="15.75" customHeight="1" x14ac:dyDescent="0.4">
      <c r="B2601" s="19" t="s">
        <v>261</v>
      </c>
      <c r="D2601" s="11">
        <v>0</v>
      </c>
      <c r="E2601" s="27">
        <f t="shared" si="196"/>
        <v>0</v>
      </c>
      <c r="F2601" s="6">
        <f t="shared" si="197"/>
        <v>0</v>
      </c>
      <c r="G2601" s="7">
        <f t="shared" si="198"/>
        <v>0</v>
      </c>
      <c r="H2601" s="8">
        <f t="shared" si="199"/>
        <v>0</v>
      </c>
      <c r="I2601" s="9">
        <f t="shared" si="200"/>
        <v>0</v>
      </c>
    </row>
    <row r="2602" spans="1:9" x14ac:dyDescent="0.35">
      <c r="A2602" s="18" t="s">
        <v>3096</v>
      </c>
      <c r="B2602" s="18" t="s">
        <v>2677</v>
      </c>
      <c r="C2602" s="20">
        <v>45692</v>
      </c>
      <c r="D2602" s="11">
        <v>6626</v>
      </c>
      <c r="E2602" s="27">
        <f t="shared" si="196"/>
        <v>7376.0632000000005</v>
      </c>
      <c r="F2602" s="6">
        <f t="shared" si="197"/>
        <v>9588.882160000001</v>
      </c>
      <c r="G2602" s="7">
        <f t="shared" si="198"/>
        <v>10326.48848</v>
      </c>
      <c r="H2602" s="8">
        <f t="shared" si="199"/>
        <v>11064.094800000001</v>
      </c>
      <c r="I2602" s="9">
        <f t="shared" si="200"/>
        <v>11801.701120000002</v>
      </c>
    </row>
    <row r="2603" spans="1:9" x14ac:dyDescent="0.35">
      <c r="A2603" s="18" t="s">
        <v>3097</v>
      </c>
      <c r="B2603" s="18" t="s">
        <v>2678</v>
      </c>
      <c r="C2603" s="20">
        <v>45471</v>
      </c>
      <c r="D2603" s="11">
        <v>3300</v>
      </c>
      <c r="E2603" s="27">
        <f t="shared" si="196"/>
        <v>3673.56</v>
      </c>
      <c r="F2603" s="6">
        <f t="shared" si="197"/>
        <v>4775.6279999999997</v>
      </c>
      <c r="G2603" s="7">
        <f t="shared" si="198"/>
        <v>5142.9839999999995</v>
      </c>
      <c r="H2603" s="8">
        <f t="shared" si="199"/>
        <v>5510.34</v>
      </c>
      <c r="I2603" s="9">
        <f t="shared" si="200"/>
        <v>5877.6959999999999</v>
      </c>
    </row>
    <row r="2604" spans="1:9" x14ac:dyDescent="0.35">
      <c r="A2604" s="18" t="s">
        <v>3098</v>
      </c>
      <c r="B2604" s="18" t="s">
        <v>2679</v>
      </c>
      <c r="C2604" s="20">
        <v>45703</v>
      </c>
      <c r="D2604" s="11">
        <v>1836</v>
      </c>
      <c r="E2604" s="27">
        <f t="shared" si="196"/>
        <v>2043.8352</v>
      </c>
      <c r="F2604" s="6">
        <f t="shared" si="197"/>
        <v>2656.98576</v>
      </c>
      <c r="G2604" s="7">
        <f t="shared" si="198"/>
        <v>2861.3692799999999</v>
      </c>
      <c r="H2604" s="8">
        <f t="shared" si="199"/>
        <v>3065.7528000000002</v>
      </c>
      <c r="I2604" s="9">
        <f t="shared" si="200"/>
        <v>3270.1363200000001</v>
      </c>
    </row>
    <row r="2605" spans="1:9" x14ac:dyDescent="0.35">
      <c r="A2605" s="18" t="s">
        <v>3099</v>
      </c>
      <c r="B2605" s="18" t="s">
        <v>2680</v>
      </c>
      <c r="C2605" s="20">
        <v>45677</v>
      </c>
      <c r="D2605" s="11">
        <v>3543</v>
      </c>
      <c r="E2605" s="27">
        <f t="shared" si="196"/>
        <v>3944.0675999999999</v>
      </c>
      <c r="F2605" s="6">
        <f t="shared" si="197"/>
        <v>5127.2878799999999</v>
      </c>
      <c r="G2605" s="7">
        <f t="shared" si="198"/>
        <v>5521.6946399999997</v>
      </c>
      <c r="H2605" s="8">
        <f t="shared" si="199"/>
        <v>5916.1013999999996</v>
      </c>
      <c r="I2605" s="9">
        <f t="shared" si="200"/>
        <v>6310.5081600000003</v>
      </c>
    </row>
    <row r="2606" spans="1:9" x14ac:dyDescent="0.35">
      <c r="A2606" s="18" t="s">
        <v>2022</v>
      </c>
      <c r="B2606" s="18" t="s">
        <v>6428</v>
      </c>
      <c r="C2606" s="20">
        <v>45363</v>
      </c>
      <c r="D2606" s="11">
        <v>752</v>
      </c>
      <c r="E2606" s="27">
        <f t="shared" si="196"/>
        <v>837.12639999999999</v>
      </c>
      <c r="F2606" s="6">
        <f t="shared" si="197"/>
        <v>1088.26432</v>
      </c>
      <c r="G2606" s="7">
        <f t="shared" si="198"/>
        <v>1171.97696</v>
      </c>
      <c r="H2606" s="8">
        <f t="shared" si="199"/>
        <v>1255.6895999999999</v>
      </c>
      <c r="I2606" s="9">
        <f t="shared" si="200"/>
        <v>1339.4022400000001</v>
      </c>
    </row>
    <row r="2607" spans="1:9" x14ac:dyDescent="0.35">
      <c r="A2607" s="18" t="s">
        <v>4743</v>
      </c>
      <c r="B2607" s="18" t="s">
        <v>4744</v>
      </c>
      <c r="C2607" s="20">
        <v>45363</v>
      </c>
      <c r="D2607" s="11">
        <v>6358.4516499803603</v>
      </c>
      <c r="E2607" s="27">
        <f t="shared" si="196"/>
        <v>7078.2283767581375</v>
      </c>
      <c r="F2607" s="6">
        <f t="shared" si="197"/>
        <v>9201.6968897855786</v>
      </c>
      <c r="G2607" s="7">
        <f t="shared" si="198"/>
        <v>9909.5197274613911</v>
      </c>
      <c r="H2607" s="8">
        <f t="shared" si="199"/>
        <v>10617.342565137205</v>
      </c>
      <c r="I2607" s="9">
        <f t="shared" si="200"/>
        <v>11325.165402813022</v>
      </c>
    </row>
    <row r="2608" spans="1:9" x14ac:dyDescent="0.35">
      <c r="A2608" s="18" t="s">
        <v>4806</v>
      </c>
      <c r="B2608" s="18" t="s">
        <v>4807</v>
      </c>
      <c r="C2608" s="20">
        <v>45511</v>
      </c>
      <c r="D2608" s="11">
        <v>6152.9</v>
      </c>
      <c r="E2608" s="27">
        <f t="shared" si="196"/>
        <v>6849.4082799999996</v>
      </c>
      <c r="F2608" s="6">
        <f t="shared" si="197"/>
        <v>8904.2307639999999</v>
      </c>
      <c r="G2608" s="7">
        <f t="shared" si="198"/>
        <v>9589.1715919999988</v>
      </c>
      <c r="H2608" s="8">
        <f t="shared" si="199"/>
        <v>10274.112419999999</v>
      </c>
      <c r="I2608" s="9">
        <f t="shared" si="200"/>
        <v>10959.053248</v>
      </c>
    </row>
    <row r="2609" spans="1:9" x14ac:dyDescent="0.35">
      <c r="A2609" s="36" t="s">
        <v>4882</v>
      </c>
      <c r="B2609" s="36" t="s">
        <v>4883</v>
      </c>
      <c r="C2609" s="38">
        <v>45731</v>
      </c>
      <c r="D2609" s="11">
        <v>1101.9000000000001</v>
      </c>
      <c r="E2609" s="27">
        <f t="shared" si="196"/>
        <v>1226.63508</v>
      </c>
      <c r="F2609" s="6">
        <f t="shared" si="197"/>
        <v>1594.6256040000001</v>
      </c>
      <c r="G2609" s="7">
        <f t="shared" si="198"/>
        <v>1717.2891119999999</v>
      </c>
      <c r="H2609" s="8">
        <f t="shared" si="199"/>
        <v>1839.95262</v>
      </c>
      <c r="I2609" s="9">
        <f t="shared" si="200"/>
        <v>1962.6161280000001</v>
      </c>
    </row>
    <row r="2610" spans="1:9" x14ac:dyDescent="0.35">
      <c r="A2610" s="18" t="s">
        <v>4884</v>
      </c>
      <c r="B2610" s="18" t="s">
        <v>4885</v>
      </c>
      <c r="C2610" s="20">
        <v>45363</v>
      </c>
      <c r="D2610" s="11">
        <v>0</v>
      </c>
      <c r="E2610" s="27">
        <f t="shared" si="196"/>
        <v>0</v>
      </c>
      <c r="F2610" s="6">
        <f t="shared" si="197"/>
        <v>0</v>
      </c>
      <c r="G2610" s="7">
        <f t="shared" si="198"/>
        <v>0</v>
      </c>
      <c r="H2610" s="8">
        <f t="shared" si="199"/>
        <v>0</v>
      </c>
      <c r="I2610" s="9">
        <f t="shared" si="200"/>
        <v>0</v>
      </c>
    </row>
    <row r="2611" spans="1:9" x14ac:dyDescent="0.35">
      <c r="A2611" s="18" t="s">
        <v>5608</v>
      </c>
      <c r="B2611" s="18" t="s">
        <v>5609</v>
      </c>
      <c r="C2611" s="20">
        <v>45363</v>
      </c>
      <c r="D2611" s="11">
        <v>1734.4633402657839</v>
      </c>
      <c r="E2611" s="27">
        <f t="shared" si="196"/>
        <v>1930.8045903838706</v>
      </c>
      <c r="F2611" s="6">
        <f t="shared" si="197"/>
        <v>2510.045967499032</v>
      </c>
      <c r="G2611" s="7">
        <f t="shared" si="198"/>
        <v>2703.1264265374189</v>
      </c>
      <c r="H2611" s="8">
        <f t="shared" si="199"/>
        <v>2896.2068855758062</v>
      </c>
      <c r="I2611" s="9">
        <f t="shared" si="200"/>
        <v>3089.287344614193</v>
      </c>
    </row>
    <row r="2612" spans="1:9" x14ac:dyDescent="0.35">
      <c r="A2612" s="18" t="s">
        <v>6046</v>
      </c>
      <c r="B2612" s="18" t="s">
        <v>6047</v>
      </c>
      <c r="C2612" s="20">
        <v>45591</v>
      </c>
      <c r="D2612" s="11">
        <v>5292</v>
      </c>
      <c r="E2612" s="27">
        <f t="shared" si="196"/>
        <v>5891.0544</v>
      </c>
      <c r="F2612" s="6">
        <f t="shared" si="197"/>
        <v>7658.3707199999999</v>
      </c>
      <c r="G2612" s="7">
        <f t="shared" si="198"/>
        <v>8247.4761600000002</v>
      </c>
      <c r="H2612" s="8">
        <f t="shared" si="199"/>
        <v>8836.5815999999995</v>
      </c>
      <c r="I2612" s="9">
        <f t="shared" si="200"/>
        <v>9425.6870400000007</v>
      </c>
    </row>
    <row r="2613" spans="1:9" ht="18" x14ac:dyDescent="0.4">
      <c r="B2613" s="21" t="s">
        <v>4793</v>
      </c>
      <c r="D2613" s="11">
        <v>0</v>
      </c>
      <c r="E2613" s="27">
        <f t="shared" si="196"/>
        <v>0</v>
      </c>
      <c r="F2613" s="6">
        <f t="shared" si="197"/>
        <v>0</v>
      </c>
      <c r="G2613" s="7">
        <f t="shared" si="198"/>
        <v>0</v>
      </c>
      <c r="H2613" s="8">
        <f t="shared" si="199"/>
        <v>0</v>
      </c>
      <c r="I2613" s="9">
        <f t="shared" si="200"/>
        <v>0</v>
      </c>
    </row>
    <row r="2614" spans="1:9" x14ac:dyDescent="0.35">
      <c r="A2614" s="18" t="s">
        <v>4797</v>
      </c>
      <c r="B2614" s="18" t="s">
        <v>4794</v>
      </c>
      <c r="C2614" s="20">
        <v>45710</v>
      </c>
      <c r="D2614" s="11">
        <v>9769.6694550000029</v>
      </c>
      <c r="E2614" s="27">
        <f t="shared" si="196"/>
        <v>10875.596037306002</v>
      </c>
      <c r="F2614" s="6">
        <f t="shared" si="197"/>
        <v>14138.274848497804</v>
      </c>
      <c r="G2614" s="7">
        <f t="shared" si="198"/>
        <v>15225.834452228402</v>
      </c>
      <c r="H2614" s="8">
        <f t="shared" si="199"/>
        <v>16313.394055959005</v>
      </c>
      <c r="I2614" s="9">
        <f t="shared" si="200"/>
        <v>17400.953659689603</v>
      </c>
    </row>
    <row r="2615" spans="1:9" x14ac:dyDescent="0.35">
      <c r="A2615" s="18" t="s">
        <v>4798</v>
      </c>
      <c r="B2615" s="18" t="s">
        <v>4795</v>
      </c>
      <c r="C2615" s="20">
        <v>45710</v>
      </c>
      <c r="D2615" s="11">
        <v>13141.252005000002</v>
      </c>
      <c r="E2615" s="27">
        <f t="shared" si="196"/>
        <v>14628.841731966002</v>
      </c>
      <c r="F2615" s="6">
        <f t="shared" si="197"/>
        <v>19017.494251555803</v>
      </c>
      <c r="G2615" s="7">
        <f t="shared" si="198"/>
        <v>20480.378424752402</v>
      </c>
      <c r="H2615" s="8">
        <f t="shared" si="199"/>
        <v>21943.262597949004</v>
      </c>
      <c r="I2615" s="9">
        <f t="shared" si="200"/>
        <v>23406.146771145606</v>
      </c>
    </row>
    <row r="2616" spans="1:9" x14ac:dyDescent="0.35">
      <c r="A2616" s="18" t="s">
        <v>4799</v>
      </c>
      <c r="B2616" s="18" t="s">
        <v>4796</v>
      </c>
      <c r="C2616" s="20">
        <v>45710</v>
      </c>
      <c r="D2616" s="11">
        <v>17625.300000000003</v>
      </c>
      <c r="E2616" s="27">
        <f t="shared" si="196"/>
        <v>19620.483960000001</v>
      </c>
      <c r="F2616" s="6">
        <f t="shared" si="197"/>
        <v>25506.629148000004</v>
      </c>
      <c r="G2616" s="7">
        <f t="shared" si="198"/>
        <v>27468.677544000002</v>
      </c>
      <c r="H2616" s="8">
        <f t="shared" si="199"/>
        <v>29430.725940000004</v>
      </c>
      <c r="I2616" s="9">
        <f t="shared" si="200"/>
        <v>31392.774336000002</v>
      </c>
    </row>
    <row r="2617" spans="1:9" x14ac:dyDescent="0.35">
      <c r="A2617" s="18" t="s">
        <v>5747</v>
      </c>
      <c r="B2617" s="18" t="s">
        <v>5748</v>
      </c>
      <c r="C2617" s="20">
        <v>45710</v>
      </c>
      <c r="D2617" s="11">
        <v>10556.341530000002</v>
      </c>
      <c r="E2617" s="27">
        <f t="shared" si="196"/>
        <v>11751.319391196001</v>
      </c>
      <c r="F2617" s="6">
        <f t="shared" si="197"/>
        <v>15276.7152085548</v>
      </c>
      <c r="G2617" s="7">
        <f t="shared" si="198"/>
        <v>16451.847147674402</v>
      </c>
      <c r="H2617" s="8">
        <f t="shared" si="199"/>
        <v>17626.979086794003</v>
      </c>
      <c r="I2617" s="9">
        <f t="shared" si="200"/>
        <v>18802.1110259136</v>
      </c>
    </row>
    <row r="2618" spans="1:9" ht="15.75" customHeight="1" x14ac:dyDescent="0.4">
      <c r="B2618" s="19" t="s">
        <v>724</v>
      </c>
      <c r="D2618" s="11">
        <v>0</v>
      </c>
      <c r="E2618" s="27">
        <f t="shared" si="196"/>
        <v>0</v>
      </c>
      <c r="F2618" s="6">
        <f t="shared" si="197"/>
        <v>0</v>
      </c>
      <c r="G2618" s="7">
        <f t="shared" si="198"/>
        <v>0</v>
      </c>
      <c r="H2618" s="8">
        <f t="shared" si="199"/>
        <v>0</v>
      </c>
      <c r="I2618" s="9">
        <f t="shared" si="200"/>
        <v>0</v>
      </c>
    </row>
    <row r="2619" spans="1:9" x14ac:dyDescent="0.35">
      <c r="A2619" s="18" t="s">
        <v>3100</v>
      </c>
      <c r="B2619" s="18" t="s">
        <v>722</v>
      </c>
      <c r="C2619" s="20">
        <v>45517</v>
      </c>
      <c r="D2619" s="11">
        <v>46800</v>
      </c>
      <c r="E2619" s="27">
        <f t="shared" si="196"/>
        <v>52097.760000000002</v>
      </c>
      <c r="F2619" s="6">
        <f t="shared" si="197"/>
        <v>67727.088000000003</v>
      </c>
      <c r="G2619" s="7">
        <f t="shared" si="198"/>
        <v>72936.864000000001</v>
      </c>
      <c r="H2619" s="8">
        <f t="shared" si="199"/>
        <v>78146.64</v>
      </c>
      <c r="I2619" s="9">
        <f t="shared" si="200"/>
        <v>83356.416000000012</v>
      </c>
    </row>
    <row r="2620" spans="1:9" x14ac:dyDescent="0.35">
      <c r="A2620" s="18" t="s">
        <v>3101</v>
      </c>
      <c r="B2620" s="18" t="s">
        <v>723</v>
      </c>
      <c r="C2620" s="20">
        <v>45517</v>
      </c>
      <c r="D2620" s="11">
        <v>62400</v>
      </c>
      <c r="E2620" s="27">
        <f t="shared" si="196"/>
        <v>69463.680000000008</v>
      </c>
      <c r="F2620" s="6">
        <f t="shared" si="197"/>
        <v>90302.784000000014</v>
      </c>
      <c r="G2620" s="7">
        <f t="shared" si="198"/>
        <v>97249.152000000002</v>
      </c>
      <c r="H2620" s="8">
        <f t="shared" si="199"/>
        <v>104195.52000000002</v>
      </c>
      <c r="I2620" s="9">
        <f t="shared" si="200"/>
        <v>111141.88800000002</v>
      </c>
    </row>
    <row r="2621" spans="1:9" ht="18" x14ac:dyDescent="0.4">
      <c r="B2621" s="19" t="s">
        <v>6425</v>
      </c>
      <c r="D2621" s="11">
        <v>0</v>
      </c>
      <c r="E2621" s="27">
        <f t="shared" si="196"/>
        <v>0</v>
      </c>
      <c r="F2621" s="6">
        <f t="shared" si="197"/>
        <v>0</v>
      </c>
      <c r="G2621" s="7">
        <f t="shared" si="198"/>
        <v>0</v>
      </c>
      <c r="H2621" s="8">
        <f t="shared" si="199"/>
        <v>0</v>
      </c>
      <c r="I2621" s="9">
        <f t="shared" si="200"/>
        <v>0</v>
      </c>
    </row>
    <row r="2622" spans="1:9" x14ac:dyDescent="0.35">
      <c r="A2622" s="18" t="s">
        <v>6424</v>
      </c>
      <c r="B2622" s="18" t="s">
        <v>6426</v>
      </c>
      <c r="C2622" s="20">
        <v>45726</v>
      </c>
      <c r="D2622" s="11">
        <v>18634.244999999999</v>
      </c>
      <c r="E2622" s="27">
        <f t="shared" si="196"/>
        <v>20743.641533999999</v>
      </c>
      <c r="F2622" s="6">
        <f t="shared" si="197"/>
        <v>26966.7339942</v>
      </c>
      <c r="G2622" s="7">
        <f t="shared" si="198"/>
        <v>29041.098147599994</v>
      </c>
      <c r="H2622" s="8">
        <f t="shared" si="199"/>
        <v>31115.462301</v>
      </c>
      <c r="I2622" s="9">
        <f t="shared" si="200"/>
        <v>33189.826454399998</v>
      </c>
    </row>
    <row r="2623" spans="1:9" x14ac:dyDescent="0.35">
      <c r="A2623" s="18" t="s">
        <v>6728</v>
      </c>
      <c r="B2623" s="18" t="s">
        <v>6729</v>
      </c>
      <c r="C2623" s="20">
        <v>45726</v>
      </c>
      <c r="D2623" s="11">
        <v>24506.79</v>
      </c>
      <c r="E2623" s="27">
        <f t="shared" si="196"/>
        <v>27280.958628</v>
      </c>
      <c r="F2623" s="6">
        <f t="shared" si="197"/>
        <v>35465.246216400003</v>
      </c>
      <c r="G2623" s="7">
        <f t="shared" si="198"/>
        <v>38193.342079199996</v>
      </c>
      <c r="H2623" s="8">
        <f t="shared" si="199"/>
        <v>40921.437942000004</v>
      </c>
      <c r="I2623" s="9">
        <f t="shared" si="200"/>
        <v>43649.533804800005</v>
      </c>
    </row>
    <row r="2624" spans="1:9" ht="18" x14ac:dyDescent="0.4">
      <c r="B2624" s="19" t="s">
        <v>5014</v>
      </c>
      <c r="D2624" s="11">
        <v>0</v>
      </c>
      <c r="E2624" s="27">
        <f t="shared" si="196"/>
        <v>0</v>
      </c>
      <c r="F2624" s="6">
        <f t="shared" si="197"/>
        <v>0</v>
      </c>
      <c r="G2624" s="7">
        <f t="shared" si="198"/>
        <v>0</v>
      </c>
      <c r="H2624" s="8">
        <f t="shared" si="199"/>
        <v>0</v>
      </c>
      <c r="I2624" s="9">
        <f t="shared" si="200"/>
        <v>0</v>
      </c>
    </row>
    <row r="2625" spans="1:9" x14ac:dyDescent="0.35">
      <c r="A2625" s="18" t="s">
        <v>5015</v>
      </c>
      <c r="B2625" s="18" t="s">
        <v>5016</v>
      </c>
      <c r="C2625" s="20">
        <v>45444</v>
      </c>
      <c r="D2625" s="11">
        <v>11700</v>
      </c>
      <c r="E2625" s="27">
        <f t="shared" si="196"/>
        <v>13024.44</v>
      </c>
      <c r="F2625" s="6">
        <f t="shared" si="197"/>
        <v>16931.772000000001</v>
      </c>
      <c r="G2625" s="7">
        <f t="shared" si="198"/>
        <v>18234.216</v>
      </c>
      <c r="H2625" s="8">
        <f t="shared" si="199"/>
        <v>19536.66</v>
      </c>
      <c r="I2625" s="9">
        <f t="shared" si="200"/>
        <v>20839.104000000003</v>
      </c>
    </row>
    <row r="2626" spans="1:9" ht="15.75" customHeight="1" x14ac:dyDescent="0.4">
      <c r="B2626" s="19" t="s">
        <v>2025</v>
      </c>
      <c r="D2626" s="11">
        <v>0</v>
      </c>
      <c r="E2626" s="27">
        <f t="shared" si="196"/>
        <v>0</v>
      </c>
      <c r="F2626" s="6">
        <f t="shared" si="197"/>
        <v>0</v>
      </c>
      <c r="G2626" s="7">
        <f t="shared" si="198"/>
        <v>0</v>
      </c>
      <c r="H2626" s="8">
        <f t="shared" si="199"/>
        <v>0</v>
      </c>
      <c r="I2626" s="9">
        <f t="shared" si="200"/>
        <v>0</v>
      </c>
    </row>
    <row r="2627" spans="1:9" x14ac:dyDescent="0.35">
      <c r="A2627" s="18" t="s">
        <v>2023</v>
      </c>
      <c r="B2627" s="18" t="s">
        <v>2027</v>
      </c>
      <c r="C2627" s="20">
        <v>45363</v>
      </c>
      <c r="D2627" s="11">
        <v>580</v>
      </c>
      <c r="E2627" s="27">
        <f t="shared" si="196"/>
        <v>645.65599999999995</v>
      </c>
      <c r="F2627" s="6">
        <f t="shared" si="197"/>
        <v>839.3528</v>
      </c>
      <c r="G2627" s="7">
        <f t="shared" si="198"/>
        <v>903.91839999999991</v>
      </c>
      <c r="H2627" s="8">
        <f t="shared" si="199"/>
        <v>968.48399999999992</v>
      </c>
      <c r="I2627" s="9">
        <f t="shared" si="200"/>
        <v>1033.0496000000001</v>
      </c>
    </row>
    <row r="2628" spans="1:9" x14ac:dyDescent="0.35">
      <c r="A2628" s="18" t="s">
        <v>2024</v>
      </c>
      <c r="B2628" s="18" t="s">
        <v>2028</v>
      </c>
      <c r="C2628" s="20">
        <v>45363</v>
      </c>
      <c r="D2628" s="11">
        <v>2311.5149999999999</v>
      </c>
      <c r="E2628" s="27">
        <f t="shared" si="196"/>
        <v>2573.1784979999998</v>
      </c>
      <c r="F2628" s="6">
        <f t="shared" si="197"/>
        <v>3345.1320473999999</v>
      </c>
      <c r="G2628" s="7">
        <f t="shared" si="198"/>
        <v>3602.4498971999992</v>
      </c>
      <c r="H2628" s="8">
        <f t="shared" si="199"/>
        <v>3859.7677469999999</v>
      </c>
      <c r="I2628" s="9">
        <f t="shared" si="200"/>
        <v>4117.0855967999996</v>
      </c>
    </row>
    <row r="2629" spans="1:9" x14ac:dyDescent="0.35">
      <c r="A2629" s="18" t="s">
        <v>2026</v>
      </c>
      <c r="B2629" s="18" t="s">
        <v>2029</v>
      </c>
      <c r="C2629" s="20">
        <v>45363</v>
      </c>
      <c r="D2629" s="11">
        <v>2311.5149999999999</v>
      </c>
      <c r="E2629" s="27">
        <f t="shared" si="196"/>
        <v>2573.1784979999998</v>
      </c>
      <c r="F2629" s="6">
        <f t="shared" si="197"/>
        <v>3345.1320473999999</v>
      </c>
      <c r="G2629" s="7">
        <f t="shared" si="198"/>
        <v>3602.4498971999992</v>
      </c>
      <c r="H2629" s="8">
        <f t="shared" si="199"/>
        <v>3859.7677469999999</v>
      </c>
      <c r="I2629" s="9">
        <f t="shared" si="200"/>
        <v>4117.0855967999996</v>
      </c>
    </row>
    <row r="2630" spans="1:9" ht="18" x14ac:dyDescent="0.4">
      <c r="A2630" s="36"/>
      <c r="B2630" s="37" t="s">
        <v>4684</v>
      </c>
      <c r="C2630" s="38"/>
      <c r="D2630" s="11">
        <v>0</v>
      </c>
      <c r="E2630" s="27">
        <f t="shared" si="196"/>
        <v>0</v>
      </c>
      <c r="F2630" s="6">
        <f t="shared" si="197"/>
        <v>0</v>
      </c>
      <c r="G2630" s="7">
        <f t="shared" si="198"/>
        <v>0</v>
      </c>
      <c r="H2630" s="8">
        <f t="shared" si="199"/>
        <v>0</v>
      </c>
      <c r="I2630" s="9">
        <f t="shared" si="200"/>
        <v>0</v>
      </c>
    </row>
    <row r="2631" spans="1:9" x14ac:dyDescent="0.35">
      <c r="A2631" s="36" t="s">
        <v>4685</v>
      </c>
      <c r="B2631" s="36" t="s">
        <v>4686</v>
      </c>
      <c r="C2631" s="38">
        <v>45740</v>
      </c>
      <c r="D2631" s="11">
        <v>33215</v>
      </c>
      <c r="E2631" s="27">
        <f t="shared" si="196"/>
        <v>36974.938000000002</v>
      </c>
      <c r="F2631" s="6">
        <f t="shared" si="197"/>
        <v>48067.419400000006</v>
      </c>
      <c r="G2631" s="7">
        <f t="shared" si="198"/>
        <v>51764.913200000003</v>
      </c>
      <c r="H2631" s="8">
        <f t="shared" si="199"/>
        <v>55462.407000000007</v>
      </c>
      <c r="I2631" s="9">
        <f t="shared" si="200"/>
        <v>59159.900800000003</v>
      </c>
    </row>
    <row r="2632" spans="1:9" ht="18" x14ac:dyDescent="0.4">
      <c r="B2632" s="19" t="s">
        <v>6679</v>
      </c>
      <c r="D2632" s="11">
        <v>0</v>
      </c>
      <c r="E2632" s="27">
        <f t="shared" si="196"/>
        <v>0</v>
      </c>
      <c r="F2632" s="6">
        <f t="shared" si="197"/>
        <v>0</v>
      </c>
      <c r="G2632" s="7">
        <f t="shared" si="198"/>
        <v>0</v>
      </c>
      <c r="H2632" s="8">
        <f t="shared" si="199"/>
        <v>0</v>
      </c>
      <c r="I2632" s="9">
        <f t="shared" si="200"/>
        <v>0</v>
      </c>
    </row>
    <row r="2633" spans="1:9" x14ac:dyDescent="0.35">
      <c r="A2633" s="18" t="s">
        <v>3085</v>
      </c>
      <c r="B2633" s="18" t="s">
        <v>6680</v>
      </c>
      <c r="C2633" s="20">
        <v>45588</v>
      </c>
      <c r="D2633" s="11">
        <v>2104</v>
      </c>
      <c r="E2633" s="27">
        <f t="shared" si="196"/>
        <v>2342.1728000000003</v>
      </c>
      <c r="F2633" s="6">
        <f t="shared" si="197"/>
        <v>3044.8246400000003</v>
      </c>
      <c r="G2633" s="7">
        <f t="shared" si="198"/>
        <v>3279.0419200000001</v>
      </c>
      <c r="H2633" s="8">
        <f t="shared" si="199"/>
        <v>3513.2592000000004</v>
      </c>
      <c r="I2633" s="9">
        <f t="shared" si="200"/>
        <v>3747.4764800000007</v>
      </c>
    </row>
    <row r="2634" spans="1:9" ht="15.75" customHeight="1" x14ac:dyDescent="0.4">
      <c r="B2634" s="19" t="s">
        <v>262</v>
      </c>
      <c r="D2634" s="11">
        <v>0</v>
      </c>
      <c r="E2634" s="27">
        <f t="shared" si="196"/>
        <v>0</v>
      </c>
      <c r="F2634" s="6">
        <f t="shared" si="197"/>
        <v>0</v>
      </c>
      <c r="G2634" s="7">
        <f t="shared" si="198"/>
        <v>0</v>
      </c>
      <c r="H2634" s="8">
        <f t="shared" si="199"/>
        <v>0</v>
      </c>
      <c r="I2634" s="9">
        <f t="shared" si="200"/>
        <v>0</v>
      </c>
    </row>
    <row r="2635" spans="1:9" x14ac:dyDescent="0.35">
      <c r="A2635" s="18" t="s">
        <v>3102</v>
      </c>
      <c r="B2635" s="18" t="s">
        <v>2681</v>
      </c>
      <c r="C2635" s="20">
        <v>45608</v>
      </c>
      <c r="D2635" s="11">
        <v>3588.6375000000003</v>
      </c>
      <c r="E2635" s="27">
        <f t="shared" si="196"/>
        <v>3994.8712650000002</v>
      </c>
      <c r="F2635" s="6">
        <f t="shared" si="197"/>
        <v>5193.3326445000002</v>
      </c>
      <c r="G2635" s="7">
        <f t="shared" si="198"/>
        <v>5592.8197710000004</v>
      </c>
      <c r="H2635" s="8">
        <f t="shared" si="199"/>
        <v>5992.3068975000006</v>
      </c>
      <c r="I2635" s="9">
        <f t="shared" si="200"/>
        <v>6391.7940240000007</v>
      </c>
    </row>
    <row r="2636" spans="1:9" x14ac:dyDescent="0.35">
      <c r="A2636" s="18" t="s">
        <v>3103</v>
      </c>
      <c r="B2636" s="18" t="s">
        <v>2682</v>
      </c>
      <c r="C2636" s="20">
        <v>45608</v>
      </c>
      <c r="D2636" s="11">
        <v>3913.875</v>
      </c>
      <c r="E2636" s="27">
        <f t="shared" si="196"/>
        <v>4356.9256500000001</v>
      </c>
      <c r="F2636" s="6">
        <f t="shared" si="197"/>
        <v>5664.0033450000001</v>
      </c>
      <c r="G2636" s="7">
        <f t="shared" si="198"/>
        <v>6099.6959099999995</v>
      </c>
      <c r="H2636" s="8">
        <f t="shared" si="199"/>
        <v>6535.3884749999997</v>
      </c>
      <c r="I2636" s="9">
        <f t="shared" si="200"/>
        <v>6971.0810400000009</v>
      </c>
    </row>
    <row r="2637" spans="1:9" x14ac:dyDescent="0.35">
      <c r="A2637" s="18" t="s">
        <v>3104</v>
      </c>
      <c r="B2637" s="18" t="s">
        <v>2683</v>
      </c>
      <c r="C2637" s="20">
        <v>45608</v>
      </c>
      <c r="D2637" s="11">
        <v>4244.625</v>
      </c>
      <c r="E2637" s="27">
        <f t="shared" ref="E2637:E2700" si="201">D2637*1.21*0.92</f>
        <v>4725.1165500000006</v>
      </c>
      <c r="F2637" s="6">
        <f t="shared" si="197"/>
        <v>6142.6515150000014</v>
      </c>
      <c r="G2637" s="7">
        <f t="shared" si="198"/>
        <v>6615.1631700000007</v>
      </c>
      <c r="H2637" s="8">
        <f t="shared" si="199"/>
        <v>7087.674825000001</v>
      </c>
      <c r="I2637" s="9">
        <f t="shared" si="200"/>
        <v>7560.1864800000012</v>
      </c>
    </row>
    <row r="2638" spans="1:9" x14ac:dyDescent="0.35">
      <c r="A2638" s="18" t="s">
        <v>3105</v>
      </c>
      <c r="B2638" s="18" t="s">
        <v>1503</v>
      </c>
      <c r="C2638" s="20">
        <v>45363</v>
      </c>
      <c r="D2638" s="11">
        <v>1848.56</v>
      </c>
      <c r="E2638" s="27">
        <f t="shared" si="201"/>
        <v>2057.816992</v>
      </c>
      <c r="F2638" s="6">
        <f t="shared" si="197"/>
        <v>2675.1620895999999</v>
      </c>
      <c r="G2638" s="7">
        <f t="shared" si="198"/>
        <v>2880.9437887999998</v>
      </c>
      <c r="H2638" s="8">
        <f t="shared" si="199"/>
        <v>3086.725488</v>
      </c>
      <c r="I2638" s="9">
        <f t="shared" si="200"/>
        <v>3292.5071872000003</v>
      </c>
    </row>
    <row r="2639" spans="1:9" x14ac:dyDescent="0.35">
      <c r="A2639" s="18" t="s">
        <v>4742</v>
      </c>
      <c r="B2639" s="18" t="s">
        <v>6699</v>
      </c>
      <c r="C2639" s="20">
        <v>45363</v>
      </c>
      <c r="D2639" s="11">
        <v>4775.8410000000003</v>
      </c>
      <c r="E2639" s="27">
        <f t="shared" si="201"/>
        <v>5316.4662011999999</v>
      </c>
      <c r="F2639" s="6">
        <f t="shared" si="197"/>
        <v>6911.4060615600001</v>
      </c>
      <c r="G2639" s="7">
        <f t="shared" si="198"/>
        <v>7443.0526816799993</v>
      </c>
      <c r="H2639" s="8">
        <f t="shared" si="199"/>
        <v>7974.6993017999994</v>
      </c>
      <c r="I2639" s="9">
        <f t="shared" si="200"/>
        <v>8506.3459219199995</v>
      </c>
    </row>
    <row r="2640" spans="1:9" ht="15.75" customHeight="1" x14ac:dyDescent="0.4">
      <c r="B2640" s="19" t="s">
        <v>263</v>
      </c>
      <c r="D2640" s="11">
        <v>0</v>
      </c>
      <c r="E2640" s="27">
        <f t="shared" si="201"/>
        <v>0</v>
      </c>
      <c r="F2640" s="6">
        <f t="shared" si="197"/>
        <v>0</v>
      </c>
      <c r="G2640" s="7">
        <f t="shared" si="198"/>
        <v>0</v>
      </c>
      <c r="H2640" s="8">
        <f t="shared" si="199"/>
        <v>0</v>
      </c>
      <c r="I2640" s="9">
        <f t="shared" si="200"/>
        <v>0</v>
      </c>
    </row>
    <row r="2641" spans="1:9" x14ac:dyDescent="0.35">
      <c r="A2641" s="18" t="s">
        <v>3106</v>
      </c>
      <c r="B2641" s="18" t="s">
        <v>119</v>
      </c>
      <c r="C2641" s="20">
        <v>45717</v>
      </c>
      <c r="D2641" s="11">
        <v>1958.1035829815858</v>
      </c>
      <c r="E2641" s="27">
        <f t="shared" si="201"/>
        <v>2179.7609085751014</v>
      </c>
      <c r="F2641" s="6">
        <f t="shared" si="197"/>
        <v>2833.6891811476321</v>
      </c>
      <c r="G2641" s="7">
        <f t="shared" si="198"/>
        <v>3051.665272005142</v>
      </c>
      <c r="H2641" s="8">
        <f t="shared" si="199"/>
        <v>3269.6413628626524</v>
      </c>
      <c r="I2641" s="9">
        <f t="shared" si="200"/>
        <v>3487.6174537201623</v>
      </c>
    </row>
    <row r="2642" spans="1:9" x14ac:dyDescent="0.35">
      <c r="A2642" s="18" t="s">
        <v>860</v>
      </c>
      <c r="B2642" s="18" t="s">
        <v>2684</v>
      </c>
      <c r="C2642" s="20">
        <v>45717</v>
      </c>
      <c r="D2642" s="11">
        <v>2031.3659619366795</v>
      </c>
      <c r="E2642" s="27">
        <f t="shared" si="201"/>
        <v>2261.3165888279113</v>
      </c>
      <c r="F2642" s="6">
        <f t="shared" si="197"/>
        <v>2939.7115654762847</v>
      </c>
      <c r="G2642" s="7">
        <f t="shared" si="198"/>
        <v>3165.8432243590755</v>
      </c>
      <c r="H2642" s="8">
        <f t="shared" si="199"/>
        <v>3391.9748832418672</v>
      </c>
      <c r="I2642" s="9">
        <f t="shared" si="200"/>
        <v>3618.1065421246585</v>
      </c>
    </row>
    <row r="2643" spans="1:9" x14ac:dyDescent="0.35">
      <c r="A2643" s="18" t="s">
        <v>861</v>
      </c>
      <c r="B2643" s="18" t="s">
        <v>28</v>
      </c>
      <c r="C2643" s="20">
        <v>45717</v>
      </c>
      <c r="D2643" s="11">
        <v>2096.3030705559672</v>
      </c>
      <c r="E2643" s="27">
        <f t="shared" si="201"/>
        <v>2333.6045781429029</v>
      </c>
      <c r="F2643" s="6">
        <f t="shared" si="197"/>
        <v>3033.6859515857741</v>
      </c>
      <c r="G2643" s="7">
        <f t="shared" si="198"/>
        <v>3267.046409400064</v>
      </c>
      <c r="H2643" s="8">
        <f t="shared" si="199"/>
        <v>3500.4068672143544</v>
      </c>
      <c r="I2643" s="9">
        <f t="shared" si="200"/>
        <v>3733.7673250286448</v>
      </c>
    </row>
    <row r="2644" spans="1:9" x14ac:dyDescent="0.35">
      <c r="A2644" s="18" t="s">
        <v>862</v>
      </c>
      <c r="B2644" s="18" t="s">
        <v>29</v>
      </c>
      <c r="C2644" s="20">
        <v>45717</v>
      </c>
      <c r="D2644" s="11">
        <v>2164.5702873095765</v>
      </c>
      <c r="E2644" s="27">
        <f t="shared" si="201"/>
        <v>2409.5996438330208</v>
      </c>
      <c r="F2644" s="6">
        <f t="shared" si="197"/>
        <v>3132.4795369829271</v>
      </c>
      <c r="G2644" s="7">
        <f t="shared" si="198"/>
        <v>3373.4395013662288</v>
      </c>
      <c r="H2644" s="8">
        <f t="shared" si="199"/>
        <v>3614.3994657495314</v>
      </c>
      <c r="I2644" s="9">
        <f t="shared" si="200"/>
        <v>3855.3594301328335</v>
      </c>
    </row>
    <row r="2645" spans="1:9" x14ac:dyDescent="0.35">
      <c r="A2645" s="18" t="s">
        <v>863</v>
      </c>
      <c r="B2645" s="18" t="s">
        <v>30</v>
      </c>
      <c r="C2645" s="20">
        <v>45717</v>
      </c>
      <c r="D2645" s="11">
        <v>2234.5025581303471</v>
      </c>
      <c r="E2645" s="27">
        <f t="shared" si="201"/>
        <v>2487.4482477107022</v>
      </c>
      <c r="F2645" s="6">
        <f t="shared" si="197"/>
        <v>3233.6827220239129</v>
      </c>
      <c r="G2645" s="7">
        <f t="shared" si="198"/>
        <v>3482.4275467949828</v>
      </c>
      <c r="H2645" s="8">
        <f t="shared" si="199"/>
        <v>3731.1723715660532</v>
      </c>
      <c r="I2645" s="9">
        <f t="shared" si="200"/>
        <v>3979.9171963371236</v>
      </c>
    </row>
    <row r="2646" spans="1:9" x14ac:dyDescent="0.35">
      <c r="A2646" s="18" t="s">
        <v>864</v>
      </c>
      <c r="B2646" s="18" t="s">
        <v>31</v>
      </c>
      <c r="C2646" s="20">
        <v>45717</v>
      </c>
      <c r="D2646" s="11">
        <v>2371.0369916375671</v>
      </c>
      <c r="E2646" s="27">
        <f t="shared" si="201"/>
        <v>2639.4383790909396</v>
      </c>
      <c r="F2646" s="6">
        <f t="shared" si="197"/>
        <v>3431.2698928182217</v>
      </c>
      <c r="G2646" s="7">
        <f t="shared" si="198"/>
        <v>3695.2137307273151</v>
      </c>
      <c r="H2646" s="8">
        <f t="shared" si="199"/>
        <v>3959.1575686364095</v>
      </c>
      <c r="I2646" s="9">
        <f t="shared" si="200"/>
        <v>4223.1014065455038</v>
      </c>
    </row>
    <row r="2647" spans="1:9" x14ac:dyDescent="0.35">
      <c r="C2647" s="20">
        <v>45717</v>
      </c>
      <c r="D2647" s="11">
        <v>0</v>
      </c>
      <c r="E2647" s="27">
        <f t="shared" si="201"/>
        <v>0</v>
      </c>
      <c r="F2647" s="6">
        <f t="shared" si="197"/>
        <v>0</v>
      </c>
      <c r="G2647" s="7">
        <f t="shared" si="198"/>
        <v>0</v>
      </c>
      <c r="H2647" s="8">
        <f t="shared" si="199"/>
        <v>0</v>
      </c>
      <c r="I2647" s="9">
        <f t="shared" si="200"/>
        <v>0</v>
      </c>
    </row>
    <row r="2648" spans="1:9" x14ac:dyDescent="0.35">
      <c r="A2648" s="18" t="s">
        <v>865</v>
      </c>
      <c r="B2648" s="18" t="s">
        <v>32</v>
      </c>
      <c r="C2648" s="20">
        <v>45717</v>
      </c>
      <c r="D2648" s="11">
        <v>3601.6121730253822</v>
      </c>
      <c r="E2648" s="27">
        <f t="shared" si="201"/>
        <v>4009.3146710118554</v>
      </c>
      <c r="F2648" s="6">
        <f t="shared" si="197"/>
        <v>5212.109072315412</v>
      </c>
      <c r="G2648" s="7">
        <f t="shared" si="198"/>
        <v>5613.0405394165973</v>
      </c>
      <c r="H2648" s="8">
        <f t="shared" si="199"/>
        <v>6013.9720065177826</v>
      </c>
      <c r="I2648" s="9">
        <f t="shared" si="200"/>
        <v>6414.9034736189687</v>
      </c>
    </row>
    <row r="2649" spans="1:9" x14ac:dyDescent="0.35">
      <c r="A2649" s="18" t="s">
        <v>866</v>
      </c>
      <c r="B2649" s="18" t="s">
        <v>185</v>
      </c>
      <c r="C2649" s="20">
        <v>45717</v>
      </c>
      <c r="D2649" s="11">
        <v>3737.9589195756312</v>
      </c>
      <c r="E2649" s="27">
        <f t="shared" si="201"/>
        <v>4161.0958692715931</v>
      </c>
      <c r="F2649" s="6">
        <f t="shared" si="197"/>
        <v>5409.4246300530713</v>
      </c>
      <c r="G2649" s="7">
        <f t="shared" si="198"/>
        <v>5825.5342169802298</v>
      </c>
      <c r="H2649" s="8">
        <f t="shared" si="199"/>
        <v>6241.6438039073892</v>
      </c>
      <c r="I2649" s="9">
        <f t="shared" si="200"/>
        <v>6657.7533908345495</v>
      </c>
    </row>
    <row r="2650" spans="1:9" x14ac:dyDescent="0.35">
      <c r="A2650" s="18" t="s">
        <v>1887</v>
      </c>
      <c r="B2650" s="18" t="s">
        <v>1888</v>
      </c>
      <c r="C2650" s="20">
        <v>45717</v>
      </c>
      <c r="D2650" s="11">
        <v>3871.7330860022826</v>
      </c>
      <c r="E2650" s="27">
        <f t="shared" si="201"/>
        <v>4310.0132713377407</v>
      </c>
      <c r="F2650" s="6">
        <f t="shared" si="197"/>
        <v>5603.0172527390632</v>
      </c>
      <c r="G2650" s="7">
        <f t="shared" si="198"/>
        <v>6034.0185798728362</v>
      </c>
      <c r="H2650" s="8">
        <f t="shared" si="199"/>
        <v>6465.019907006611</v>
      </c>
      <c r="I2650" s="9">
        <f t="shared" si="200"/>
        <v>6896.0212341403858</v>
      </c>
    </row>
    <row r="2651" spans="1:9" x14ac:dyDescent="0.35">
      <c r="A2651" s="18" t="s">
        <v>45</v>
      </c>
      <c r="B2651" s="18" t="s">
        <v>186</v>
      </c>
      <c r="C2651" s="20">
        <v>45717</v>
      </c>
      <c r="D2651" s="11">
        <v>4002.9346723053527</v>
      </c>
      <c r="E2651" s="27">
        <f t="shared" si="201"/>
        <v>4456.0668772103181</v>
      </c>
      <c r="F2651" s="6">
        <f t="shared" si="197"/>
        <v>5792.8869403734134</v>
      </c>
      <c r="G2651" s="7">
        <f t="shared" si="198"/>
        <v>6238.4936280944448</v>
      </c>
      <c r="H2651" s="8">
        <f t="shared" si="199"/>
        <v>6684.1003158154772</v>
      </c>
      <c r="I2651" s="9">
        <f t="shared" si="200"/>
        <v>7129.7070035365095</v>
      </c>
    </row>
    <row r="2652" spans="1:9" x14ac:dyDescent="0.35">
      <c r="A2652" s="18" t="s">
        <v>46</v>
      </c>
      <c r="B2652" s="18" t="s">
        <v>1011</v>
      </c>
      <c r="C2652" s="20">
        <v>45717</v>
      </c>
      <c r="D2652" s="11">
        <v>4310.0576275933136</v>
      </c>
      <c r="E2652" s="27">
        <f t="shared" si="201"/>
        <v>4797.9561510368767</v>
      </c>
      <c r="F2652" s="6">
        <f t="shared" si="197"/>
        <v>6237.3429963479402</v>
      </c>
      <c r="G2652" s="7">
        <f t="shared" si="198"/>
        <v>6717.1386114516272</v>
      </c>
      <c r="H2652" s="8">
        <f t="shared" si="199"/>
        <v>7196.934226555315</v>
      </c>
      <c r="I2652" s="9">
        <f t="shared" si="200"/>
        <v>7676.7298416590029</v>
      </c>
    </row>
    <row r="2653" spans="1:9" ht="18" x14ac:dyDescent="0.4">
      <c r="B2653" s="19" t="s">
        <v>5724</v>
      </c>
      <c r="D2653" s="11">
        <v>0</v>
      </c>
      <c r="E2653" s="27">
        <f t="shared" si="201"/>
        <v>0</v>
      </c>
      <c r="F2653" s="6">
        <f t="shared" si="197"/>
        <v>0</v>
      </c>
      <c r="G2653" s="7">
        <f t="shared" si="198"/>
        <v>0</v>
      </c>
      <c r="H2653" s="8">
        <f t="shared" si="199"/>
        <v>0</v>
      </c>
      <c r="I2653" s="9">
        <f t="shared" si="200"/>
        <v>0</v>
      </c>
    </row>
    <row r="2654" spans="1:9" x14ac:dyDescent="0.35">
      <c r="A2654" s="18" t="s">
        <v>5704</v>
      </c>
      <c r="B2654" s="18" t="s">
        <v>5705</v>
      </c>
      <c r="C2654" s="20">
        <v>45726</v>
      </c>
      <c r="D2654" s="11">
        <v>17768.53</v>
      </c>
      <c r="E2654" s="27">
        <f t="shared" si="201"/>
        <v>19779.927595999998</v>
      </c>
      <c r="F2654" s="6">
        <f t="shared" si="197"/>
        <v>25713.905874799999</v>
      </c>
      <c r="G2654" s="7">
        <f t="shared" si="198"/>
        <v>27691.898634399997</v>
      </c>
      <c r="H2654" s="8">
        <f t="shared" si="199"/>
        <v>29669.891393999998</v>
      </c>
      <c r="I2654" s="9">
        <f t="shared" si="200"/>
        <v>31647.884153599996</v>
      </c>
    </row>
    <row r="2655" spans="1:9" ht="15.75" customHeight="1" x14ac:dyDescent="0.4">
      <c r="B2655" s="19" t="s">
        <v>3260</v>
      </c>
      <c r="D2655" s="11">
        <v>0</v>
      </c>
      <c r="E2655" s="27">
        <f t="shared" si="201"/>
        <v>0</v>
      </c>
      <c r="F2655" s="6">
        <f t="shared" si="197"/>
        <v>0</v>
      </c>
      <c r="G2655" s="7">
        <f t="shared" si="198"/>
        <v>0</v>
      </c>
      <c r="H2655" s="8">
        <f t="shared" si="199"/>
        <v>0</v>
      </c>
      <c r="I2655" s="9">
        <f t="shared" si="200"/>
        <v>0</v>
      </c>
    </row>
    <row r="2656" spans="1:9" x14ac:dyDescent="0.35">
      <c r="A2656" s="18" t="s">
        <v>47</v>
      </c>
      <c r="B2656" s="18" t="s">
        <v>1012</v>
      </c>
      <c r="C2656" s="20">
        <v>45726</v>
      </c>
      <c r="D2656" s="11">
        <v>5546.407108583122</v>
      </c>
      <c r="E2656" s="27">
        <f t="shared" si="201"/>
        <v>6174.2603932747315</v>
      </c>
      <c r="F2656" s="6">
        <f t="shared" si="197"/>
        <v>8026.5385112571512</v>
      </c>
      <c r="G2656" s="7">
        <f t="shared" si="198"/>
        <v>8643.9645505846238</v>
      </c>
      <c r="H2656" s="8">
        <f t="shared" si="199"/>
        <v>9261.3905899120982</v>
      </c>
      <c r="I2656" s="9">
        <f t="shared" si="200"/>
        <v>9878.8166292395708</v>
      </c>
    </row>
    <row r="2657" spans="1:9" x14ac:dyDescent="0.35">
      <c r="A2657" s="18" t="s">
        <v>48</v>
      </c>
      <c r="B2657" s="18" t="s">
        <v>1013</v>
      </c>
      <c r="C2657" s="20">
        <v>45726</v>
      </c>
      <c r="D2657" s="11">
        <v>6026.6925220909607</v>
      </c>
      <c r="E2657" s="27">
        <f t="shared" si="201"/>
        <v>6708.9141155916568</v>
      </c>
      <c r="F2657" s="6">
        <f t="shared" si="197"/>
        <v>8721.588350269154</v>
      </c>
      <c r="G2657" s="7">
        <f t="shared" si="198"/>
        <v>9392.4797618283192</v>
      </c>
      <c r="H2657" s="8">
        <f t="shared" si="199"/>
        <v>10063.371173387484</v>
      </c>
      <c r="I2657" s="9">
        <f t="shared" si="200"/>
        <v>10734.262584946651</v>
      </c>
    </row>
    <row r="2658" spans="1:9" x14ac:dyDescent="0.35">
      <c r="A2658" s="18" t="s">
        <v>49</v>
      </c>
      <c r="B2658" s="18" t="s">
        <v>1014</v>
      </c>
      <c r="C2658" s="20">
        <v>45726</v>
      </c>
      <c r="D2658" s="11">
        <v>6496.3049264097335</v>
      </c>
      <c r="E2658" s="27">
        <f t="shared" si="201"/>
        <v>7231.6866440793156</v>
      </c>
      <c r="F2658" s="6">
        <f t="shared" si="197"/>
        <v>9401.192637303111</v>
      </c>
      <c r="G2658" s="7">
        <f t="shared" si="198"/>
        <v>10124.361301711042</v>
      </c>
      <c r="H2658" s="8">
        <f t="shared" si="199"/>
        <v>10847.529966118973</v>
      </c>
      <c r="I2658" s="9">
        <f t="shared" si="200"/>
        <v>11570.698630526906</v>
      </c>
    </row>
    <row r="2659" spans="1:9" x14ac:dyDescent="0.35">
      <c r="A2659" s="18" t="s">
        <v>50</v>
      </c>
      <c r="B2659" s="18" t="s">
        <v>1015</v>
      </c>
      <c r="C2659" s="20">
        <v>45726</v>
      </c>
      <c r="D2659" s="11">
        <v>7008.6093674847643</v>
      </c>
      <c r="E2659" s="27">
        <f t="shared" si="201"/>
        <v>7801.9839478840395</v>
      </c>
      <c r="F2659" s="6">
        <f t="shared" si="197"/>
        <v>10142.579132249251</v>
      </c>
      <c r="G2659" s="7">
        <f t="shared" si="198"/>
        <v>10922.777527037655</v>
      </c>
      <c r="H2659" s="8">
        <f t="shared" si="199"/>
        <v>11702.975921826059</v>
      </c>
      <c r="I2659" s="9">
        <f t="shared" si="200"/>
        <v>12483.174316614464</v>
      </c>
    </row>
    <row r="2660" spans="1:9" x14ac:dyDescent="0.35">
      <c r="A2660" s="18" t="s">
        <v>51</v>
      </c>
      <c r="B2660" s="18" t="s">
        <v>1016</v>
      </c>
      <c r="C2660" s="20">
        <v>45726</v>
      </c>
      <c r="D2660" s="11">
        <v>7524.4714782894789</v>
      </c>
      <c r="E2660" s="27">
        <f t="shared" si="201"/>
        <v>8376.2416496318492</v>
      </c>
      <c r="F2660" s="6">
        <f t="shared" si="197"/>
        <v>10889.114144521405</v>
      </c>
      <c r="G2660" s="7">
        <f t="shared" si="198"/>
        <v>11726.738309484588</v>
      </c>
      <c r="H2660" s="8">
        <f t="shared" si="199"/>
        <v>12564.362474447775</v>
      </c>
      <c r="I2660" s="9">
        <f t="shared" si="200"/>
        <v>13401.986639410959</v>
      </c>
    </row>
    <row r="2661" spans="1:9" x14ac:dyDescent="0.35">
      <c r="A2661" s="18" t="s">
        <v>52</v>
      </c>
      <c r="B2661" s="18" t="s">
        <v>1017</v>
      </c>
      <c r="C2661" s="20">
        <v>45726</v>
      </c>
      <c r="D2661" s="11">
        <v>8887.0589847598694</v>
      </c>
      <c r="E2661" s="27">
        <f t="shared" si="201"/>
        <v>9893.0740618346863</v>
      </c>
      <c r="F2661" s="6">
        <f t="shared" si="197"/>
        <v>12860.996280385092</v>
      </c>
      <c r="G2661" s="7">
        <f t="shared" si="198"/>
        <v>13850.303686568561</v>
      </c>
      <c r="H2661" s="8">
        <f t="shared" si="199"/>
        <v>14839.611092752029</v>
      </c>
      <c r="I2661" s="9">
        <f t="shared" si="200"/>
        <v>15828.918498935498</v>
      </c>
    </row>
    <row r="2662" spans="1:9" x14ac:dyDescent="0.35">
      <c r="C2662" s="20">
        <v>45726</v>
      </c>
      <c r="D2662" s="11">
        <v>0</v>
      </c>
      <c r="E2662" s="27">
        <f t="shared" si="201"/>
        <v>0</v>
      </c>
      <c r="F2662" s="6">
        <f t="shared" si="197"/>
        <v>0</v>
      </c>
      <c r="G2662" s="7">
        <f t="shared" si="198"/>
        <v>0</v>
      </c>
      <c r="H2662" s="8">
        <f t="shared" si="199"/>
        <v>0</v>
      </c>
      <c r="I2662" s="9">
        <f t="shared" si="200"/>
        <v>0</v>
      </c>
    </row>
    <row r="2663" spans="1:9" x14ac:dyDescent="0.35">
      <c r="A2663" s="18" t="s">
        <v>53</v>
      </c>
      <c r="B2663" s="18" t="s">
        <v>217</v>
      </c>
      <c r="C2663" s="20">
        <v>45726</v>
      </c>
      <c r="D2663" s="11">
        <v>7187.4911353700327</v>
      </c>
      <c r="E2663" s="27">
        <f t="shared" si="201"/>
        <v>8001.1151318939201</v>
      </c>
      <c r="F2663" s="6">
        <f t="shared" si="197"/>
        <v>10401.449671462096</v>
      </c>
      <c r="G2663" s="7">
        <f t="shared" si="198"/>
        <v>11201.561184651488</v>
      </c>
      <c r="H2663" s="8">
        <f t="shared" si="199"/>
        <v>12001.672697840881</v>
      </c>
      <c r="I2663" s="9">
        <f t="shared" si="200"/>
        <v>12801.784211030274</v>
      </c>
    </row>
    <row r="2664" spans="1:9" x14ac:dyDescent="0.35">
      <c r="A2664" s="18" t="s">
        <v>54</v>
      </c>
      <c r="B2664" s="18" t="s">
        <v>219</v>
      </c>
      <c r="C2664" s="20">
        <v>45726</v>
      </c>
      <c r="D2664" s="11">
        <v>7757.1315113519704</v>
      </c>
      <c r="E2664" s="27">
        <f t="shared" si="201"/>
        <v>8635.2387984370125</v>
      </c>
      <c r="F2664" s="6">
        <f t="shared" si="197"/>
        <v>11225.810437968117</v>
      </c>
      <c r="G2664" s="7">
        <f t="shared" si="198"/>
        <v>12089.334317811818</v>
      </c>
      <c r="H2664" s="8">
        <f t="shared" si="199"/>
        <v>12952.858197655518</v>
      </c>
      <c r="I2664" s="9">
        <f t="shared" si="200"/>
        <v>13816.38207749922</v>
      </c>
    </row>
    <row r="2665" spans="1:9" x14ac:dyDescent="0.35">
      <c r="A2665" s="18" t="s">
        <v>55</v>
      </c>
      <c r="B2665" s="18" t="s">
        <v>218</v>
      </c>
      <c r="C2665" s="20">
        <v>45726</v>
      </c>
      <c r="D2665" s="11">
        <v>8309.3860948892288</v>
      </c>
      <c r="E2665" s="27">
        <f t="shared" si="201"/>
        <v>9250.0086008306898</v>
      </c>
      <c r="F2665" s="6">
        <f t="shared" si="197"/>
        <v>12025.011181079897</v>
      </c>
      <c r="G2665" s="7">
        <f t="shared" si="198"/>
        <v>12950.012041162965</v>
      </c>
      <c r="H2665" s="8">
        <f t="shared" si="199"/>
        <v>13875.012901246035</v>
      </c>
      <c r="I2665" s="9">
        <f t="shared" si="200"/>
        <v>14800.013761329104</v>
      </c>
    </row>
    <row r="2666" spans="1:9" x14ac:dyDescent="0.35">
      <c r="A2666" s="18" t="s">
        <v>56</v>
      </c>
      <c r="B2666" s="18" t="s">
        <v>220</v>
      </c>
      <c r="C2666" s="20">
        <v>45726</v>
      </c>
      <c r="D2666" s="11">
        <v>9120.3821777504145</v>
      </c>
      <c r="E2666" s="27">
        <f t="shared" si="201"/>
        <v>10152.809440271762</v>
      </c>
      <c r="F2666" s="6">
        <f t="shared" si="197"/>
        <v>13198.652272353291</v>
      </c>
      <c r="G2666" s="7">
        <f t="shared" si="198"/>
        <v>14213.933216380465</v>
      </c>
      <c r="H2666" s="8">
        <f t="shared" si="199"/>
        <v>15229.214160407642</v>
      </c>
      <c r="I2666" s="9">
        <f t="shared" si="200"/>
        <v>16244.49510443482</v>
      </c>
    </row>
    <row r="2667" spans="1:9" x14ac:dyDescent="0.35">
      <c r="A2667" s="18" t="s">
        <v>57</v>
      </c>
      <c r="B2667" s="18" t="s">
        <v>221</v>
      </c>
      <c r="C2667" s="20">
        <v>45726</v>
      </c>
      <c r="D2667" s="11">
        <v>9890.9818605195196</v>
      </c>
      <c r="E2667" s="27">
        <f t="shared" si="201"/>
        <v>11010.641007130329</v>
      </c>
      <c r="F2667" s="6">
        <f t="shared" ref="F2667:F2733" si="202">E2667*1.3</f>
        <v>14313.833309269428</v>
      </c>
      <c r="G2667" s="7">
        <f t="shared" ref="G2667:G2733" si="203">E2667*1.4</f>
        <v>15414.897409982459</v>
      </c>
      <c r="H2667" s="8">
        <f t="shared" ref="H2667:H2733" si="204">E2667*1.5</f>
        <v>16515.961510695495</v>
      </c>
      <c r="I2667" s="9">
        <f t="shared" ref="I2667:I2733" si="205">E2667*1.6</f>
        <v>17617.025611408528</v>
      </c>
    </row>
    <row r="2668" spans="1:9" x14ac:dyDescent="0.35">
      <c r="A2668" s="18" t="s">
        <v>58</v>
      </c>
      <c r="B2668" s="18" t="s">
        <v>222</v>
      </c>
      <c r="C2668" s="20">
        <v>45726</v>
      </c>
      <c r="D2668" s="11">
        <v>10881.46068303032</v>
      </c>
      <c r="E2668" s="27">
        <f t="shared" si="201"/>
        <v>12113.242032349352</v>
      </c>
      <c r="F2668" s="6">
        <f t="shared" si="202"/>
        <v>15747.214642054158</v>
      </c>
      <c r="G2668" s="7">
        <f t="shared" si="203"/>
        <v>16958.538845289091</v>
      </c>
      <c r="H2668" s="8">
        <f t="shared" si="204"/>
        <v>18169.863048524028</v>
      </c>
      <c r="I2668" s="9">
        <f t="shared" si="205"/>
        <v>19381.187251758962</v>
      </c>
    </row>
    <row r="2669" spans="1:9" ht="15.75" customHeight="1" x14ac:dyDescent="0.4">
      <c r="B2669" s="19" t="s">
        <v>184</v>
      </c>
      <c r="D2669" s="11">
        <v>0</v>
      </c>
      <c r="E2669" s="27">
        <f t="shared" si="201"/>
        <v>0</v>
      </c>
      <c r="F2669" s="6">
        <f t="shared" si="202"/>
        <v>0</v>
      </c>
      <c r="G2669" s="7">
        <f t="shared" si="203"/>
        <v>0</v>
      </c>
      <c r="H2669" s="8">
        <f t="shared" si="204"/>
        <v>0</v>
      </c>
      <c r="I2669" s="9">
        <f t="shared" si="205"/>
        <v>0</v>
      </c>
    </row>
    <row r="2670" spans="1:9" x14ac:dyDescent="0.35">
      <c r="A2670" s="18" t="s">
        <v>59</v>
      </c>
      <c r="B2670" s="18" t="s">
        <v>187</v>
      </c>
      <c r="C2670" s="20">
        <v>45717</v>
      </c>
      <c r="D2670" s="11">
        <v>2776.9500000000003</v>
      </c>
      <c r="E2670" s="27">
        <f t="shared" si="201"/>
        <v>3091.3007400000001</v>
      </c>
      <c r="F2670" s="6">
        <f t="shared" si="202"/>
        <v>4018.6909620000001</v>
      </c>
      <c r="G2670" s="7">
        <f t="shared" si="203"/>
        <v>4327.8210360000003</v>
      </c>
      <c r="H2670" s="8">
        <f t="shared" si="204"/>
        <v>4636.95111</v>
      </c>
      <c r="I2670" s="9">
        <f t="shared" si="205"/>
        <v>4946.0811840000006</v>
      </c>
    </row>
    <row r="2671" spans="1:9" x14ac:dyDescent="0.35">
      <c r="A2671" s="18" t="s">
        <v>60</v>
      </c>
      <c r="B2671" s="18" t="s">
        <v>188</v>
      </c>
      <c r="C2671" s="20">
        <v>45717</v>
      </c>
      <c r="D2671" s="11">
        <v>3051.6750000000002</v>
      </c>
      <c r="E2671" s="27">
        <f t="shared" si="201"/>
        <v>3397.1246100000003</v>
      </c>
      <c r="F2671" s="6">
        <f t="shared" si="202"/>
        <v>4416.261993000001</v>
      </c>
      <c r="G2671" s="7">
        <f t="shared" si="203"/>
        <v>4755.9744540000002</v>
      </c>
      <c r="H2671" s="8">
        <f t="shared" si="204"/>
        <v>5095.6869150000002</v>
      </c>
      <c r="I2671" s="9">
        <f t="shared" si="205"/>
        <v>5435.3993760000012</v>
      </c>
    </row>
    <row r="2672" spans="1:9" ht="15.75" customHeight="1" x14ac:dyDescent="0.4">
      <c r="B2672" s="19" t="s">
        <v>5607</v>
      </c>
      <c r="D2672" s="11">
        <v>0</v>
      </c>
      <c r="E2672" s="27">
        <f t="shared" si="201"/>
        <v>0</v>
      </c>
      <c r="F2672" s="6">
        <f t="shared" si="202"/>
        <v>0</v>
      </c>
      <c r="G2672" s="7">
        <f t="shared" si="203"/>
        <v>0</v>
      </c>
      <c r="H2672" s="8">
        <f t="shared" si="204"/>
        <v>0</v>
      </c>
      <c r="I2672" s="9">
        <f t="shared" si="205"/>
        <v>0</v>
      </c>
    </row>
    <row r="2673" spans="1:9" x14ac:dyDescent="0.35">
      <c r="A2673" s="18" t="s">
        <v>61</v>
      </c>
      <c r="B2673" s="18" t="s">
        <v>189</v>
      </c>
      <c r="C2673" s="20">
        <v>45677</v>
      </c>
      <c r="D2673" s="11">
        <v>749.82503925000026</v>
      </c>
      <c r="E2673" s="27">
        <f t="shared" si="201"/>
        <v>834.70523369310035</v>
      </c>
      <c r="F2673" s="6">
        <f t="shared" si="202"/>
        <v>1085.1168038010305</v>
      </c>
      <c r="G2673" s="7">
        <f t="shared" si="203"/>
        <v>1168.5873271703404</v>
      </c>
      <c r="H2673" s="8">
        <f t="shared" si="204"/>
        <v>1252.0578505396506</v>
      </c>
      <c r="I2673" s="9">
        <f t="shared" si="205"/>
        <v>1335.5283739089607</v>
      </c>
    </row>
    <row r="2674" spans="1:9" x14ac:dyDescent="0.35">
      <c r="A2674" s="18" t="s">
        <v>62</v>
      </c>
      <c r="B2674" s="18" t="s">
        <v>2432</v>
      </c>
      <c r="C2674" s="20">
        <v>45677</v>
      </c>
      <c r="D2674" s="11">
        <v>817.70393754000008</v>
      </c>
      <c r="E2674" s="27">
        <f t="shared" si="201"/>
        <v>910.26802326952816</v>
      </c>
      <c r="F2674" s="6">
        <f t="shared" si="202"/>
        <v>1183.3484302503866</v>
      </c>
      <c r="G2674" s="7">
        <f t="shared" si="203"/>
        <v>1274.3752325773394</v>
      </c>
      <c r="H2674" s="8">
        <f t="shared" si="204"/>
        <v>1365.4020349042921</v>
      </c>
      <c r="I2674" s="9">
        <f t="shared" si="205"/>
        <v>1456.4288372312451</v>
      </c>
    </row>
    <row r="2675" spans="1:9" x14ac:dyDescent="0.35">
      <c r="A2675" s="18" t="s">
        <v>63</v>
      </c>
      <c r="B2675" s="18" t="s">
        <v>2433</v>
      </c>
      <c r="C2675" s="20">
        <v>45677</v>
      </c>
      <c r="D2675" s="11">
        <v>884.00425680000012</v>
      </c>
      <c r="E2675" s="27">
        <f t="shared" si="201"/>
        <v>984.07353866976007</v>
      </c>
      <c r="F2675" s="6">
        <f t="shared" si="202"/>
        <v>1279.2956002706881</v>
      </c>
      <c r="G2675" s="7">
        <f t="shared" si="203"/>
        <v>1377.7029541376639</v>
      </c>
      <c r="H2675" s="8">
        <f t="shared" si="204"/>
        <v>1476.11030800464</v>
      </c>
      <c r="I2675" s="9">
        <f t="shared" si="205"/>
        <v>1574.5176618716162</v>
      </c>
    </row>
    <row r="2676" spans="1:9" x14ac:dyDescent="0.35">
      <c r="A2676" s="18" t="s">
        <v>6457</v>
      </c>
      <c r="B2676" s="18" t="s">
        <v>6458</v>
      </c>
      <c r="C2676" s="20">
        <v>45677</v>
      </c>
      <c r="D2676" s="11">
        <v>905.76</v>
      </c>
      <c r="E2676" s="27">
        <f t="shared" si="201"/>
        <v>1008.2920319999999</v>
      </c>
      <c r="F2676" s="6">
        <f t="shared" si="202"/>
        <v>1310.7796415999999</v>
      </c>
      <c r="G2676" s="7">
        <f t="shared" si="203"/>
        <v>1411.6088447999998</v>
      </c>
      <c r="H2676" s="8">
        <f t="shared" si="204"/>
        <v>1512.438048</v>
      </c>
      <c r="I2676" s="9">
        <f t="shared" si="205"/>
        <v>1613.2672511999999</v>
      </c>
    </row>
    <row r="2677" spans="1:9" ht="15.75" customHeight="1" x14ac:dyDescent="0.4">
      <c r="B2677" s="19" t="s">
        <v>264</v>
      </c>
      <c r="D2677" s="11">
        <v>0</v>
      </c>
      <c r="E2677" s="27">
        <f t="shared" si="201"/>
        <v>0</v>
      </c>
      <c r="F2677" s="6">
        <f t="shared" si="202"/>
        <v>0</v>
      </c>
      <c r="G2677" s="7">
        <f t="shared" si="203"/>
        <v>0</v>
      </c>
      <c r="H2677" s="8">
        <f t="shared" si="204"/>
        <v>0</v>
      </c>
      <c r="I2677" s="9">
        <f t="shared" si="205"/>
        <v>0</v>
      </c>
    </row>
    <row r="2678" spans="1:9" x14ac:dyDescent="0.35">
      <c r="A2678" s="18" t="s">
        <v>64</v>
      </c>
      <c r="B2678" s="18" t="s">
        <v>2434</v>
      </c>
      <c r="C2678" s="20">
        <v>45698</v>
      </c>
      <c r="D2678" s="11">
        <v>2055.5461899914785</v>
      </c>
      <c r="E2678" s="27">
        <f t="shared" si="201"/>
        <v>2288.2340186985139</v>
      </c>
      <c r="F2678" s="6">
        <f t="shared" si="202"/>
        <v>2974.7042243080682</v>
      </c>
      <c r="G2678" s="7">
        <f t="shared" si="203"/>
        <v>3203.527626177919</v>
      </c>
      <c r="H2678" s="8">
        <f t="shared" si="204"/>
        <v>3432.3510280477708</v>
      </c>
      <c r="I2678" s="9">
        <f t="shared" si="205"/>
        <v>3661.1744299176225</v>
      </c>
    </row>
    <row r="2679" spans="1:9" x14ac:dyDescent="0.35">
      <c r="A2679" s="18" t="s">
        <v>65</v>
      </c>
      <c r="B2679" s="18" t="s">
        <v>2435</v>
      </c>
      <c r="C2679" s="20">
        <v>45698</v>
      </c>
      <c r="D2679" s="11">
        <v>2196.0203673351875</v>
      </c>
      <c r="E2679" s="27">
        <f t="shared" si="201"/>
        <v>2444.609872917531</v>
      </c>
      <c r="F2679" s="6">
        <f t="shared" si="202"/>
        <v>3177.9928347927903</v>
      </c>
      <c r="G2679" s="7">
        <f t="shared" si="203"/>
        <v>3422.4538220845434</v>
      </c>
      <c r="H2679" s="8">
        <f t="shared" si="204"/>
        <v>3666.9148093762965</v>
      </c>
      <c r="I2679" s="9">
        <f t="shared" si="205"/>
        <v>3911.3757966680496</v>
      </c>
    </row>
    <row r="2680" spans="1:9" x14ac:dyDescent="0.35">
      <c r="A2680" s="18" t="s">
        <v>2402</v>
      </c>
      <c r="B2680" s="18" t="s">
        <v>1571</v>
      </c>
      <c r="C2680" s="20">
        <v>45698</v>
      </c>
      <c r="D2680" s="11">
        <v>2334.7163905353054</v>
      </c>
      <c r="E2680" s="27">
        <f t="shared" si="201"/>
        <v>2599.0062859439022</v>
      </c>
      <c r="F2680" s="6">
        <f t="shared" si="202"/>
        <v>3378.708171727073</v>
      </c>
      <c r="G2680" s="7">
        <f t="shared" si="203"/>
        <v>3638.6088003214627</v>
      </c>
      <c r="H2680" s="8">
        <f t="shared" si="204"/>
        <v>3898.5094289158533</v>
      </c>
      <c r="I2680" s="9">
        <f t="shared" si="205"/>
        <v>4158.4100575102439</v>
      </c>
    </row>
    <row r="2681" spans="1:9" x14ac:dyDescent="0.35">
      <c r="A2681" s="18" t="s">
        <v>2403</v>
      </c>
      <c r="B2681" s="18" t="s">
        <v>1572</v>
      </c>
      <c r="C2681" s="20">
        <v>45698</v>
      </c>
      <c r="D2681" s="11">
        <v>2473.412413735422</v>
      </c>
      <c r="E2681" s="27">
        <f t="shared" si="201"/>
        <v>2753.4026989702716</v>
      </c>
      <c r="F2681" s="6">
        <f t="shared" si="202"/>
        <v>3579.423508661353</v>
      </c>
      <c r="G2681" s="7">
        <f t="shared" si="203"/>
        <v>3854.7637785583797</v>
      </c>
      <c r="H2681" s="8">
        <f t="shared" si="204"/>
        <v>4130.1040484554069</v>
      </c>
      <c r="I2681" s="9">
        <f t="shared" si="205"/>
        <v>4405.4443183524345</v>
      </c>
    </row>
    <row r="2682" spans="1:9" x14ac:dyDescent="0.35">
      <c r="A2682" s="18" t="s">
        <v>2404</v>
      </c>
      <c r="B2682" s="18" t="s">
        <v>1573</v>
      </c>
      <c r="C2682" s="20">
        <v>45698</v>
      </c>
      <c r="D2682" s="11">
        <v>2667.2312153868675</v>
      </c>
      <c r="E2682" s="27">
        <f t="shared" si="201"/>
        <v>2969.1617889686609</v>
      </c>
      <c r="F2682" s="6">
        <f t="shared" si="202"/>
        <v>3859.9103256592593</v>
      </c>
      <c r="G2682" s="7">
        <f t="shared" si="203"/>
        <v>4156.8265045561247</v>
      </c>
      <c r="H2682" s="8">
        <f t="shared" si="204"/>
        <v>4453.7426834529915</v>
      </c>
      <c r="I2682" s="9">
        <f t="shared" si="205"/>
        <v>4750.6588623498574</v>
      </c>
    </row>
    <row r="2683" spans="1:9" x14ac:dyDescent="0.35">
      <c r="A2683" s="18" t="s">
        <v>2405</v>
      </c>
      <c r="B2683" s="18" t="s">
        <v>1574</v>
      </c>
      <c r="C2683" s="20">
        <v>45698</v>
      </c>
      <c r="D2683" s="11">
        <v>2751.5157217930941</v>
      </c>
      <c r="E2683" s="27">
        <f t="shared" si="201"/>
        <v>3062.9873015000726</v>
      </c>
      <c r="F2683" s="6">
        <f t="shared" si="202"/>
        <v>3981.8834919500946</v>
      </c>
      <c r="G2683" s="7">
        <f t="shared" si="203"/>
        <v>4288.1822221001012</v>
      </c>
      <c r="H2683" s="8">
        <f t="shared" si="204"/>
        <v>4594.4809522501091</v>
      </c>
      <c r="I2683" s="9">
        <f t="shared" si="205"/>
        <v>4900.7796824001161</v>
      </c>
    </row>
    <row r="2684" spans="1:9" x14ac:dyDescent="0.35">
      <c r="A2684" s="18" t="s">
        <v>2406</v>
      </c>
      <c r="B2684" s="18" t="s">
        <v>1575</v>
      </c>
      <c r="C2684" s="20">
        <v>45698</v>
      </c>
      <c r="D2684" s="11">
        <v>3029.9746606794829</v>
      </c>
      <c r="E2684" s="27">
        <f t="shared" si="201"/>
        <v>3372.9677922684004</v>
      </c>
      <c r="F2684" s="6">
        <f t="shared" si="202"/>
        <v>4384.8581299489206</v>
      </c>
      <c r="G2684" s="7">
        <f t="shared" si="203"/>
        <v>4722.1549091757606</v>
      </c>
      <c r="H2684" s="8">
        <f t="shared" si="204"/>
        <v>5059.4516884026007</v>
      </c>
      <c r="I2684" s="9">
        <f t="shared" si="205"/>
        <v>5396.7484676294407</v>
      </c>
    </row>
    <row r="2685" spans="1:9" x14ac:dyDescent="0.35">
      <c r="A2685" s="18" t="s">
        <v>2407</v>
      </c>
      <c r="B2685" s="18" t="s">
        <v>1576</v>
      </c>
      <c r="C2685" s="20">
        <v>45698</v>
      </c>
      <c r="D2685" s="11">
        <v>3310.9230153668973</v>
      </c>
      <c r="E2685" s="27">
        <f t="shared" si="201"/>
        <v>3685.7195007064302</v>
      </c>
      <c r="F2685" s="6">
        <f t="shared" si="202"/>
        <v>4791.4353509183593</v>
      </c>
      <c r="G2685" s="7">
        <f t="shared" si="203"/>
        <v>5160.007300989002</v>
      </c>
      <c r="H2685" s="8">
        <f t="shared" si="204"/>
        <v>5528.5792510596457</v>
      </c>
      <c r="I2685" s="9">
        <f t="shared" si="205"/>
        <v>5897.1512011302884</v>
      </c>
    </row>
    <row r="2686" spans="1:9" x14ac:dyDescent="0.35">
      <c r="A2686" s="18" t="s">
        <v>2408</v>
      </c>
      <c r="B2686" s="18" t="s">
        <v>2030</v>
      </c>
      <c r="C2686" s="20">
        <v>45698</v>
      </c>
      <c r="D2686" s="11">
        <v>3734.1237015416159</v>
      </c>
      <c r="E2686" s="27">
        <f t="shared" si="201"/>
        <v>4156.8265045561266</v>
      </c>
      <c r="F2686" s="6">
        <f t="shared" si="202"/>
        <v>5403.8744559229644</v>
      </c>
      <c r="G2686" s="7">
        <f t="shared" si="203"/>
        <v>5819.5571063785765</v>
      </c>
      <c r="H2686" s="8">
        <f t="shared" si="204"/>
        <v>6235.2397568341894</v>
      </c>
      <c r="I2686" s="9">
        <f t="shared" si="205"/>
        <v>6650.9224072898032</v>
      </c>
    </row>
    <row r="2687" spans="1:9" ht="15.75" customHeight="1" x14ac:dyDescent="0.4">
      <c r="B2687" s="19" t="s">
        <v>265</v>
      </c>
      <c r="D2687" s="11">
        <v>0</v>
      </c>
      <c r="E2687" s="27">
        <f t="shared" si="201"/>
        <v>0</v>
      </c>
      <c r="F2687" s="6">
        <f t="shared" si="202"/>
        <v>0</v>
      </c>
      <c r="G2687" s="7">
        <f t="shared" si="203"/>
        <v>0</v>
      </c>
      <c r="H2687" s="8">
        <f t="shared" si="204"/>
        <v>0</v>
      </c>
      <c r="I2687" s="9">
        <f t="shared" si="205"/>
        <v>0</v>
      </c>
    </row>
    <row r="2688" spans="1:9" x14ac:dyDescent="0.35">
      <c r="A2688" s="18" t="s">
        <v>2409</v>
      </c>
      <c r="B2688" s="18" t="s">
        <v>6358</v>
      </c>
      <c r="C2688" s="20">
        <v>45726</v>
      </c>
      <c r="D2688" s="11">
        <v>11857.6896</v>
      </c>
      <c r="E2688" s="27">
        <f t="shared" si="201"/>
        <v>13199.98006272</v>
      </c>
      <c r="F2688" s="6">
        <f t="shared" si="202"/>
        <v>17159.974081536002</v>
      </c>
      <c r="G2688" s="7">
        <f t="shared" si="203"/>
        <v>18479.972087808001</v>
      </c>
      <c r="H2688" s="8">
        <f t="shared" si="204"/>
        <v>19799.970094079999</v>
      </c>
      <c r="I2688" s="9">
        <f t="shared" si="205"/>
        <v>21119.968100352002</v>
      </c>
    </row>
    <row r="2689" spans="1:9" x14ac:dyDescent="0.35">
      <c r="A2689" s="18" t="s">
        <v>2410</v>
      </c>
      <c r="B2689" s="18" t="s">
        <v>6357</v>
      </c>
      <c r="C2689" s="20">
        <v>45726</v>
      </c>
      <c r="D2689" s="11">
        <v>17768.736000000001</v>
      </c>
      <c r="E2689" s="27">
        <f t="shared" si="201"/>
        <v>19780.156915200001</v>
      </c>
      <c r="F2689" s="6">
        <f t="shared" si="202"/>
        <v>25714.203989760001</v>
      </c>
      <c r="G2689" s="7">
        <f t="shared" si="203"/>
        <v>27692.219681279999</v>
      </c>
      <c r="H2689" s="8">
        <f t="shared" si="204"/>
        <v>29670.235372800002</v>
      </c>
      <c r="I2689" s="9">
        <f t="shared" si="205"/>
        <v>31648.251064320004</v>
      </c>
    </row>
    <row r="2690" spans="1:9" x14ac:dyDescent="0.35">
      <c r="A2690" s="18" t="s">
        <v>6355</v>
      </c>
      <c r="B2690" s="18" t="s">
        <v>6359</v>
      </c>
      <c r="C2690" s="20">
        <v>45726</v>
      </c>
      <c r="D2690" s="11">
        <v>17323.57</v>
      </c>
      <c r="E2690" s="27">
        <f t="shared" si="201"/>
        <v>19284.598124</v>
      </c>
      <c r="F2690" s="6">
        <f t="shared" si="202"/>
        <v>25069.977561200001</v>
      </c>
      <c r="G2690" s="7">
        <f t="shared" si="203"/>
        <v>26998.437373599998</v>
      </c>
      <c r="H2690" s="8">
        <f t="shared" si="204"/>
        <v>28926.897186000002</v>
      </c>
      <c r="I2690" s="9">
        <f t="shared" si="205"/>
        <v>30855.356998400002</v>
      </c>
    </row>
    <row r="2691" spans="1:9" x14ac:dyDescent="0.35">
      <c r="A2691" s="18" t="s">
        <v>6356</v>
      </c>
      <c r="B2691" s="18" t="s">
        <v>6360</v>
      </c>
      <c r="C2691" s="20">
        <v>45726</v>
      </c>
      <c r="D2691" s="11">
        <v>25930.25</v>
      </c>
      <c r="E2691" s="27">
        <f t="shared" si="201"/>
        <v>28865.554300000003</v>
      </c>
      <c r="F2691" s="6">
        <f t="shared" si="202"/>
        <v>37525.220590000004</v>
      </c>
      <c r="G2691" s="7">
        <f t="shared" si="203"/>
        <v>40411.776020000005</v>
      </c>
      <c r="H2691" s="8">
        <f t="shared" si="204"/>
        <v>43298.331450000005</v>
      </c>
      <c r="I2691" s="9">
        <f t="shared" si="205"/>
        <v>46184.886880000005</v>
      </c>
    </row>
    <row r="2692" spans="1:9" x14ac:dyDescent="0.35">
      <c r="A2692" s="18" t="s">
        <v>6764</v>
      </c>
      <c r="B2692" s="18" t="s">
        <v>6765</v>
      </c>
      <c r="C2692" s="20">
        <v>45726</v>
      </c>
      <c r="D2692" s="11">
        <v>27494.222599999997</v>
      </c>
      <c r="E2692" s="27">
        <f t="shared" si="201"/>
        <v>30606.568598320002</v>
      </c>
      <c r="F2692" s="6">
        <f t="shared" si="202"/>
        <v>39788.539177816005</v>
      </c>
      <c r="G2692" s="7">
        <f t="shared" si="203"/>
        <v>42849.196037647998</v>
      </c>
      <c r="H2692" s="8">
        <f t="shared" si="204"/>
        <v>45909.852897479999</v>
      </c>
      <c r="I2692" s="9">
        <f t="shared" si="205"/>
        <v>48970.509757312007</v>
      </c>
    </row>
    <row r="2693" spans="1:9" x14ac:dyDescent="0.35">
      <c r="A2693" s="18" t="s">
        <v>1504</v>
      </c>
      <c r="B2693" s="18" t="s">
        <v>1506</v>
      </c>
      <c r="C2693" s="20">
        <v>45726</v>
      </c>
      <c r="D2693" s="11">
        <v>0</v>
      </c>
      <c r="E2693" s="27">
        <f t="shared" si="201"/>
        <v>0</v>
      </c>
      <c r="F2693" s="6">
        <f t="shared" si="202"/>
        <v>0</v>
      </c>
      <c r="G2693" s="7">
        <f t="shared" si="203"/>
        <v>0</v>
      </c>
      <c r="H2693" s="8">
        <f t="shared" si="204"/>
        <v>0</v>
      </c>
      <c r="I2693" s="9">
        <f t="shared" si="205"/>
        <v>0</v>
      </c>
    </row>
    <row r="2694" spans="1:9" x14ac:dyDescent="0.35">
      <c r="A2694" s="18" t="s">
        <v>6777</v>
      </c>
      <c r="B2694" s="18" t="s">
        <v>6778</v>
      </c>
      <c r="C2694" s="20">
        <v>45726</v>
      </c>
      <c r="D2694" s="11">
        <v>28786.357599999999</v>
      </c>
      <c r="E2694" s="27">
        <f t="shared" si="201"/>
        <v>32044.973280320002</v>
      </c>
      <c r="F2694" s="6">
        <f t="shared" si="202"/>
        <v>41658.465264416001</v>
      </c>
      <c r="G2694" s="7">
        <f t="shared" si="203"/>
        <v>44862.962592447999</v>
      </c>
      <c r="H2694" s="8">
        <f t="shared" si="204"/>
        <v>48067.459920480003</v>
      </c>
      <c r="I2694" s="9">
        <f t="shared" si="205"/>
        <v>51271.957248512008</v>
      </c>
    </row>
    <row r="2695" spans="1:9" x14ac:dyDescent="0.35">
      <c r="A2695" s="18" t="s">
        <v>6779</v>
      </c>
      <c r="B2695" s="18" t="s">
        <v>6780</v>
      </c>
      <c r="C2695" s="20">
        <v>45726</v>
      </c>
      <c r="D2695" s="11">
        <v>28786.357599999999</v>
      </c>
      <c r="E2695" s="27">
        <f t="shared" si="201"/>
        <v>32044.973280320002</v>
      </c>
      <c r="F2695" s="6">
        <f t="shared" si="202"/>
        <v>41658.465264416001</v>
      </c>
      <c r="G2695" s="7">
        <f t="shared" si="203"/>
        <v>44862.962592447999</v>
      </c>
      <c r="H2695" s="8">
        <f t="shared" si="204"/>
        <v>48067.459920480003</v>
      </c>
      <c r="I2695" s="9">
        <f t="shared" si="205"/>
        <v>51271.957248512008</v>
      </c>
    </row>
    <row r="2696" spans="1:9" x14ac:dyDescent="0.35">
      <c r="A2696" s="18" t="s">
        <v>1505</v>
      </c>
      <c r="B2696" s="18" t="s">
        <v>1507</v>
      </c>
      <c r="C2696" s="20">
        <v>45726</v>
      </c>
      <c r="D2696" s="11">
        <v>0</v>
      </c>
      <c r="E2696" s="27">
        <f t="shared" si="201"/>
        <v>0</v>
      </c>
      <c r="F2696" s="6">
        <f t="shared" si="202"/>
        <v>0</v>
      </c>
      <c r="G2696" s="7">
        <f t="shared" si="203"/>
        <v>0</v>
      </c>
      <c r="H2696" s="8">
        <f t="shared" si="204"/>
        <v>0</v>
      </c>
      <c r="I2696" s="9">
        <f t="shared" si="205"/>
        <v>0</v>
      </c>
    </row>
    <row r="2697" spans="1:9" ht="15.75" customHeight="1" x14ac:dyDescent="0.4">
      <c r="B2697" s="19" t="s">
        <v>266</v>
      </c>
      <c r="D2697" s="11">
        <v>0</v>
      </c>
      <c r="E2697" s="27">
        <f t="shared" si="201"/>
        <v>0</v>
      </c>
      <c r="F2697" s="6">
        <f t="shared" si="202"/>
        <v>0</v>
      </c>
      <c r="G2697" s="7">
        <f t="shared" si="203"/>
        <v>0</v>
      </c>
      <c r="H2697" s="8">
        <f t="shared" si="204"/>
        <v>0</v>
      </c>
      <c r="I2697" s="9">
        <f t="shared" si="205"/>
        <v>0</v>
      </c>
    </row>
    <row r="2698" spans="1:9" x14ac:dyDescent="0.35">
      <c r="A2698" s="18" t="s">
        <v>267</v>
      </c>
      <c r="B2698" s="18" t="s">
        <v>269</v>
      </c>
      <c r="C2698" s="20">
        <v>45363</v>
      </c>
      <c r="D2698" s="11">
        <v>0</v>
      </c>
      <c r="E2698" s="27">
        <f t="shared" si="201"/>
        <v>0</v>
      </c>
      <c r="F2698" s="6">
        <f t="shared" si="202"/>
        <v>0</v>
      </c>
      <c r="G2698" s="7">
        <f t="shared" si="203"/>
        <v>0</v>
      </c>
      <c r="H2698" s="8">
        <f t="shared" si="204"/>
        <v>0</v>
      </c>
      <c r="I2698" s="9">
        <f t="shared" si="205"/>
        <v>0</v>
      </c>
    </row>
    <row r="2699" spans="1:9" x14ac:dyDescent="0.35">
      <c r="A2699" s="18" t="s">
        <v>268</v>
      </c>
      <c r="B2699" s="18" t="s">
        <v>270</v>
      </c>
      <c r="C2699" s="20">
        <v>45363</v>
      </c>
      <c r="D2699" s="11">
        <v>0</v>
      </c>
      <c r="E2699" s="27">
        <f t="shared" si="201"/>
        <v>0</v>
      </c>
      <c r="F2699" s="6">
        <f t="shared" si="202"/>
        <v>0</v>
      </c>
      <c r="G2699" s="7">
        <f t="shared" si="203"/>
        <v>0</v>
      </c>
      <c r="H2699" s="8">
        <f t="shared" si="204"/>
        <v>0</v>
      </c>
      <c r="I2699" s="9">
        <f t="shared" si="205"/>
        <v>0</v>
      </c>
    </row>
    <row r="2700" spans="1:9" ht="15.75" customHeight="1" x14ac:dyDescent="0.4">
      <c r="B2700" s="19" t="s">
        <v>271</v>
      </c>
      <c r="D2700" s="11">
        <v>0</v>
      </c>
      <c r="E2700" s="27">
        <f t="shared" si="201"/>
        <v>0</v>
      </c>
      <c r="F2700" s="6">
        <f t="shared" si="202"/>
        <v>0</v>
      </c>
      <c r="G2700" s="7">
        <f t="shared" si="203"/>
        <v>0</v>
      </c>
      <c r="H2700" s="8">
        <f t="shared" si="204"/>
        <v>0</v>
      </c>
      <c r="I2700" s="9">
        <f t="shared" si="205"/>
        <v>0</v>
      </c>
    </row>
    <row r="2701" spans="1:9" x14ac:dyDescent="0.35">
      <c r="A2701" s="18" t="s">
        <v>2411</v>
      </c>
      <c r="B2701" s="18" t="s">
        <v>2031</v>
      </c>
      <c r="C2701" s="20">
        <v>45688</v>
      </c>
      <c r="D2701" s="11">
        <v>832.67</v>
      </c>
      <c r="E2701" s="27">
        <f t="shared" ref="E2701:E2764" si="206">D2701*1.21*0.92</f>
        <v>926.92824399999995</v>
      </c>
      <c r="F2701" s="6">
        <f t="shared" si="202"/>
        <v>1205.0067171999999</v>
      </c>
      <c r="G2701" s="7">
        <f t="shared" si="203"/>
        <v>1297.6995415999997</v>
      </c>
      <c r="H2701" s="8">
        <f t="shared" si="204"/>
        <v>1390.392366</v>
      </c>
      <c r="I2701" s="9">
        <f t="shared" si="205"/>
        <v>1483.0851904000001</v>
      </c>
    </row>
    <row r="2702" spans="1:9" x14ac:dyDescent="0.35">
      <c r="A2702" s="18" t="s">
        <v>2412</v>
      </c>
      <c r="B2702" s="18" t="s">
        <v>2032</v>
      </c>
      <c r="C2702" s="20">
        <v>45688</v>
      </c>
      <c r="D2702" s="11">
        <v>832.67</v>
      </c>
      <c r="E2702" s="27">
        <f t="shared" si="206"/>
        <v>926.92824399999995</v>
      </c>
      <c r="F2702" s="6">
        <f t="shared" si="202"/>
        <v>1205.0067171999999</v>
      </c>
      <c r="G2702" s="7">
        <f t="shared" si="203"/>
        <v>1297.6995415999997</v>
      </c>
      <c r="H2702" s="8">
        <f t="shared" si="204"/>
        <v>1390.392366</v>
      </c>
      <c r="I2702" s="9">
        <f t="shared" si="205"/>
        <v>1483.0851904000001</v>
      </c>
    </row>
    <row r="2703" spans="1:9" x14ac:dyDescent="0.35">
      <c r="A2703" s="10" t="s">
        <v>2413</v>
      </c>
      <c r="B2703" s="10" t="s">
        <v>2033</v>
      </c>
      <c r="C2703" s="20">
        <v>45688</v>
      </c>
      <c r="D2703" s="11">
        <v>3700</v>
      </c>
      <c r="E2703" s="27">
        <f t="shared" si="206"/>
        <v>4118.84</v>
      </c>
      <c r="F2703" s="6">
        <f t="shared" si="202"/>
        <v>5354.4920000000002</v>
      </c>
      <c r="G2703" s="7">
        <f t="shared" si="203"/>
        <v>5766.3760000000002</v>
      </c>
      <c r="H2703" s="8">
        <f t="shared" si="204"/>
        <v>6178.26</v>
      </c>
      <c r="I2703" s="9">
        <f t="shared" si="205"/>
        <v>6590.1440000000002</v>
      </c>
    </row>
    <row r="2704" spans="1:9" x14ac:dyDescent="0.35">
      <c r="A2704" s="18" t="s">
        <v>2414</v>
      </c>
      <c r="B2704" s="18" t="s">
        <v>6133</v>
      </c>
      <c r="C2704" s="20">
        <v>45688</v>
      </c>
      <c r="D2704" s="11">
        <v>682.55</v>
      </c>
      <c r="E2704" s="27">
        <f t="shared" si="206"/>
        <v>759.81465999999989</v>
      </c>
      <c r="F2704" s="6">
        <f t="shared" si="202"/>
        <v>987.75905799999987</v>
      </c>
      <c r="G2704" s="7">
        <f t="shared" si="203"/>
        <v>1063.7405239999998</v>
      </c>
      <c r="H2704" s="8">
        <f t="shared" si="204"/>
        <v>1139.7219899999998</v>
      </c>
      <c r="I2704" s="9">
        <f t="shared" si="205"/>
        <v>1215.703456</v>
      </c>
    </row>
    <row r="2705" spans="1:9" x14ac:dyDescent="0.35">
      <c r="A2705" s="18" t="s">
        <v>1980</v>
      </c>
      <c r="B2705" s="18" t="s">
        <v>6327</v>
      </c>
      <c r="C2705" s="20">
        <v>45688</v>
      </c>
      <c r="D2705" s="11">
        <v>682.55</v>
      </c>
      <c r="E2705" s="27">
        <f t="shared" si="206"/>
        <v>759.81465999999989</v>
      </c>
      <c r="F2705" s="6">
        <f t="shared" si="202"/>
        <v>987.75905799999987</v>
      </c>
      <c r="G2705" s="7">
        <f t="shared" si="203"/>
        <v>1063.7405239999998</v>
      </c>
      <c r="H2705" s="8">
        <f t="shared" si="204"/>
        <v>1139.7219899999998</v>
      </c>
      <c r="I2705" s="9">
        <f t="shared" si="205"/>
        <v>1215.703456</v>
      </c>
    </row>
    <row r="2706" spans="1:9" x14ac:dyDescent="0.35">
      <c r="A2706" s="18" t="s">
        <v>1981</v>
      </c>
      <c r="B2706" s="18" t="s">
        <v>272</v>
      </c>
      <c r="C2706" s="20">
        <v>45688</v>
      </c>
      <c r="D2706" s="11">
        <v>704.08</v>
      </c>
      <c r="E2706" s="27">
        <f t="shared" si="206"/>
        <v>783.78185600000006</v>
      </c>
      <c r="F2706" s="6">
        <f t="shared" si="202"/>
        <v>1018.9164128000001</v>
      </c>
      <c r="G2706" s="7">
        <f t="shared" si="203"/>
        <v>1097.2945984</v>
      </c>
      <c r="H2706" s="8">
        <f t="shared" si="204"/>
        <v>1175.6727840000001</v>
      </c>
      <c r="I2706" s="9">
        <f t="shared" si="205"/>
        <v>1254.0509696000001</v>
      </c>
    </row>
    <row r="2707" spans="1:9" ht="18" x14ac:dyDescent="0.4">
      <c r="B2707" s="19" t="s">
        <v>5725</v>
      </c>
      <c r="D2707" s="11">
        <v>0</v>
      </c>
      <c r="E2707" s="27">
        <f t="shared" si="206"/>
        <v>0</v>
      </c>
      <c r="F2707" s="6">
        <f t="shared" si="202"/>
        <v>0</v>
      </c>
      <c r="G2707" s="7">
        <f t="shared" si="203"/>
        <v>0</v>
      </c>
      <c r="H2707" s="8">
        <f t="shared" si="204"/>
        <v>0</v>
      </c>
      <c r="I2707" s="9">
        <f t="shared" si="205"/>
        <v>0</v>
      </c>
    </row>
    <row r="2708" spans="1:9" x14ac:dyDescent="0.35">
      <c r="A2708" s="18" t="s">
        <v>5709</v>
      </c>
      <c r="B2708" s="24" t="s">
        <v>5717</v>
      </c>
      <c r="C2708" s="20">
        <v>45483</v>
      </c>
      <c r="D2708" s="11">
        <v>5449.5135608759992</v>
      </c>
      <c r="E2708" s="27">
        <f t="shared" si="206"/>
        <v>6066.3984959671625</v>
      </c>
      <c r="F2708" s="6">
        <f t="shared" si="202"/>
        <v>7886.3180447573113</v>
      </c>
      <c r="G2708" s="7">
        <f t="shared" si="203"/>
        <v>8492.9578943540273</v>
      </c>
      <c r="H2708" s="8">
        <f t="shared" si="204"/>
        <v>9099.5977439507442</v>
      </c>
      <c r="I2708" s="9">
        <f t="shared" si="205"/>
        <v>9706.2375935474611</v>
      </c>
    </row>
    <row r="2709" spans="1:9" x14ac:dyDescent="0.35">
      <c r="A2709" s="18" t="s">
        <v>5710</v>
      </c>
      <c r="B2709" s="24" t="s">
        <v>5718</v>
      </c>
      <c r="C2709" s="20">
        <v>45483</v>
      </c>
      <c r="D2709" s="11">
        <v>0</v>
      </c>
      <c r="E2709" s="27">
        <f t="shared" si="206"/>
        <v>0</v>
      </c>
      <c r="F2709" s="6">
        <f t="shared" si="202"/>
        <v>0</v>
      </c>
      <c r="G2709" s="7">
        <f t="shared" si="203"/>
        <v>0</v>
      </c>
      <c r="H2709" s="8">
        <f t="shared" si="204"/>
        <v>0</v>
      </c>
      <c r="I2709" s="9">
        <f t="shared" si="205"/>
        <v>0</v>
      </c>
    </row>
    <row r="2710" spans="1:9" x14ac:dyDescent="0.35">
      <c r="A2710" s="18" t="s">
        <v>5711</v>
      </c>
      <c r="B2710" s="24" t="s">
        <v>5719</v>
      </c>
      <c r="C2710" s="20">
        <v>45483</v>
      </c>
      <c r="D2710" s="11">
        <v>6405.8497642062002</v>
      </c>
      <c r="E2710" s="27">
        <f t="shared" si="206"/>
        <v>7130.9919575143422</v>
      </c>
      <c r="F2710" s="6">
        <f t="shared" si="202"/>
        <v>9270.289544768646</v>
      </c>
      <c r="G2710" s="7">
        <f t="shared" si="203"/>
        <v>9983.3887405200785</v>
      </c>
      <c r="H2710" s="8">
        <f t="shared" si="204"/>
        <v>10696.487936271513</v>
      </c>
      <c r="I2710" s="9">
        <f t="shared" si="205"/>
        <v>11409.587132022949</v>
      </c>
    </row>
    <row r="2711" spans="1:9" x14ac:dyDescent="0.35">
      <c r="A2711" s="18" t="s">
        <v>5712</v>
      </c>
      <c r="B2711" s="24" t="s">
        <v>5720</v>
      </c>
      <c r="C2711" s="20">
        <v>45483</v>
      </c>
      <c r="D2711" s="11">
        <v>0</v>
      </c>
      <c r="E2711" s="27">
        <f t="shared" si="206"/>
        <v>0</v>
      </c>
      <c r="F2711" s="6">
        <f t="shared" si="202"/>
        <v>0</v>
      </c>
      <c r="G2711" s="7">
        <f t="shared" si="203"/>
        <v>0</v>
      </c>
      <c r="H2711" s="8">
        <f t="shared" si="204"/>
        <v>0</v>
      </c>
      <c r="I2711" s="9">
        <f t="shared" si="205"/>
        <v>0</v>
      </c>
    </row>
    <row r="2712" spans="1:9" x14ac:dyDescent="0.35">
      <c r="A2712" s="18" t="s">
        <v>5713</v>
      </c>
      <c r="B2712" s="24" t="s">
        <v>5721</v>
      </c>
      <c r="C2712" s="20">
        <v>45483</v>
      </c>
      <c r="D2712" s="11">
        <v>7733.5008621254992</v>
      </c>
      <c r="E2712" s="27">
        <f t="shared" si="206"/>
        <v>8608.9331597181063</v>
      </c>
      <c r="F2712" s="6">
        <f t="shared" si="202"/>
        <v>11191.613107633539</v>
      </c>
      <c r="G2712" s="7">
        <f t="shared" si="203"/>
        <v>12052.506423605348</v>
      </c>
      <c r="H2712" s="8">
        <f t="shared" si="204"/>
        <v>12913.399739577158</v>
      </c>
      <c r="I2712" s="9">
        <f t="shared" si="205"/>
        <v>13774.293055548971</v>
      </c>
    </row>
    <row r="2713" spans="1:9" x14ac:dyDescent="0.35">
      <c r="A2713" s="18" t="s">
        <v>5714</v>
      </c>
      <c r="B2713" s="24" t="s">
        <v>5722</v>
      </c>
      <c r="C2713" s="20">
        <v>45483</v>
      </c>
      <c r="D2713" s="11">
        <v>8494.8299625420004</v>
      </c>
      <c r="E2713" s="27">
        <f t="shared" si="206"/>
        <v>9456.4447143017551</v>
      </c>
      <c r="F2713" s="6">
        <f t="shared" si="202"/>
        <v>12293.378128592281</v>
      </c>
      <c r="G2713" s="7">
        <f t="shared" si="203"/>
        <v>13239.022600022456</v>
      </c>
      <c r="H2713" s="8">
        <f t="shared" si="204"/>
        <v>14184.667071452634</v>
      </c>
      <c r="I2713" s="9">
        <f t="shared" si="205"/>
        <v>15130.31154288281</v>
      </c>
    </row>
    <row r="2714" spans="1:9" x14ac:dyDescent="0.35">
      <c r="A2714" s="18" t="s">
        <v>5715</v>
      </c>
      <c r="B2714" s="24" t="s">
        <v>5723</v>
      </c>
      <c r="C2714" s="20">
        <v>45483</v>
      </c>
      <c r="D2714" s="11">
        <v>9002.3826961530012</v>
      </c>
      <c r="E2714" s="27">
        <f t="shared" si="206"/>
        <v>10021.452417357521</v>
      </c>
      <c r="F2714" s="6">
        <f t="shared" si="202"/>
        <v>13027.888142564778</v>
      </c>
      <c r="G2714" s="7">
        <f t="shared" si="203"/>
        <v>14030.033384300528</v>
      </c>
      <c r="H2714" s="8">
        <f t="shared" si="204"/>
        <v>15032.178626036282</v>
      </c>
      <c r="I2714" s="9">
        <f t="shared" si="205"/>
        <v>16034.323867772035</v>
      </c>
    </row>
    <row r="2715" spans="1:9" x14ac:dyDescent="0.35">
      <c r="A2715" s="18" t="s">
        <v>5716</v>
      </c>
      <c r="B2715" s="24" t="s">
        <v>5753</v>
      </c>
      <c r="C2715" s="20">
        <v>45483</v>
      </c>
      <c r="D2715" s="11">
        <v>0</v>
      </c>
      <c r="E2715" s="27">
        <f t="shared" si="206"/>
        <v>0</v>
      </c>
      <c r="F2715" s="6">
        <f t="shared" si="202"/>
        <v>0</v>
      </c>
      <c r="G2715" s="7">
        <f t="shared" si="203"/>
        <v>0</v>
      </c>
      <c r="H2715" s="8">
        <f t="shared" si="204"/>
        <v>0</v>
      </c>
      <c r="I2715" s="9">
        <f t="shared" si="205"/>
        <v>0</v>
      </c>
    </row>
    <row r="2716" spans="1:9" ht="15.75" customHeight="1" x14ac:dyDescent="0.4">
      <c r="B2716" s="19" t="s">
        <v>274</v>
      </c>
      <c r="D2716" s="11">
        <v>0</v>
      </c>
      <c r="E2716" s="27">
        <f t="shared" si="206"/>
        <v>0</v>
      </c>
      <c r="F2716" s="6">
        <f t="shared" si="202"/>
        <v>0</v>
      </c>
      <c r="G2716" s="7">
        <f t="shared" si="203"/>
        <v>0</v>
      </c>
      <c r="H2716" s="8">
        <f t="shared" si="204"/>
        <v>0</v>
      </c>
      <c r="I2716" s="9">
        <f t="shared" si="205"/>
        <v>0</v>
      </c>
    </row>
    <row r="2717" spans="1:9" x14ac:dyDescent="0.35">
      <c r="A2717" s="18" t="s">
        <v>2415</v>
      </c>
      <c r="B2717" s="18" t="s">
        <v>1577</v>
      </c>
      <c r="C2717" s="20">
        <v>45726</v>
      </c>
      <c r="D2717" s="11">
        <v>9614.8396575000024</v>
      </c>
      <c r="E2717" s="27">
        <f t="shared" si="206"/>
        <v>10703.239506729004</v>
      </c>
      <c r="F2717" s="6">
        <f t="shared" si="202"/>
        <v>13914.211358747705</v>
      </c>
      <c r="G2717" s="7">
        <f t="shared" si="203"/>
        <v>14984.535309420604</v>
      </c>
      <c r="H2717" s="8">
        <f t="shared" si="204"/>
        <v>16054.859260093504</v>
      </c>
      <c r="I2717" s="9">
        <f t="shared" si="205"/>
        <v>17125.183210766405</v>
      </c>
    </row>
    <row r="2718" spans="1:9" x14ac:dyDescent="0.35">
      <c r="A2718" s="18" t="s">
        <v>2416</v>
      </c>
      <c r="B2718" s="18" t="s">
        <v>1578</v>
      </c>
      <c r="C2718" s="20">
        <v>45726</v>
      </c>
      <c r="D2718" s="11">
        <v>12156.699381750001</v>
      </c>
      <c r="E2718" s="27">
        <f t="shared" si="206"/>
        <v>13532.837751764102</v>
      </c>
      <c r="F2718" s="6">
        <f t="shared" si="202"/>
        <v>17592.689077293333</v>
      </c>
      <c r="G2718" s="7">
        <f t="shared" si="203"/>
        <v>18945.972852469742</v>
      </c>
      <c r="H2718" s="8">
        <f t="shared" si="204"/>
        <v>20299.256627646151</v>
      </c>
      <c r="I2718" s="9">
        <f t="shared" si="205"/>
        <v>21652.540402822564</v>
      </c>
    </row>
    <row r="2719" spans="1:9" x14ac:dyDescent="0.35">
      <c r="A2719" s="18" t="s">
        <v>2417</v>
      </c>
      <c r="B2719" s="18" t="s">
        <v>1579</v>
      </c>
      <c r="C2719" s="20">
        <v>45726</v>
      </c>
      <c r="D2719" s="11">
        <v>16586.848451250004</v>
      </c>
      <c r="E2719" s="27">
        <f t="shared" si="206"/>
        <v>18464.479695931506</v>
      </c>
      <c r="F2719" s="6">
        <f t="shared" si="202"/>
        <v>24003.82360471096</v>
      </c>
      <c r="G2719" s="7">
        <f t="shared" si="203"/>
        <v>25850.271574304108</v>
      </c>
      <c r="H2719" s="8">
        <f t="shared" si="204"/>
        <v>27696.719543897259</v>
      </c>
      <c r="I2719" s="9">
        <f t="shared" si="205"/>
        <v>29543.167513490411</v>
      </c>
    </row>
    <row r="2720" spans="1:9" x14ac:dyDescent="0.35">
      <c r="A2720" s="18" t="s">
        <v>1513</v>
      </c>
      <c r="B2720" s="18" t="s">
        <v>1580</v>
      </c>
      <c r="C2720" s="20">
        <v>45726</v>
      </c>
      <c r="D2720" s="11">
        <v>44200.761499125008</v>
      </c>
      <c r="E2720" s="27">
        <f t="shared" si="206"/>
        <v>49204.28770082596</v>
      </c>
      <c r="F2720" s="6">
        <f t="shared" si="202"/>
        <v>63965.574011073753</v>
      </c>
      <c r="G2720" s="7">
        <f t="shared" si="203"/>
        <v>68886.002781156334</v>
      </c>
      <c r="H2720" s="8">
        <f t="shared" si="204"/>
        <v>73806.431551238944</v>
      </c>
      <c r="I2720" s="9">
        <f t="shared" si="205"/>
        <v>78726.860321321539</v>
      </c>
    </row>
    <row r="2721" spans="1:9" x14ac:dyDescent="0.35">
      <c r="A2721" s="18" t="s">
        <v>1514</v>
      </c>
      <c r="B2721" s="18" t="s">
        <v>1581</v>
      </c>
      <c r="C2721" s="20">
        <v>45726</v>
      </c>
      <c r="D2721" s="11">
        <v>55706.713177500016</v>
      </c>
      <c r="E2721" s="27">
        <f t="shared" si="206"/>
        <v>62012.713109193021</v>
      </c>
      <c r="F2721" s="6">
        <f t="shared" si="202"/>
        <v>80616.527041950932</v>
      </c>
      <c r="G2721" s="7">
        <f t="shared" si="203"/>
        <v>86817.798352870217</v>
      </c>
      <c r="H2721" s="8">
        <f t="shared" si="204"/>
        <v>93019.069663789531</v>
      </c>
      <c r="I2721" s="9">
        <f t="shared" si="205"/>
        <v>99220.340974708844</v>
      </c>
    </row>
    <row r="2722" spans="1:9" x14ac:dyDescent="0.35">
      <c r="A2722" s="18" t="s">
        <v>1515</v>
      </c>
      <c r="B2722" s="18" t="s">
        <v>1582</v>
      </c>
      <c r="C2722" s="20">
        <v>45726</v>
      </c>
      <c r="D2722" s="11">
        <v>62112.815832375025</v>
      </c>
      <c r="E2722" s="27">
        <f t="shared" si="206"/>
        <v>69143.986584599887</v>
      </c>
      <c r="F2722" s="6">
        <f t="shared" si="202"/>
        <v>89887.182559979861</v>
      </c>
      <c r="G2722" s="7">
        <f t="shared" si="203"/>
        <v>96801.581218439838</v>
      </c>
      <c r="H2722" s="8">
        <f t="shared" si="204"/>
        <v>103715.97987689983</v>
      </c>
      <c r="I2722" s="9">
        <f t="shared" si="205"/>
        <v>110630.37853535982</v>
      </c>
    </row>
    <row r="2723" spans="1:9" x14ac:dyDescent="0.35">
      <c r="A2723" s="18" t="s">
        <v>1516</v>
      </c>
      <c r="B2723" s="18" t="s">
        <v>1583</v>
      </c>
      <c r="C2723" s="20">
        <v>45726</v>
      </c>
      <c r="D2723" s="11">
        <v>9369.105582375003</v>
      </c>
      <c r="E2723" s="27">
        <f t="shared" si="206"/>
        <v>10429.688334299854</v>
      </c>
      <c r="F2723" s="6">
        <f t="shared" si="202"/>
        <v>13558.59483458981</v>
      </c>
      <c r="G2723" s="7">
        <f t="shared" si="203"/>
        <v>14601.563668019793</v>
      </c>
      <c r="H2723" s="8">
        <f t="shared" si="204"/>
        <v>15644.532501449779</v>
      </c>
      <c r="I2723" s="9">
        <f t="shared" si="205"/>
        <v>16687.501334879766</v>
      </c>
    </row>
    <row r="2724" spans="1:9" x14ac:dyDescent="0.35">
      <c r="A2724" s="18" t="s">
        <v>1517</v>
      </c>
      <c r="B2724" s="18" t="s">
        <v>1584</v>
      </c>
      <c r="C2724" s="20">
        <v>45726</v>
      </c>
      <c r="D2724" s="11">
        <v>7054.5599586000017</v>
      </c>
      <c r="E2724" s="27">
        <f t="shared" si="206"/>
        <v>7853.1361459135223</v>
      </c>
      <c r="F2724" s="6">
        <f t="shared" si="202"/>
        <v>10209.076989687579</v>
      </c>
      <c r="G2724" s="7">
        <f t="shared" si="203"/>
        <v>10994.390604278931</v>
      </c>
      <c r="H2724" s="8">
        <f t="shared" si="204"/>
        <v>11779.704218870284</v>
      </c>
      <c r="I2724" s="9">
        <f t="shared" si="205"/>
        <v>12565.017833461636</v>
      </c>
    </row>
    <row r="2725" spans="1:9" x14ac:dyDescent="0.35">
      <c r="A2725" s="18" t="s">
        <v>1518</v>
      </c>
      <c r="B2725" s="18" t="s">
        <v>1585</v>
      </c>
      <c r="C2725" s="20">
        <v>45726</v>
      </c>
      <c r="D2725" s="11">
        <v>9961.8190749000023</v>
      </c>
      <c r="E2725" s="27">
        <f t="shared" si="206"/>
        <v>11089.496994178682</v>
      </c>
      <c r="F2725" s="6">
        <f t="shared" si="202"/>
        <v>14416.346092432288</v>
      </c>
      <c r="G2725" s="7">
        <f t="shared" si="203"/>
        <v>15525.295791850154</v>
      </c>
      <c r="H2725" s="8">
        <f t="shared" si="204"/>
        <v>16634.245491268022</v>
      </c>
      <c r="I2725" s="9">
        <f t="shared" si="205"/>
        <v>17743.195190685892</v>
      </c>
    </row>
    <row r="2726" spans="1:9" x14ac:dyDescent="0.35">
      <c r="A2726" s="18" t="s">
        <v>1519</v>
      </c>
      <c r="B2726" s="18" t="s">
        <v>1586</v>
      </c>
      <c r="C2726" s="20">
        <v>45726</v>
      </c>
      <c r="D2726" s="11">
        <v>7506.9622782000006</v>
      </c>
      <c r="E2726" s="27">
        <f t="shared" si="206"/>
        <v>8356.7504080922408</v>
      </c>
      <c r="F2726" s="6">
        <f t="shared" si="202"/>
        <v>10863.775530519913</v>
      </c>
      <c r="G2726" s="7">
        <f t="shared" si="203"/>
        <v>11699.450571329136</v>
      </c>
      <c r="H2726" s="8">
        <f t="shared" si="204"/>
        <v>12535.125612138361</v>
      </c>
      <c r="I2726" s="9">
        <f t="shared" si="205"/>
        <v>13370.800652947586</v>
      </c>
    </row>
    <row r="2727" spans="1:9" ht="18" x14ac:dyDescent="0.4">
      <c r="B2727" s="19" t="s">
        <v>6712</v>
      </c>
      <c r="D2727" s="11">
        <v>0</v>
      </c>
      <c r="E2727" s="27">
        <f t="shared" si="206"/>
        <v>0</v>
      </c>
      <c r="F2727" s="6">
        <f t="shared" si="202"/>
        <v>0</v>
      </c>
      <c r="G2727" s="7">
        <f t="shared" si="203"/>
        <v>0</v>
      </c>
      <c r="H2727" s="8">
        <f t="shared" si="204"/>
        <v>0</v>
      </c>
      <c r="I2727" s="9">
        <f t="shared" si="205"/>
        <v>0</v>
      </c>
    </row>
    <row r="2728" spans="1:9" x14ac:dyDescent="0.35">
      <c r="A2728" s="18" t="s">
        <v>4453</v>
      </c>
      <c r="B2728" s="18" t="s">
        <v>6710</v>
      </c>
      <c r="C2728" s="20">
        <v>45621</v>
      </c>
      <c r="D2728" s="11">
        <v>14732.9</v>
      </c>
      <c r="E2728" s="27">
        <f t="shared" si="206"/>
        <v>16400.664279999997</v>
      </c>
      <c r="F2728" s="6">
        <f t="shared" si="202"/>
        <v>21320.863563999996</v>
      </c>
      <c r="G2728" s="7">
        <f t="shared" si="203"/>
        <v>22960.929991999994</v>
      </c>
      <c r="H2728" s="8">
        <f t="shared" si="204"/>
        <v>24600.996419999996</v>
      </c>
      <c r="I2728" s="9">
        <f t="shared" si="205"/>
        <v>26241.062847999998</v>
      </c>
    </row>
    <row r="2729" spans="1:9" x14ac:dyDescent="0.35">
      <c r="A2729" s="18" t="s">
        <v>4454</v>
      </c>
      <c r="B2729" s="18" t="s">
        <v>6711</v>
      </c>
      <c r="C2729" s="20">
        <v>45621</v>
      </c>
      <c r="D2729" s="11">
        <v>15909</v>
      </c>
      <c r="E2729" s="27">
        <f t="shared" si="206"/>
        <v>17709.898799999999</v>
      </c>
      <c r="F2729" s="6">
        <f t="shared" si="202"/>
        <v>23022.868439999998</v>
      </c>
      <c r="G2729" s="7">
        <f t="shared" si="203"/>
        <v>24793.858319999996</v>
      </c>
      <c r="H2729" s="8">
        <f t="shared" si="204"/>
        <v>26564.8482</v>
      </c>
      <c r="I2729" s="9">
        <f t="shared" si="205"/>
        <v>28335.838080000001</v>
      </c>
    </row>
    <row r="2730" spans="1:9" ht="18" x14ac:dyDescent="0.4">
      <c r="B2730" s="19" t="s">
        <v>5807</v>
      </c>
      <c r="D2730" s="11">
        <v>0</v>
      </c>
      <c r="E2730" s="27">
        <f t="shared" si="206"/>
        <v>0</v>
      </c>
      <c r="F2730" s="6">
        <f t="shared" si="202"/>
        <v>0</v>
      </c>
      <c r="G2730" s="7">
        <f t="shared" si="203"/>
        <v>0</v>
      </c>
      <c r="H2730" s="8">
        <f t="shared" si="204"/>
        <v>0</v>
      </c>
      <c r="I2730" s="9">
        <f t="shared" si="205"/>
        <v>0</v>
      </c>
    </row>
    <row r="2731" spans="1:9" x14ac:dyDescent="0.35">
      <c r="A2731" s="18" t="s">
        <v>5805</v>
      </c>
      <c r="B2731" s="18" t="s">
        <v>5808</v>
      </c>
      <c r="C2731" s="20">
        <v>45703</v>
      </c>
      <c r="D2731" s="11">
        <v>8915.2999999999993</v>
      </c>
      <c r="E2731" s="27">
        <f t="shared" si="206"/>
        <v>9924.5119599999998</v>
      </c>
      <c r="F2731" s="6">
        <f t="shared" si="202"/>
        <v>12901.865548</v>
      </c>
      <c r="G2731" s="7">
        <f t="shared" si="203"/>
        <v>13894.316744</v>
      </c>
      <c r="H2731" s="8">
        <f t="shared" si="204"/>
        <v>14886.76794</v>
      </c>
      <c r="I2731" s="9">
        <f t="shared" si="205"/>
        <v>15879.219136</v>
      </c>
    </row>
    <row r="2732" spans="1:9" x14ac:dyDescent="0.35">
      <c r="A2732" s="18" t="s">
        <v>5806</v>
      </c>
      <c r="B2732" s="18" t="s">
        <v>5809</v>
      </c>
      <c r="C2732" s="20">
        <v>45703</v>
      </c>
      <c r="D2732" s="11">
        <v>9729.07</v>
      </c>
      <c r="E2732" s="27">
        <f t="shared" si="206"/>
        <v>10830.400723999999</v>
      </c>
      <c r="F2732" s="6">
        <f t="shared" si="202"/>
        <v>14079.520941199999</v>
      </c>
      <c r="G2732" s="7">
        <f t="shared" si="203"/>
        <v>15162.561013599998</v>
      </c>
      <c r="H2732" s="8">
        <f t="shared" si="204"/>
        <v>16245.601085999999</v>
      </c>
      <c r="I2732" s="9">
        <f t="shared" si="205"/>
        <v>17328.641158399998</v>
      </c>
    </row>
    <row r="2733" spans="1:9" ht="18" x14ac:dyDescent="0.4">
      <c r="B2733" s="19" t="s">
        <v>4663</v>
      </c>
      <c r="D2733" s="11">
        <v>0</v>
      </c>
      <c r="E2733" s="27">
        <f t="shared" si="206"/>
        <v>0</v>
      </c>
      <c r="F2733" s="6">
        <f t="shared" si="202"/>
        <v>0</v>
      </c>
      <c r="G2733" s="7">
        <f t="shared" si="203"/>
        <v>0</v>
      </c>
      <c r="H2733" s="8">
        <f t="shared" si="204"/>
        <v>0</v>
      </c>
      <c r="I2733" s="9">
        <f t="shared" si="205"/>
        <v>0</v>
      </c>
    </row>
    <row r="2734" spans="1:9" x14ac:dyDescent="0.35">
      <c r="A2734" s="18" t="s">
        <v>4664</v>
      </c>
      <c r="B2734" s="18" t="s">
        <v>5804</v>
      </c>
      <c r="C2734" s="20">
        <v>45483</v>
      </c>
      <c r="D2734" s="11">
        <v>924.30094680000025</v>
      </c>
      <c r="E2734" s="27">
        <f t="shared" si="206"/>
        <v>1028.9318139777604</v>
      </c>
      <c r="F2734" s="6">
        <f t="shared" ref="F2734:F2798" si="207">E2734*1.3</f>
        <v>1337.6113581710886</v>
      </c>
      <c r="G2734" s="7">
        <f t="shared" ref="G2734:G2798" si="208">E2734*1.4</f>
        <v>1440.5045395688644</v>
      </c>
      <c r="H2734" s="8">
        <f t="shared" ref="H2734:H2798" si="209">E2734*1.5</f>
        <v>1543.3977209666405</v>
      </c>
      <c r="I2734" s="9">
        <f t="shared" ref="I2734:I2798" si="210">E2734*1.6</f>
        <v>1646.2909023644168</v>
      </c>
    </row>
    <row r="2735" spans="1:9" x14ac:dyDescent="0.35">
      <c r="A2735" s="18" t="s">
        <v>4665</v>
      </c>
      <c r="B2735" s="18" t="s">
        <v>4666</v>
      </c>
      <c r="C2735" s="20">
        <v>45483</v>
      </c>
      <c r="D2735" s="11">
        <v>1049.0755176000002</v>
      </c>
      <c r="E2735" s="27">
        <f t="shared" si="206"/>
        <v>1167.8308661923204</v>
      </c>
      <c r="F2735" s="6">
        <f t="shared" si="207"/>
        <v>1518.1801260500165</v>
      </c>
      <c r="G2735" s="7">
        <f t="shared" si="208"/>
        <v>1634.9632126692484</v>
      </c>
      <c r="H2735" s="8">
        <f t="shared" si="209"/>
        <v>1751.7462992884807</v>
      </c>
      <c r="I2735" s="9">
        <f t="shared" si="210"/>
        <v>1868.5293859077128</v>
      </c>
    </row>
    <row r="2736" spans="1:9" x14ac:dyDescent="0.35">
      <c r="A2736" s="18" t="s">
        <v>5803</v>
      </c>
      <c r="B2736" s="18" t="s">
        <v>4667</v>
      </c>
      <c r="C2736" s="20">
        <v>45483</v>
      </c>
      <c r="D2736" s="11">
        <v>1515.4659036000005</v>
      </c>
      <c r="E2736" s="27">
        <f t="shared" si="206"/>
        <v>1687.0166438875206</v>
      </c>
      <c r="F2736" s="6">
        <f t="shared" si="207"/>
        <v>2193.1216370537768</v>
      </c>
      <c r="G2736" s="7">
        <f t="shared" si="208"/>
        <v>2361.8233014425286</v>
      </c>
      <c r="H2736" s="8">
        <f t="shared" si="209"/>
        <v>2530.524965831281</v>
      </c>
      <c r="I2736" s="9">
        <f t="shared" si="210"/>
        <v>2699.2266302200333</v>
      </c>
    </row>
    <row r="2737" spans="1:9" ht="18" x14ac:dyDescent="0.4">
      <c r="A2737" s="28"/>
      <c r="B2737" s="34" t="s">
        <v>4779</v>
      </c>
      <c r="C2737" s="29"/>
      <c r="D2737" s="11">
        <v>0</v>
      </c>
      <c r="E2737" s="27">
        <f t="shared" si="206"/>
        <v>0</v>
      </c>
      <c r="F2737" s="6">
        <f t="shared" si="207"/>
        <v>0</v>
      </c>
      <c r="G2737" s="7">
        <f t="shared" si="208"/>
        <v>0</v>
      </c>
      <c r="H2737" s="8">
        <f t="shared" si="209"/>
        <v>0</v>
      </c>
      <c r="I2737" s="9">
        <f t="shared" si="210"/>
        <v>0</v>
      </c>
    </row>
    <row r="2738" spans="1:9" x14ac:dyDescent="0.35">
      <c r="A2738" s="28" t="s">
        <v>4777</v>
      </c>
      <c r="B2738" s="28" t="s">
        <v>4778</v>
      </c>
      <c r="C2738" s="29">
        <v>45737</v>
      </c>
      <c r="D2738" s="11">
        <v>549.22</v>
      </c>
      <c r="E2738" s="27">
        <f t="shared" si="206"/>
        <v>611.391704</v>
      </c>
      <c r="F2738" s="6">
        <f t="shared" si="207"/>
        <v>794.80921520000004</v>
      </c>
      <c r="G2738" s="7">
        <f t="shared" si="208"/>
        <v>855.94838559999994</v>
      </c>
      <c r="H2738" s="8">
        <f t="shared" si="209"/>
        <v>917.08755599999995</v>
      </c>
      <c r="I2738" s="9">
        <f t="shared" si="210"/>
        <v>978.22672640000008</v>
      </c>
    </row>
    <row r="2739" spans="1:9" ht="18" x14ac:dyDescent="0.4">
      <c r="B2739" s="19" t="s">
        <v>5448</v>
      </c>
      <c r="D2739" s="11">
        <v>0</v>
      </c>
      <c r="E2739" s="27">
        <f t="shared" si="206"/>
        <v>0</v>
      </c>
      <c r="F2739" s="6">
        <f t="shared" si="207"/>
        <v>0</v>
      </c>
      <c r="G2739" s="7">
        <f t="shared" si="208"/>
        <v>0</v>
      </c>
      <c r="H2739" s="8">
        <f t="shared" si="209"/>
        <v>0</v>
      </c>
      <c r="I2739" s="9">
        <f t="shared" si="210"/>
        <v>0</v>
      </c>
    </row>
    <row r="2740" spans="1:9" x14ac:dyDescent="0.35">
      <c r="A2740" s="18" t="s">
        <v>5449</v>
      </c>
      <c r="B2740" s="18" t="s">
        <v>6751</v>
      </c>
      <c r="C2740" s="20">
        <v>45716</v>
      </c>
      <c r="D2740" s="11">
        <v>50432.077500000007</v>
      </c>
      <c r="E2740" s="27">
        <f t="shared" si="206"/>
        <v>56140.988673000014</v>
      </c>
      <c r="F2740" s="6">
        <f t="shared" si="207"/>
        <v>72983.285274900016</v>
      </c>
      <c r="G2740" s="7">
        <f t="shared" si="208"/>
        <v>78597.384142200011</v>
      </c>
      <c r="H2740" s="8">
        <f t="shared" si="209"/>
        <v>84211.483009500022</v>
      </c>
      <c r="I2740" s="9">
        <f t="shared" si="210"/>
        <v>89825.581876800032</v>
      </c>
    </row>
    <row r="2741" spans="1:9" x14ac:dyDescent="0.35">
      <c r="A2741" s="18" t="s">
        <v>5450</v>
      </c>
      <c r="B2741" s="18" t="s">
        <v>6752</v>
      </c>
      <c r="C2741" s="20">
        <v>45716</v>
      </c>
      <c r="D2741" s="11">
        <v>107016.819</v>
      </c>
      <c r="E2741" s="27">
        <f t="shared" si="206"/>
        <v>119131.12291080001</v>
      </c>
      <c r="F2741" s="6">
        <f t="shared" si="207"/>
        <v>154870.45978404002</v>
      </c>
      <c r="G2741" s="7">
        <f t="shared" si="208"/>
        <v>166783.57207512</v>
      </c>
      <c r="H2741" s="8">
        <f t="shared" si="209"/>
        <v>178696.6843662</v>
      </c>
      <c r="I2741" s="9">
        <f t="shared" si="210"/>
        <v>190609.79665728004</v>
      </c>
    </row>
    <row r="2742" spans="1:9" x14ac:dyDescent="0.35">
      <c r="A2742" s="18" t="s">
        <v>5457</v>
      </c>
      <c r="B2742" s="18" t="s">
        <v>6708</v>
      </c>
      <c r="C2742" s="20">
        <v>45716</v>
      </c>
      <c r="D2742" s="11">
        <v>15850.800000000001</v>
      </c>
      <c r="E2742" s="27">
        <f t="shared" si="206"/>
        <v>17645.110560000001</v>
      </c>
      <c r="F2742" s="6">
        <f t="shared" si="207"/>
        <v>22938.643728000003</v>
      </c>
      <c r="G2742" s="7">
        <f t="shared" si="208"/>
        <v>24703.154783999998</v>
      </c>
      <c r="H2742" s="8">
        <f t="shared" si="209"/>
        <v>26467.665840000001</v>
      </c>
      <c r="I2742" s="9">
        <f t="shared" si="210"/>
        <v>28232.176896000004</v>
      </c>
    </row>
    <row r="2743" spans="1:9" x14ac:dyDescent="0.35">
      <c r="A2743" s="18" t="s">
        <v>6052</v>
      </c>
      <c r="B2743" s="18" t="s">
        <v>6709</v>
      </c>
      <c r="C2743" s="20">
        <v>45716</v>
      </c>
      <c r="D2743" s="11">
        <v>24265.5</v>
      </c>
      <c r="E2743" s="27">
        <f t="shared" si="206"/>
        <v>27012.354599999999</v>
      </c>
      <c r="F2743" s="6">
        <f t="shared" si="207"/>
        <v>35116.060980000002</v>
      </c>
      <c r="G2743" s="7">
        <f t="shared" si="208"/>
        <v>37817.296439999998</v>
      </c>
      <c r="H2743" s="8">
        <f t="shared" si="209"/>
        <v>40518.531900000002</v>
      </c>
      <c r="I2743" s="9">
        <f t="shared" si="210"/>
        <v>43219.767359999998</v>
      </c>
    </row>
    <row r="2744" spans="1:9" ht="15.75" customHeight="1" x14ac:dyDescent="0.4">
      <c r="B2744" s="19" t="s">
        <v>275</v>
      </c>
      <c r="D2744" s="11">
        <v>0</v>
      </c>
      <c r="E2744" s="27">
        <f t="shared" si="206"/>
        <v>0</v>
      </c>
      <c r="F2744" s="6">
        <f t="shared" si="207"/>
        <v>0</v>
      </c>
      <c r="G2744" s="7">
        <f t="shared" si="208"/>
        <v>0</v>
      </c>
      <c r="H2744" s="8">
        <f t="shared" si="209"/>
        <v>0</v>
      </c>
      <c r="I2744" s="9">
        <f t="shared" si="210"/>
        <v>0</v>
      </c>
    </row>
    <row r="2745" spans="1:9" x14ac:dyDescent="0.35">
      <c r="A2745" s="18" t="s">
        <v>2776</v>
      </c>
      <c r="B2745" s="18" t="s">
        <v>324</v>
      </c>
      <c r="C2745" s="20">
        <v>45698</v>
      </c>
      <c r="D2745" s="11">
        <v>28.82</v>
      </c>
      <c r="E2745" s="27">
        <f t="shared" si="206"/>
        <v>32.082424000000003</v>
      </c>
      <c r="F2745" s="6">
        <f t="shared" si="207"/>
        <v>41.707151200000006</v>
      </c>
      <c r="G2745" s="7">
        <f t="shared" si="208"/>
        <v>44.915393600000002</v>
      </c>
      <c r="H2745" s="8">
        <f t="shared" si="209"/>
        <v>48.123636000000005</v>
      </c>
      <c r="I2745" s="9">
        <f t="shared" si="210"/>
        <v>51.331878400000008</v>
      </c>
    </row>
    <row r="2746" spans="1:9" x14ac:dyDescent="0.35">
      <c r="A2746" s="18" t="s">
        <v>2777</v>
      </c>
      <c r="B2746" s="18" t="s">
        <v>325</v>
      </c>
      <c r="C2746" s="20">
        <v>45698</v>
      </c>
      <c r="D2746" s="11">
        <v>41.874324800000004</v>
      </c>
      <c r="E2746" s="27">
        <f t="shared" si="206"/>
        <v>46.614498367360007</v>
      </c>
      <c r="F2746" s="6">
        <f t="shared" si="207"/>
        <v>60.598847877568012</v>
      </c>
      <c r="G2746" s="7">
        <f t="shared" si="208"/>
        <v>65.260297714304002</v>
      </c>
      <c r="H2746" s="8">
        <f t="shared" si="209"/>
        <v>69.921747551040013</v>
      </c>
      <c r="I2746" s="9">
        <f t="shared" si="210"/>
        <v>74.583197387776011</v>
      </c>
    </row>
    <row r="2747" spans="1:9" x14ac:dyDescent="0.35">
      <c r="A2747" s="18" t="s">
        <v>2778</v>
      </c>
      <c r="B2747" s="18" t="s">
        <v>326</v>
      </c>
      <c r="C2747" s="20">
        <v>45698</v>
      </c>
      <c r="D2747" s="12">
        <v>41.874324800000004</v>
      </c>
      <c r="E2747" s="27">
        <f t="shared" si="206"/>
        <v>46.614498367360007</v>
      </c>
      <c r="F2747" s="6">
        <f t="shared" si="207"/>
        <v>60.598847877568012</v>
      </c>
      <c r="G2747" s="7">
        <f t="shared" si="208"/>
        <v>65.260297714304002</v>
      </c>
      <c r="H2747" s="8">
        <f t="shared" si="209"/>
        <v>69.921747551040013</v>
      </c>
      <c r="I2747" s="9">
        <f t="shared" si="210"/>
        <v>74.583197387776011</v>
      </c>
    </row>
    <row r="2748" spans="1:9" x14ac:dyDescent="0.35">
      <c r="A2748" s="18" t="s">
        <v>2779</v>
      </c>
      <c r="B2748" s="18" t="s">
        <v>327</v>
      </c>
      <c r="C2748" s="20">
        <v>45698</v>
      </c>
      <c r="D2748" s="11">
        <v>66.34752820780875</v>
      </c>
      <c r="E2748" s="27">
        <f t="shared" si="206"/>
        <v>73.858068400932694</v>
      </c>
      <c r="F2748" s="6">
        <f t="shared" si="207"/>
        <v>96.015488921212508</v>
      </c>
      <c r="G2748" s="7">
        <f t="shared" si="208"/>
        <v>103.40129576130576</v>
      </c>
      <c r="H2748" s="8">
        <f t="shared" si="209"/>
        <v>110.78710260139904</v>
      </c>
      <c r="I2748" s="9">
        <f t="shared" si="210"/>
        <v>118.17290944149232</v>
      </c>
    </row>
    <row r="2749" spans="1:9" x14ac:dyDescent="0.35">
      <c r="A2749" s="18" t="s">
        <v>2350</v>
      </c>
      <c r="B2749" s="18" t="s">
        <v>328</v>
      </c>
      <c r="C2749" s="20">
        <v>45698</v>
      </c>
      <c r="D2749" s="11">
        <v>50.996176000000013</v>
      </c>
      <c r="E2749" s="27">
        <f t="shared" si="206"/>
        <v>56.768943123200017</v>
      </c>
      <c r="F2749" s="6">
        <f t="shared" si="207"/>
        <v>73.799626060160023</v>
      </c>
      <c r="G2749" s="7">
        <f t="shared" si="208"/>
        <v>79.476520372480024</v>
      </c>
      <c r="H2749" s="8">
        <f t="shared" si="209"/>
        <v>85.153414684800026</v>
      </c>
      <c r="I2749" s="9">
        <f t="shared" si="210"/>
        <v>90.830308997120028</v>
      </c>
    </row>
    <row r="2750" spans="1:9" x14ac:dyDescent="0.35">
      <c r="A2750" s="18" t="s">
        <v>2351</v>
      </c>
      <c r="B2750" s="18" t="s">
        <v>329</v>
      </c>
      <c r="C2750" s="20">
        <v>45698</v>
      </c>
      <c r="D2750" s="11">
        <v>175.22730659399994</v>
      </c>
      <c r="E2750" s="27">
        <f t="shared" si="206"/>
        <v>195.06303770044073</v>
      </c>
      <c r="F2750" s="6">
        <f t="shared" si="207"/>
        <v>253.58194901057297</v>
      </c>
      <c r="G2750" s="7">
        <f t="shared" si="208"/>
        <v>273.08825278061698</v>
      </c>
      <c r="H2750" s="8">
        <f t="shared" si="209"/>
        <v>292.59455655066108</v>
      </c>
      <c r="I2750" s="9">
        <f t="shared" si="210"/>
        <v>312.10086032070518</v>
      </c>
    </row>
    <row r="2751" spans="1:9" x14ac:dyDescent="0.35">
      <c r="A2751" s="18" t="s">
        <v>2352</v>
      </c>
      <c r="B2751" s="18" t="s">
        <v>1587</v>
      </c>
      <c r="C2751" s="20">
        <v>45698</v>
      </c>
      <c r="D2751" s="11">
        <v>169.30320000000006</v>
      </c>
      <c r="E2751" s="27">
        <f t="shared" si="206"/>
        <v>188.46832224000008</v>
      </c>
      <c r="F2751" s="6">
        <f t="shared" si="207"/>
        <v>245.00881891200009</v>
      </c>
      <c r="G2751" s="7">
        <f t="shared" si="208"/>
        <v>263.85565113600012</v>
      </c>
      <c r="H2751" s="8">
        <f t="shared" si="209"/>
        <v>282.70248336000009</v>
      </c>
      <c r="I2751" s="9">
        <f t="shared" si="210"/>
        <v>301.54931558400011</v>
      </c>
    </row>
    <row r="2752" spans="1:9" x14ac:dyDescent="0.35">
      <c r="A2752" s="18" t="s">
        <v>2353</v>
      </c>
      <c r="B2752" s="18" t="s">
        <v>1588</v>
      </c>
      <c r="C2752" s="20">
        <v>45698</v>
      </c>
      <c r="D2752" s="11">
        <v>176.35750000000004</v>
      </c>
      <c r="E2752" s="27">
        <f t="shared" si="206"/>
        <v>196.32116900000005</v>
      </c>
      <c r="F2752" s="6">
        <f t="shared" si="207"/>
        <v>255.21751970000008</v>
      </c>
      <c r="G2752" s="7">
        <f t="shared" si="208"/>
        <v>274.84963660000005</v>
      </c>
      <c r="H2752" s="8">
        <f t="shared" si="209"/>
        <v>294.48175350000008</v>
      </c>
      <c r="I2752" s="9">
        <f t="shared" si="210"/>
        <v>314.11387040000011</v>
      </c>
    </row>
    <row r="2753" spans="1:9" x14ac:dyDescent="0.35">
      <c r="A2753" s="18" t="s">
        <v>2354</v>
      </c>
      <c r="B2753" s="18" t="s">
        <v>1589</v>
      </c>
      <c r="C2753" s="20">
        <v>45698</v>
      </c>
      <c r="D2753" s="11">
        <v>64.504541313147399</v>
      </c>
      <c r="E2753" s="27">
        <f t="shared" si="206"/>
        <v>71.806455389795687</v>
      </c>
      <c r="F2753" s="6">
        <f t="shared" si="207"/>
        <v>93.3483920067344</v>
      </c>
      <c r="G2753" s="7">
        <f t="shared" si="208"/>
        <v>100.52903754571396</v>
      </c>
      <c r="H2753" s="8">
        <f t="shared" si="209"/>
        <v>107.70968308469352</v>
      </c>
      <c r="I2753" s="9">
        <f t="shared" si="210"/>
        <v>114.8903286236731</v>
      </c>
    </row>
    <row r="2754" spans="1:9" x14ac:dyDescent="0.35">
      <c r="A2754" s="18" t="s">
        <v>2355</v>
      </c>
      <c r="B2754" s="18" t="s">
        <v>6681</v>
      </c>
      <c r="C2754" s="20">
        <v>45698</v>
      </c>
      <c r="D2754" s="11">
        <v>198.80300000000003</v>
      </c>
      <c r="E2754" s="27">
        <f t="shared" si="206"/>
        <v>221.30749960000003</v>
      </c>
      <c r="F2754" s="6">
        <f t="shared" si="207"/>
        <v>287.69974948000004</v>
      </c>
      <c r="G2754" s="7">
        <f t="shared" si="208"/>
        <v>309.83049944000004</v>
      </c>
      <c r="H2754" s="8">
        <f t="shared" si="209"/>
        <v>331.96124940000004</v>
      </c>
      <c r="I2754" s="9">
        <f t="shared" si="210"/>
        <v>354.09199936000005</v>
      </c>
    </row>
    <row r="2755" spans="1:9" x14ac:dyDescent="0.35">
      <c r="A2755" s="18" t="s">
        <v>2356</v>
      </c>
      <c r="B2755" s="18" t="s">
        <v>1590</v>
      </c>
      <c r="C2755" s="20">
        <v>45698</v>
      </c>
      <c r="D2755" s="11">
        <v>68.203859335818436</v>
      </c>
      <c r="E2755" s="27">
        <f t="shared" si="206"/>
        <v>75.924536212633086</v>
      </c>
      <c r="F2755" s="6">
        <f t="shared" si="207"/>
        <v>98.701897076423009</v>
      </c>
      <c r="G2755" s="7">
        <f t="shared" si="208"/>
        <v>106.29435069768631</v>
      </c>
      <c r="H2755" s="8">
        <f t="shared" si="209"/>
        <v>113.88680431894963</v>
      </c>
      <c r="I2755" s="9">
        <f t="shared" si="210"/>
        <v>121.47925794021295</v>
      </c>
    </row>
    <row r="2756" spans="1:9" x14ac:dyDescent="0.35">
      <c r="A2756" s="18" t="s">
        <v>2357</v>
      </c>
      <c r="B2756" s="18" t="s">
        <v>1591</v>
      </c>
      <c r="C2756" s="20">
        <v>45698</v>
      </c>
      <c r="D2756" s="11">
        <v>496.10000000000008</v>
      </c>
      <c r="E2756" s="27">
        <f t="shared" si="206"/>
        <v>552.25852000000009</v>
      </c>
      <c r="F2756" s="6">
        <f t="shared" si="207"/>
        <v>717.93607600000018</v>
      </c>
      <c r="G2756" s="7">
        <f t="shared" si="208"/>
        <v>773.1619280000001</v>
      </c>
      <c r="H2756" s="8">
        <f t="shared" si="209"/>
        <v>828.38778000000013</v>
      </c>
      <c r="I2756" s="9">
        <f t="shared" si="210"/>
        <v>883.61363200000017</v>
      </c>
    </row>
    <row r="2757" spans="1:9" x14ac:dyDescent="0.35">
      <c r="A2757" s="18" t="s">
        <v>4700</v>
      </c>
      <c r="B2757" s="18" t="s">
        <v>4701</v>
      </c>
      <c r="C2757" s="20">
        <v>45698</v>
      </c>
      <c r="D2757" s="11">
        <v>453.37477608669315</v>
      </c>
      <c r="E2757" s="27">
        <f t="shared" si="206"/>
        <v>504.69680073970682</v>
      </c>
      <c r="F2757" s="6">
        <f t="shared" si="207"/>
        <v>656.10584096161892</v>
      </c>
      <c r="G2757" s="7">
        <f t="shared" si="208"/>
        <v>706.57552103558953</v>
      </c>
      <c r="H2757" s="8">
        <f t="shared" si="209"/>
        <v>757.04520110956025</v>
      </c>
      <c r="I2757" s="9">
        <f t="shared" si="210"/>
        <v>807.51488118353097</v>
      </c>
    </row>
    <row r="2758" spans="1:9" ht="15.75" customHeight="1" x14ac:dyDescent="0.4">
      <c r="B2758" s="19" t="s">
        <v>277</v>
      </c>
      <c r="D2758" s="11">
        <v>0</v>
      </c>
      <c r="E2758" s="27">
        <f t="shared" si="206"/>
        <v>0</v>
      </c>
      <c r="F2758" s="6">
        <f t="shared" si="207"/>
        <v>0</v>
      </c>
      <c r="G2758" s="7">
        <f t="shared" si="208"/>
        <v>0</v>
      </c>
      <c r="H2758" s="8">
        <f t="shared" si="209"/>
        <v>0</v>
      </c>
      <c r="I2758" s="9">
        <f t="shared" si="210"/>
        <v>0</v>
      </c>
    </row>
    <row r="2759" spans="1:9" x14ac:dyDescent="0.35">
      <c r="A2759" s="24" t="s">
        <v>2358</v>
      </c>
      <c r="B2759" s="18" t="s">
        <v>732</v>
      </c>
      <c r="C2759" s="20">
        <v>45710</v>
      </c>
      <c r="D2759" s="11">
        <v>318.77999999999997</v>
      </c>
      <c r="E2759" s="27">
        <f t="shared" si="206"/>
        <v>354.86589600000002</v>
      </c>
      <c r="F2759" s="6">
        <f t="shared" si="207"/>
        <v>461.32566480000003</v>
      </c>
      <c r="G2759" s="7">
        <f t="shared" si="208"/>
        <v>496.81225439999997</v>
      </c>
      <c r="H2759" s="8">
        <f t="shared" si="209"/>
        <v>532.29884400000003</v>
      </c>
      <c r="I2759" s="9">
        <f t="shared" si="210"/>
        <v>567.78543360000003</v>
      </c>
    </row>
    <row r="2760" spans="1:9" x14ac:dyDescent="0.35">
      <c r="A2760" s="24" t="s">
        <v>2359</v>
      </c>
      <c r="B2760" s="18" t="s">
        <v>733</v>
      </c>
      <c r="C2760" s="20">
        <v>45710</v>
      </c>
      <c r="D2760" s="11">
        <v>438.09</v>
      </c>
      <c r="E2760" s="27">
        <f t="shared" si="206"/>
        <v>487.68178799999998</v>
      </c>
      <c r="F2760" s="6">
        <f t="shared" si="207"/>
        <v>633.98632439999994</v>
      </c>
      <c r="G2760" s="7">
        <f t="shared" si="208"/>
        <v>682.75450319999993</v>
      </c>
      <c r="H2760" s="8">
        <f t="shared" si="209"/>
        <v>731.52268200000003</v>
      </c>
      <c r="I2760" s="9">
        <f t="shared" si="210"/>
        <v>780.29086080000002</v>
      </c>
    </row>
    <row r="2761" spans="1:9" x14ac:dyDescent="0.35">
      <c r="A2761" s="24" t="s">
        <v>2360</v>
      </c>
      <c r="B2761" s="18" t="s">
        <v>734</v>
      </c>
      <c r="C2761" s="20">
        <v>45710</v>
      </c>
      <c r="D2761" s="11">
        <v>502.39</v>
      </c>
      <c r="E2761" s="27">
        <f t="shared" si="206"/>
        <v>559.26054799999997</v>
      </c>
      <c r="F2761" s="6">
        <f t="shared" si="207"/>
        <v>727.03871240000001</v>
      </c>
      <c r="G2761" s="7">
        <f t="shared" si="208"/>
        <v>782.96476719999987</v>
      </c>
      <c r="H2761" s="8">
        <f t="shared" si="209"/>
        <v>838.89082199999996</v>
      </c>
      <c r="I2761" s="9">
        <f t="shared" si="210"/>
        <v>894.81687680000005</v>
      </c>
    </row>
    <row r="2762" spans="1:9" x14ac:dyDescent="0.35">
      <c r="A2762" s="24" t="s">
        <v>1508</v>
      </c>
      <c r="B2762" s="18" t="s">
        <v>323</v>
      </c>
      <c r="C2762" s="20">
        <v>45710</v>
      </c>
      <c r="D2762" s="11">
        <v>1268.46</v>
      </c>
      <c r="E2762" s="27">
        <f t="shared" si="206"/>
        <v>1412.0496720000001</v>
      </c>
      <c r="F2762" s="6">
        <f t="shared" si="207"/>
        <v>1835.6645736000003</v>
      </c>
      <c r="G2762" s="7">
        <f t="shared" si="208"/>
        <v>1976.8695408000001</v>
      </c>
      <c r="H2762" s="8">
        <f t="shared" si="209"/>
        <v>2118.0745080000002</v>
      </c>
      <c r="I2762" s="9">
        <f t="shared" si="210"/>
        <v>2259.2794752000004</v>
      </c>
    </row>
    <row r="2763" spans="1:9" x14ac:dyDescent="0.35">
      <c r="A2763" s="24" t="s">
        <v>3425</v>
      </c>
      <c r="B2763" s="18" t="s">
        <v>3426</v>
      </c>
      <c r="C2763" s="20">
        <v>45560</v>
      </c>
      <c r="D2763" s="11">
        <v>415</v>
      </c>
      <c r="E2763" s="27">
        <f t="shared" si="206"/>
        <v>461.97800000000001</v>
      </c>
      <c r="F2763" s="6">
        <f t="shared" si="207"/>
        <v>600.57140000000004</v>
      </c>
      <c r="G2763" s="7">
        <f t="shared" si="208"/>
        <v>646.76919999999996</v>
      </c>
      <c r="H2763" s="8">
        <f t="shared" si="209"/>
        <v>692.96699999999998</v>
      </c>
      <c r="I2763" s="9">
        <f t="shared" si="210"/>
        <v>739.16480000000001</v>
      </c>
    </row>
    <row r="2764" spans="1:9" ht="15.75" customHeight="1" x14ac:dyDescent="0.4">
      <c r="B2764" s="19" t="s">
        <v>276</v>
      </c>
      <c r="D2764" s="11">
        <v>0</v>
      </c>
      <c r="E2764" s="27">
        <f t="shared" si="206"/>
        <v>0</v>
      </c>
      <c r="F2764" s="6">
        <f t="shared" si="207"/>
        <v>0</v>
      </c>
      <c r="G2764" s="7">
        <f t="shared" si="208"/>
        <v>0</v>
      </c>
      <c r="H2764" s="8">
        <f t="shared" si="209"/>
        <v>0</v>
      </c>
      <c r="I2764" s="9">
        <f t="shared" si="210"/>
        <v>0</v>
      </c>
    </row>
    <row r="2765" spans="1:9" x14ac:dyDescent="0.35">
      <c r="A2765" s="18" t="s">
        <v>2361</v>
      </c>
      <c r="B2765" s="18" t="s">
        <v>735</v>
      </c>
      <c r="C2765" s="20">
        <v>45560</v>
      </c>
      <c r="D2765" s="11">
        <v>8132.74</v>
      </c>
      <c r="E2765" s="27">
        <f t="shared" ref="E2765:E2829" si="211">D2765*1.21*0.92</f>
        <v>9053.3661679999987</v>
      </c>
      <c r="F2765" s="6">
        <f t="shared" si="207"/>
        <v>11769.376018399998</v>
      </c>
      <c r="G2765" s="7">
        <f t="shared" si="208"/>
        <v>12674.712635199998</v>
      </c>
      <c r="H2765" s="8">
        <f t="shared" si="209"/>
        <v>13580.049251999997</v>
      </c>
      <c r="I2765" s="9">
        <f t="shared" si="210"/>
        <v>14485.385868799998</v>
      </c>
    </row>
    <row r="2766" spans="1:9" ht="15.75" customHeight="1" x14ac:dyDescent="0.4">
      <c r="B2766" s="19" t="s">
        <v>278</v>
      </c>
      <c r="D2766" s="11">
        <v>0</v>
      </c>
      <c r="E2766" s="27">
        <f t="shared" si="211"/>
        <v>0</v>
      </c>
      <c r="F2766" s="6">
        <f t="shared" si="207"/>
        <v>0</v>
      </c>
      <c r="G2766" s="7">
        <f t="shared" si="208"/>
        <v>0</v>
      </c>
      <c r="H2766" s="8">
        <f t="shared" si="209"/>
        <v>0</v>
      </c>
      <c r="I2766" s="9">
        <f t="shared" si="210"/>
        <v>0</v>
      </c>
    </row>
    <row r="2767" spans="1:9" x14ac:dyDescent="0.35">
      <c r="A2767" s="18" t="s">
        <v>2362</v>
      </c>
      <c r="B2767" s="18" t="s">
        <v>736</v>
      </c>
      <c r="C2767" s="20">
        <v>45560</v>
      </c>
      <c r="D2767" s="11">
        <v>105.85</v>
      </c>
      <c r="E2767" s="27">
        <f t="shared" si="211"/>
        <v>117.83221999999999</v>
      </c>
      <c r="F2767" s="6">
        <f t="shared" si="207"/>
        <v>153.18188599999999</v>
      </c>
      <c r="G2767" s="7">
        <f t="shared" si="208"/>
        <v>164.96510799999999</v>
      </c>
      <c r="H2767" s="8">
        <f t="shared" si="209"/>
        <v>176.74832999999998</v>
      </c>
      <c r="I2767" s="9">
        <f t="shared" si="210"/>
        <v>188.531552</v>
      </c>
    </row>
    <row r="2768" spans="1:9" x14ac:dyDescent="0.35">
      <c r="A2768" s="18" t="s">
        <v>2363</v>
      </c>
      <c r="B2768" s="18" t="s">
        <v>737</v>
      </c>
      <c r="C2768" s="20">
        <v>45560</v>
      </c>
      <c r="D2768" s="11">
        <v>105.85</v>
      </c>
      <c r="E2768" s="27">
        <f t="shared" si="211"/>
        <v>117.83221999999999</v>
      </c>
      <c r="F2768" s="6">
        <f t="shared" si="207"/>
        <v>153.18188599999999</v>
      </c>
      <c r="G2768" s="7">
        <f t="shared" si="208"/>
        <v>164.96510799999999</v>
      </c>
      <c r="H2768" s="8">
        <f t="shared" si="209"/>
        <v>176.74832999999998</v>
      </c>
      <c r="I2768" s="9">
        <f t="shared" si="210"/>
        <v>188.531552</v>
      </c>
    </row>
    <row r="2769" spans="1:9" x14ac:dyDescent="0.35">
      <c r="A2769" s="18" t="s">
        <v>2364</v>
      </c>
      <c r="B2769" s="18" t="s">
        <v>738</v>
      </c>
      <c r="C2769" s="20">
        <v>45710</v>
      </c>
      <c r="D2769" s="11">
        <v>83.93</v>
      </c>
      <c r="E2769" s="27">
        <f t="shared" si="211"/>
        <v>93.430876000000012</v>
      </c>
      <c r="F2769" s="6">
        <f t="shared" si="207"/>
        <v>121.46013880000002</v>
      </c>
      <c r="G2769" s="7">
        <f t="shared" si="208"/>
        <v>130.8032264</v>
      </c>
      <c r="H2769" s="8">
        <f t="shared" si="209"/>
        <v>140.14631400000002</v>
      </c>
      <c r="I2769" s="9">
        <f t="shared" si="210"/>
        <v>149.48940160000004</v>
      </c>
    </row>
    <row r="2770" spans="1:9" x14ac:dyDescent="0.35">
      <c r="A2770" s="18" t="s">
        <v>2365</v>
      </c>
      <c r="B2770" s="18" t="s">
        <v>739</v>
      </c>
      <c r="C2770" s="20">
        <v>45710</v>
      </c>
      <c r="D2770" s="11">
        <v>96.86</v>
      </c>
      <c r="E2770" s="27">
        <f t="shared" si="211"/>
        <v>107.824552</v>
      </c>
      <c r="F2770" s="6">
        <f t="shared" si="207"/>
        <v>140.1719176</v>
      </c>
      <c r="G2770" s="7">
        <f t="shared" si="208"/>
        <v>150.95437279999999</v>
      </c>
      <c r="H2770" s="8">
        <f t="shared" si="209"/>
        <v>161.736828</v>
      </c>
      <c r="I2770" s="9">
        <f t="shared" si="210"/>
        <v>172.51928320000002</v>
      </c>
    </row>
    <row r="2771" spans="1:9" x14ac:dyDescent="0.35">
      <c r="A2771" s="18" t="s">
        <v>2366</v>
      </c>
      <c r="B2771" s="18" t="s">
        <v>3107</v>
      </c>
      <c r="C2771" s="20">
        <v>45560</v>
      </c>
      <c r="D2771" s="11">
        <v>156.60216000000003</v>
      </c>
      <c r="E2771" s="27">
        <f t="shared" si="211"/>
        <v>174.32952451200003</v>
      </c>
      <c r="F2771" s="6">
        <f t="shared" si="207"/>
        <v>226.62838186560006</v>
      </c>
      <c r="G2771" s="7">
        <f t="shared" si="208"/>
        <v>244.06133431680004</v>
      </c>
      <c r="H2771" s="8">
        <f t="shared" si="209"/>
        <v>261.49428676800005</v>
      </c>
      <c r="I2771" s="9">
        <f t="shared" si="210"/>
        <v>278.92723921920009</v>
      </c>
    </row>
    <row r="2772" spans="1:9" ht="15.75" customHeight="1" x14ac:dyDescent="0.4">
      <c r="B2772" s="19" t="s">
        <v>279</v>
      </c>
      <c r="D2772" s="11">
        <v>0</v>
      </c>
      <c r="E2772" s="27">
        <f t="shared" si="211"/>
        <v>0</v>
      </c>
      <c r="F2772" s="6">
        <f t="shared" si="207"/>
        <v>0</v>
      </c>
      <c r="G2772" s="7">
        <f t="shared" si="208"/>
        <v>0</v>
      </c>
      <c r="H2772" s="8">
        <f t="shared" si="209"/>
        <v>0</v>
      </c>
      <c r="I2772" s="9">
        <f t="shared" si="210"/>
        <v>0</v>
      </c>
    </row>
    <row r="2773" spans="1:9" x14ac:dyDescent="0.35">
      <c r="A2773" s="18" t="s">
        <v>2367</v>
      </c>
      <c r="B2773" s="18" t="s">
        <v>3108</v>
      </c>
      <c r="C2773" s="20">
        <v>45710</v>
      </c>
      <c r="D2773" s="11">
        <v>89.8</v>
      </c>
      <c r="E2773" s="27">
        <f t="shared" si="211"/>
        <v>99.96535999999999</v>
      </c>
      <c r="F2773" s="6">
        <f t="shared" si="207"/>
        <v>129.95496799999998</v>
      </c>
      <c r="G2773" s="7">
        <f t="shared" si="208"/>
        <v>139.95150399999997</v>
      </c>
      <c r="H2773" s="8">
        <f t="shared" si="209"/>
        <v>149.94803999999999</v>
      </c>
      <c r="I2773" s="9">
        <f t="shared" si="210"/>
        <v>159.94457599999998</v>
      </c>
    </row>
    <row r="2774" spans="1:9" x14ac:dyDescent="0.35">
      <c r="A2774" s="18" t="s">
        <v>757</v>
      </c>
      <c r="B2774" s="18" t="s">
        <v>3109</v>
      </c>
      <c r="C2774" s="20">
        <v>45710</v>
      </c>
      <c r="D2774" s="11">
        <v>108.4</v>
      </c>
      <c r="E2774" s="27">
        <f t="shared" si="211"/>
        <v>120.67088000000003</v>
      </c>
      <c r="F2774" s="6">
        <f t="shared" si="207"/>
        <v>156.87214400000005</v>
      </c>
      <c r="G2774" s="7">
        <f t="shared" si="208"/>
        <v>168.93923200000003</v>
      </c>
      <c r="H2774" s="8">
        <f t="shared" si="209"/>
        <v>181.00632000000004</v>
      </c>
      <c r="I2774" s="9">
        <f t="shared" si="210"/>
        <v>193.07340800000006</v>
      </c>
    </row>
    <row r="2775" spans="1:9" x14ac:dyDescent="0.35">
      <c r="A2775" s="18" t="s">
        <v>758</v>
      </c>
      <c r="B2775" s="18" t="s">
        <v>3110</v>
      </c>
      <c r="C2775" s="20">
        <v>45560</v>
      </c>
      <c r="D2775" s="11">
        <v>185.92382959027688</v>
      </c>
      <c r="E2775" s="27">
        <f t="shared" si="211"/>
        <v>206.97040709989622</v>
      </c>
      <c r="F2775" s="6">
        <f t="shared" si="207"/>
        <v>269.06152922986507</v>
      </c>
      <c r="G2775" s="7">
        <f t="shared" si="208"/>
        <v>289.75856993985468</v>
      </c>
      <c r="H2775" s="8">
        <f t="shared" si="209"/>
        <v>310.45561064984435</v>
      </c>
      <c r="I2775" s="9">
        <f t="shared" si="210"/>
        <v>331.15265135983395</v>
      </c>
    </row>
    <row r="2776" spans="1:9" x14ac:dyDescent="0.35">
      <c r="A2776" s="18" t="s">
        <v>759</v>
      </c>
      <c r="B2776" s="18" t="s">
        <v>3111</v>
      </c>
      <c r="C2776" s="20">
        <v>45710</v>
      </c>
      <c r="D2776" s="11">
        <v>186.03</v>
      </c>
      <c r="E2776" s="27">
        <f t="shared" si="211"/>
        <v>207.088596</v>
      </c>
      <c r="F2776" s="6">
        <f t="shared" si="207"/>
        <v>269.2151748</v>
      </c>
      <c r="G2776" s="7">
        <f t="shared" si="208"/>
        <v>289.92403439999998</v>
      </c>
      <c r="H2776" s="8">
        <f t="shared" si="209"/>
        <v>310.63289399999996</v>
      </c>
      <c r="I2776" s="9">
        <f t="shared" si="210"/>
        <v>331.3417536</v>
      </c>
    </row>
    <row r="2777" spans="1:9" x14ac:dyDescent="0.35">
      <c r="A2777" s="18" t="s">
        <v>760</v>
      </c>
      <c r="B2777" s="18" t="s">
        <v>6782</v>
      </c>
      <c r="C2777" s="20">
        <v>45710</v>
      </c>
      <c r="D2777" s="11">
        <v>226.48</v>
      </c>
      <c r="E2777" s="27">
        <f t="shared" si="211"/>
        <v>252.117536</v>
      </c>
      <c r="F2777" s="6">
        <f t="shared" si="207"/>
        <v>327.7527968</v>
      </c>
      <c r="G2777" s="7">
        <f t="shared" si="208"/>
        <v>352.96455040000001</v>
      </c>
      <c r="H2777" s="8">
        <f t="shared" si="209"/>
        <v>378.17630400000002</v>
      </c>
      <c r="I2777" s="9">
        <f t="shared" si="210"/>
        <v>403.38805760000002</v>
      </c>
    </row>
    <row r="2778" spans="1:9" x14ac:dyDescent="0.35">
      <c r="A2778" s="18" t="s">
        <v>761</v>
      </c>
      <c r="B2778" s="18" t="s">
        <v>6781</v>
      </c>
      <c r="C2778" s="20" t="s">
        <v>6871</v>
      </c>
      <c r="D2778" s="11">
        <v>302.04000000000002</v>
      </c>
      <c r="E2778" s="27">
        <f t="shared" si="211"/>
        <v>336.23092800000006</v>
      </c>
      <c r="F2778" s="6">
        <f t="shared" si="207"/>
        <v>437.1002064000001</v>
      </c>
      <c r="G2778" s="7">
        <f t="shared" si="208"/>
        <v>470.72329920000004</v>
      </c>
      <c r="H2778" s="8">
        <f t="shared" si="209"/>
        <v>504.34639200000009</v>
      </c>
      <c r="I2778" s="9">
        <f t="shared" si="210"/>
        <v>537.96948480000015</v>
      </c>
    </row>
    <row r="2779" spans="1:9" x14ac:dyDescent="0.35">
      <c r="A2779" s="18" t="s">
        <v>762</v>
      </c>
      <c r="B2779" s="18" t="s">
        <v>3112</v>
      </c>
      <c r="C2779" s="20">
        <v>45560</v>
      </c>
      <c r="D2779" s="11">
        <v>581.17868344697763</v>
      </c>
      <c r="E2779" s="27">
        <f t="shared" si="211"/>
        <v>646.96811041317551</v>
      </c>
      <c r="F2779" s="6">
        <f t="shared" si="207"/>
        <v>841.05854353712823</v>
      </c>
      <c r="G2779" s="7">
        <f t="shared" si="208"/>
        <v>905.75535457844569</v>
      </c>
      <c r="H2779" s="8">
        <f t="shared" si="209"/>
        <v>970.45216561976326</v>
      </c>
      <c r="I2779" s="9">
        <f t="shared" si="210"/>
        <v>1035.148976661081</v>
      </c>
    </row>
    <row r="2780" spans="1:9" x14ac:dyDescent="0.35">
      <c r="A2780" s="18" t="s">
        <v>763</v>
      </c>
      <c r="B2780" s="18" t="s">
        <v>3113</v>
      </c>
      <c r="C2780" s="20">
        <v>45560</v>
      </c>
      <c r="D2780" s="11">
        <v>0</v>
      </c>
      <c r="E2780" s="27">
        <f t="shared" si="211"/>
        <v>0</v>
      </c>
      <c r="F2780" s="6">
        <f t="shared" si="207"/>
        <v>0</v>
      </c>
      <c r="G2780" s="7">
        <f t="shared" si="208"/>
        <v>0</v>
      </c>
      <c r="H2780" s="8">
        <f t="shared" si="209"/>
        <v>0</v>
      </c>
      <c r="I2780" s="9">
        <f t="shared" si="210"/>
        <v>0</v>
      </c>
    </row>
    <row r="2781" spans="1:9" x14ac:dyDescent="0.35">
      <c r="A2781" s="18" t="s">
        <v>764</v>
      </c>
      <c r="B2781" s="18" t="s">
        <v>898</v>
      </c>
      <c r="C2781" s="20">
        <v>45560</v>
      </c>
      <c r="D2781" s="11">
        <v>672.30928942680634</v>
      </c>
      <c r="E2781" s="27">
        <f t="shared" si="211"/>
        <v>748.41470098992079</v>
      </c>
      <c r="F2781" s="6">
        <f t="shared" si="207"/>
        <v>972.93911128689706</v>
      </c>
      <c r="G2781" s="7">
        <f t="shared" si="208"/>
        <v>1047.780581385889</v>
      </c>
      <c r="H2781" s="8">
        <f t="shared" si="209"/>
        <v>1122.6220514848812</v>
      </c>
      <c r="I2781" s="9">
        <f t="shared" si="210"/>
        <v>1197.4635215838732</v>
      </c>
    </row>
    <row r="2782" spans="1:9" x14ac:dyDescent="0.35">
      <c r="A2782" s="18" t="s">
        <v>765</v>
      </c>
      <c r="B2782" s="18" t="s">
        <v>899</v>
      </c>
      <c r="C2782" s="20">
        <v>45710</v>
      </c>
      <c r="D2782" s="11">
        <v>507.6</v>
      </c>
      <c r="E2782" s="27">
        <f t="shared" si="211"/>
        <v>565.06032000000005</v>
      </c>
      <c r="F2782" s="6">
        <f t="shared" si="207"/>
        <v>734.57841600000006</v>
      </c>
      <c r="G2782" s="7">
        <f t="shared" si="208"/>
        <v>791.08444800000007</v>
      </c>
      <c r="H2782" s="8">
        <f t="shared" si="209"/>
        <v>847.59048000000007</v>
      </c>
      <c r="I2782" s="9">
        <f t="shared" si="210"/>
        <v>904.09651200000008</v>
      </c>
    </row>
    <row r="2783" spans="1:9" x14ac:dyDescent="0.35">
      <c r="A2783" s="18" t="s">
        <v>766</v>
      </c>
      <c r="B2783" s="18" t="s">
        <v>900</v>
      </c>
      <c r="C2783" s="20">
        <v>45710</v>
      </c>
      <c r="D2783" s="11">
        <v>543.80999999999995</v>
      </c>
      <c r="E2783" s="27">
        <f t="shared" si="211"/>
        <v>605.36929199999997</v>
      </c>
      <c r="F2783" s="6">
        <f t="shared" si="207"/>
        <v>786.98007959999995</v>
      </c>
      <c r="G2783" s="7">
        <f t="shared" si="208"/>
        <v>847.51700879999987</v>
      </c>
      <c r="H2783" s="8">
        <f t="shared" si="209"/>
        <v>908.05393800000002</v>
      </c>
      <c r="I2783" s="9">
        <f t="shared" si="210"/>
        <v>968.59086720000005</v>
      </c>
    </row>
    <row r="2784" spans="1:9" ht="18" x14ac:dyDescent="0.4">
      <c r="A2784" s="28"/>
      <c r="B2784" s="34" t="s">
        <v>3435</v>
      </c>
      <c r="C2784" s="29"/>
      <c r="D2784" s="11">
        <v>0</v>
      </c>
      <c r="E2784" s="27">
        <f t="shared" si="211"/>
        <v>0</v>
      </c>
      <c r="F2784" s="6">
        <f t="shared" si="207"/>
        <v>0</v>
      </c>
      <c r="G2784" s="7">
        <f t="shared" si="208"/>
        <v>0</v>
      </c>
      <c r="H2784" s="8">
        <f t="shared" si="209"/>
        <v>0</v>
      </c>
      <c r="I2784" s="9">
        <f t="shared" si="210"/>
        <v>0</v>
      </c>
    </row>
    <row r="2785" spans="1:9" x14ac:dyDescent="0.35">
      <c r="A2785" s="28" t="s">
        <v>3436</v>
      </c>
      <c r="B2785" s="28" t="s">
        <v>3437</v>
      </c>
      <c r="C2785" s="29">
        <v>45737</v>
      </c>
      <c r="D2785" s="11">
        <v>1103.6300000000001</v>
      </c>
      <c r="E2785" s="27">
        <f t="shared" si="211"/>
        <v>1228.5609160000001</v>
      </c>
      <c r="F2785" s="6">
        <f t="shared" si="207"/>
        <v>1597.1291908000003</v>
      </c>
      <c r="G2785" s="7">
        <f t="shared" si="208"/>
        <v>1719.9852824000002</v>
      </c>
      <c r="H2785" s="8">
        <f t="shared" si="209"/>
        <v>1842.8413740000001</v>
      </c>
      <c r="I2785" s="9">
        <f t="shared" si="210"/>
        <v>1965.6974656000002</v>
      </c>
    </row>
    <row r="2786" spans="1:9" x14ac:dyDescent="0.35">
      <c r="A2786" s="28" t="s">
        <v>6353</v>
      </c>
      <c r="B2786" s="28" t="s">
        <v>6352</v>
      </c>
      <c r="C2786" s="29">
        <v>45737</v>
      </c>
      <c r="D2786" s="11">
        <v>1060.7</v>
      </c>
      <c r="E2786" s="27">
        <f t="shared" si="211"/>
        <v>1180.7712400000003</v>
      </c>
      <c r="F2786" s="6">
        <f t="shared" si="207"/>
        <v>1535.0026120000005</v>
      </c>
      <c r="G2786" s="7">
        <f t="shared" si="208"/>
        <v>1653.0797360000004</v>
      </c>
      <c r="H2786" s="8">
        <f t="shared" si="209"/>
        <v>1771.1568600000005</v>
      </c>
      <c r="I2786" s="9">
        <f t="shared" si="210"/>
        <v>1889.2339840000004</v>
      </c>
    </row>
    <row r="2787" spans="1:9" ht="15.75" customHeight="1" x14ac:dyDescent="0.4">
      <c r="B2787" s="19" t="s">
        <v>280</v>
      </c>
      <c r="D2787" s="11">
        <v>0</v>
      </c>
      <c r="E2787" s="27">
        <f t="shared" si="211"/>
        <v>0</v>
      </c>
      <c r="F2787" s="6">
        <f t="shared" si="207"/>
        <v>0</v>
      </c>
      <c r="G2787" s="7">
        <f t="shared" si="208"/>
        <v>0</v>
      </c>
      <c r="H2787" s="8">
        <f t="shared" si="209"/>
        <v>0</v>
      </c>
      <c r="I2787" s="9">
        <f t="shared" si="210"/>
        <v>0</v>
      </c>
    </row>
    <row r="2788" spans="1:9" x14ac:dyDescent="0.35">
      <c r="A2788" s="18" t="s">
        <v>767</v>
      </c>
      <c r="B2788" s="18" t="s">
        <v>2437</v>
      </c>
      <c r="C2788" s="20">
        <v>45629</v>
      </c>
      <c r="D2788" s="11">
        <v>247.86</v>
      </c>
      <c r="E2788" s="27">
        <f t="shared" si="211"/>
        <v>275.91775200000001</v>
      </c>
      <c r="F2788" s="6">
        <f t="shared" si="207"/>
        <v>358.69307760000004</v>
      </c>
      <c r="G2788" s="7">
        <f t="shared" si="208"/>
        <v>386.28485280000001</v>
      </c>
      <c r="H2788" s="8">
        <f t="shared" si="209"/>
        <v>413.87662799999998</v>
      </c>
      <c r="I2788" s="9">
        <f t="shared" si="210"/>
        <v>441.46840320000001</v>
      </c>
    </row>
    <row r="2789" spans="1:9" x14ac:dyDescent="0.35">
      <c r="A2789" s="18" t="s">
        <v>768</v>
      </c>
      <c r="B2789" s="18" t="s">
        <v>2436</v>
      </c>
      <c r="C2789" s="20">
        <v>45629</v>
      </c>
      <c r="D2789" s="11">
        <v>247.86</v>
      </c>
      <c r="E2789" s="27">
        <f t="shared" si="211"/>
        <v>275.91775200000001</v>
      </c>
      <c r="F2789" s="6">
        <f t="shared" si="207"/>
        <v>358.69307760000004</v>
      </c>
      <c r="G2789" s="7">
        <f t="shared" si="208"/>
        <v>386.28485280000001</v>
      </c>
      <c r="H2789" s="8">
        <f t="shared" si="209"/>
        <v>413.87662799999998</v>
      </c>
      <c r="I2789" s="9">
        <f t="shared" si="210"/>
        <v>441.46840320000001</v>
      </c>
    </row>
    <row r="2790" spans="1:9" x14ac:dyDescent="0.35">
      <c r="A2790" s="18" t="s">
        <v>769</v>
      </c>
      <c r="B2790" s="18" t="s">
        <v>2438</v>
      </c>
      <c r="C2790" s="20">
        <v>45629</v>
      </c>
      <c r="D2790" s="11">
        <v>247.86</v>
      </c>
      <c r="E2790" s="27">
        <f t="shared" si="211"/>
        <v>275.91775200000001</v>
      </c>
      <c r="F2790" s="6">
        <f t="shared" si="207"/>
        <v>358.69307760000004</v>
      </c>
      <c r="G2790" s="7">
        <f t="shared" si="208"/>
        <v>386.28485280000001</v>
      </c>
      <c r="H2790" s="8">
        <f t="shared" si="209"/>
        <v>413.87662799999998</v>
      </c>
      <c r="I2790" s="9">
        <f t="shared" si="210"/>
        <v>441.46840320000001</v>
      </c>
    </row>
    <row r="2791" spans="1:9" ht="15.75" customHeight="1" x14ac:dyDescent="0.4">
      <c r="B2791" s="19" t="s">
        <v>6732</v>
      </c>
      <c r="D2791" s="11">
        <v>0</v>
      </c>
      <c r="E2791" s="27">
        <f t="shared" si="211"/>
        <v>0</v>
      </c>
      <c r="F2791" s="6">
        <f t="shared" si="207"/>
        <v>0</v>
      </c>
      <c r="G2791" s="7">
        <f t="shared" si="208"/>
        <v>0</v>
      </c>
      <c r="H2791" s="8">
        <f t="shared" si="209"/>
        <v>0</v>
      </c>
      <c r="I2791" s="9">
        <f t="shared" si="210"/>
        <v>0</v>
      </c>
    </row>
    <row r="2792" spans="1:9" x14ac:dyDescent="0.35">
      <c r="A2792" s="24" t="s">
        <v>770</v>
      </c>
      <c r="B2792" s="18" t="s">
        <v>2439</v>
      </c>
      <c r="C2792" s="20">
        <v>45710</v>
      </c>
      <c r="D2792" s="11">
        <v>47.556562303215429</v>
      </c>
      <c r="E2792" s="27">
        <f t="shared" si="211"/>
        <v>52.939965155939412</v>
      </c>
      <c r="F2792" s="6">
        <f t="shared" si="207"/>
        <v>68.821954702721243</v>
      </c>
      <c r="G2792" s="7">
        <f t="shared" si="208"/>
        <v>74.115951218315175</v>
      </c>
      <c r="H2792" s="8">
        <f t="shared" si="209"/>
        <v>79.409947733909121</v>
      </c>
      <c r="I2792" s="9">
        <f t="shared" si="210"/>
        <v>84.703944249503067</v>
      </c>
    </row>
    <row r="2793" spans="1:9" x14ac:dyDescent="0.35">
      <c r="A2793" s="24" t="s">
        <v>771</v>
      </c>
      <c r="B2793" s="18" t="s">
        <v>2440</v>
      </c>
      <c r="C2793" s="20">
        <v>45710</v>
      </c>
      <c r="D2793" s="11">
        <v>47.556562303215429</v>
      </c>
      <c r="E2793" s="27">
        <f t="shared" si="211"/>
        <v>52.939965155939412</v>
      </c>
      <c r="F2793" s="6">
        <f t="shared" si="207"/>
        <v>68.821954702721243</v>
      </c>
      <c r="G2793" s="7">
        <f t="shared" si="208"/>
        <v>74.115951218315175</v>
      </c>
      <c r="H2793" s="8">
        <f t="shared" si="209"/>
        <v>79.409947733909121</v>
      </c>
      <c r="I2793" s="9">
        <f t="shared" si="210"/>
        <v>84.703944249503067</v>
      </c>
    </row>
    <row r="2794" spans="1:9" x14ac:dyDescent="0.35">
      <c r="A2794" s="24" t="s">
        <v>2999</v>
      </c>
      <c r="B2794" s="18" t="s">
        <v>2441</v>
      </c>
      <c r="C2794" s="20">
        <v>45710</v>
      </c>
      <c r="D2794" s="11">
        <v>47.556562303215429</v>
      </c>
      <c r="E2794" s="27">
        <f t="shared" si="211"/>
        <v>52.939965155939412</v>
      </c>
      <c r="F2794" s="6">
        <f t="shared" si="207"/>
        <v>68.821954702721243</v>
      </c>
      <c r="G2794" s="7">
        <f t="shared" si="208"/>
        <v>74.115951218315175</v>
      </c>
      <c r="H2794" s="8">
        <f t="shared" si="209"/>
        <v>79.409947733909121</v>
      </c>
      <c r="I2794" s="9">
        <f t="shared" si="210"/>
        <v>84.703944249503067</v>
      </c>
    </row>
    <row r="2795" spans="1:9" x14ac:dyDescent="0.35">
      <c r="A2795" s="24" t="s">
        <v>3000</v>
      </c>
      <c r="B2795" s="18" t="s">
        <v>2442</v>
      </c>
      <c r="C2795" s="20">
        <v>45710</v>
      </c>
      <c r="D2795" s="11">
        <v>162.86493939457336</v>
      </c>
      <c r="E2795" s="27">
        <f t="shared" si="211"/>
        <v>181.30125053403907</v>
      </c>
      <c r="F2795" s="6">
        <f t="shared" si="207"/>
        <v>235.6916256942508</v>
      </c>
      <c r="G2795" s="7">
        <f t="shared" si="208"/>
        <v>253.82175074765468</v>
      </c>
      <c r="H2795" s="8">
        <f t="shared" si="209"/>
        <v>271.95187580105858</v>
      </c>
      <c r="I2795" s="9">
        <f t="shared" si="210"/>
        <v>290.08200085446254</v>
      </c>
    </row>
    <row r="2796" spans="1:9" ht="15.75" customHeight="1" x14ac:dyDescent="0.4">
      <c r="A2796" s="10"/>
      <c r="B2796" s="30" t="s">
        <v>283</v>
      </c>
      <c r="C2796" s="31"/>
      <c r="D2796" s="11">
        <v>0</v>
      </c>
      <c r="E2796" s="27">
        <f t="shared" si="211"/>
        <v>0</v>
      </c>
      <c r="F2796" s="6">
        <f t="shared" si="207"/>
        <v>0</v>
      </c>
      <c r="G2796" s="7">
        <f t="shared" si="208"/>
        <v>0</v>
      </c>
      <c r="H2796" s="8">
        <f t="shared" si="209"/>
        <v>0</v>
      </c>
      <c r="I2796" s="9">
        <f t="shared" si="210"/>
        <v>0</v>
      </c>
    </row>
    <row r="2797" spans="1:9" x14ac:dyDescent="0.35">
      <c r="A2797" s="33" t="s">
        <v>3001</v>
      </c>
      <c r="B2797" s="10" t="s">
        <v>6427</v>
      </c>
      <c r="C2797" s="31">
        <v>45673</v>
      </c>
      <c r="D2797" s="11">
        <v>26537.020957759392</v>
      </c>
      <c r="E2797" s="27">
        <f t="shared" si="211"/>
        <v>29541.011730177754</v>
      </c>
      <c r="F2797" s="6">
        <f t="shared" si="207"/>
        <v>38403.315249231084</v>
      </c>
      <c r="G2797" s="7">
        <f t="shared" si="208"/>
        <v>41357.416422248854</v>
      </c>
      <c r="H2797" s="8">
        <f t="shared" si="209"/>
        <v>44311.517595266632</v>
      </c>
      <c r="I2797" s="9">
        <f t="shared" si="210"/>
        <v>47265.61876828441</v>
      </c>
    </row>
    <row r="2798" spans="1:9" x14ac:dyDescent="0.35">
      <c r="A2798" s="33" t="s">
        <v>3138</v>
      </c>
      <c r="B2798" s="10" t="s">
        <v>6478</v>
      </c>
      <c r="C2798" s="31">
        <v>45673</v>
      </c>
      <c r="D2798" s="11">
        <v>32480.7</v>
      </c>
      <c r="E2798" s="27">
        <f t="shared" si="211"/>
        <v>36157.515240000001</v>
      </c>
      <c r="F2798" s="6">
        <f t="shared" si="207"/>
        <v>47004.769812000006</v>
      </c>
      <c r="G2798" s="7">
        <f t="shared" si="208"/>
        <v>50620.521335999998</v>
      </c>
      <c r="H2798" s="8">
        <f t="shared" si="209"/>
        <v>54236.272859999997</v>
      </c>
      <c r="I2798" s="9">
        <f t="shared" si="210"/>
        <v>57852.024384000004</v>
      </c>
    </row>
    <row r="2799" spans="1:9" x14ac:dyDescent="0.35">
      <c r="A2799" s="33" t="s">
        <v>3002</v>
      </c>
      <c r="B2799" s="10" t="s">
        <v>5688</v>
      </c>
      <c r="C2799" s="31">
        <v>45673</v>
      </c>
      <c r="D2799" s="11">
        <v>0</v>
      </c>
      <c r="E2799" s="27">
        <f t="shared" si="211"/>
        <v>0</v>
      </c>
      <c r="F2799" s="6">
        <f t="shared" ref="F2799:F2862" si="212">E2799*1.3</f>
        <v>0</v>
      </c>
      <c r="G2799" s="7">
        <f t="shared" ref="G2799:G2862" si="213">E2799*1.4</f>
        <v>0</v>
      </c>
      <c r="H2799" s="8">
        <f t="shared" ref="H2799:H2862" si="214">E2799*1.5</f>
        <v>0</v>
      </c>
      <c r="I2799" s="9">
        <f t="shared" ref="I2799:I2862" si="215">E2799*1.6</f>
        <v>0</v>
      </c>
    </row>
    <row r="2800" spans="1:9" x14ac:dyDescent="0.35">
      <c r="A2800" s="33" t="s">
        <v>3003</v>
      </c>
      <c r="B2800" s="10" t="s">
        <v>5461</v>
      </c>
      <c r="C2800" s="31">
        <v>45673</v>
      </c>
      <c r="D2800" s="11">
        <v>9594.6382743750037</v>
      </c>
      <c r="E2800" s="27">
        <f t="shared" si="211"/>
        <v>10680.751327034255</v>
      </c>
      <c r="F2800" s="6">
        <f t="shared" si="212"/>
        <v>13884.976725144532</v>
      </c>
      <c r="G2800" s="7">
        <f t="shared" si="213"/>
        <v>14953.051857847957</v>
      </c>
      <c r="H2800" s="8">
        <f t="shared" si="214"/>
        <v>16021.126990551384</v>
      </c>
      <c r="I2800" s="9">
        <f t="shared" si="215"/>
        <v>17089.20212325481</v>
      </c>
    </row>
    <row r="2801" spans="1:9" x14ac:dyDescent="0.35">
      <c r="A2801" s="33" t="s">
        <v>3004</v>
      </c>
      <c r="B2801" s="10" t="s">
        <v>772</v>
      </c>
      <c r="C2801" s="31">
        <v>45673</v>
      </c>
      <c r="D2801" s="11">
        <v>0</v>
      </c>
      <c r="E2801" s="27">
        <f t="shared" si="211"/>
        <v>0</v>
      </c>
      <c r="F2801" s="6">
        <f t="shared" si="212"/>
        <v>0</v>
      </c>
      <c r="G2801" s="7">
        <f t="shared" si="213"/>
        <v>0</v>
      </c>
      <c r="H2801" s="8">
        <f t="shared" si="214"/>
        <v>0</v>
      </c>
      <c r="I2801" s="9">
        <f t="shared" si="215"/>
        <v>0</v>
      </c>
    </row>
    <row r="2802" spans="1:9" x14ac:dyDescent="0.35">
      <c r="A2802" s="33" t="s">
        <v>3005</v>
      </c>
      <c r="B2802" s="10" t="s">
        <v>5459</v>
      </c>
      <c r="C2802" s="31">
        <v>45673</v>
      </c>
      <c r="D2802" s="11">
        <v>9066.3916612500034</v>
      </c>
      <c r="E2802" s="27">
        <f t="shared" si="211"/>
        <v>10092.707197303504</v>
      </c>
      <c r="F2802" s="6">
        <f t="shared" si="212"/>
        <v>13120.519356494555</v>
      </c>
      <c r="G2802" s="7">
        <f t="shared" si="213"/>
        <v>14129.790076224905</v>
      </c>
      <c r="H2802" s="8">
        <f t="shared" si="214"/>
        <v>15139.060795955254</v>
      </c>
      <c r="I2802" s="9">
        <f t="shared" si="215"/>
        <v>16148.331515685606</v>
      </c>
    </row>
    <row r="2803" spans="1:9" x14ac:dyDescent="0.35">
      <c r="A2803" s="33" t="s">
        <v>3006</v>
      </c>
      <c r="B2803" s="10" t="s">
        <v>5460</v>
      </c>
      <c r="C2803" s="31">
        <v>45673</v>
      </c>
      <c r="D2803" s="11">
        <v>4537.6163043750003</v>
      </c>
      <c r="E2803" s="27">
        <f t="shared" si="211"/>
        <v>5051.2744700302501</v>
      </c>
      <c r="F2803" s="6">
        <f t="shared" si="212"/>
        <v>6566.6568110393255</v>
      </c>
      <c r="G2803" s="7">
        <f t="shared" si="213"/>
        <v>7071.7842580423494</v>
      </c>
      <c r="H2803" s="8">
        <f t="shared" si="214"/>
        <v>7576.9117050453751</v>
      </c>
      <c r="I2803" s="9">
        <f t="shared" si="215"/>
        <v>8082.0391520484009</v>
      </c>
    </row>
    <row r="2804" spans="1:9" x14ac:dyDescent="0.35">
      <c r="A2804" s="33" t="s">
        <v>3007</v>
      </c>
      <c r="B2804" s="10" t="s">
        <v>4973</v>
      </c>
      <c r="C2804" s="31">
        <v>45673</v>
      </c>
      <c r="D2804" s="11">
        <v>11636.897146875002</v>
      </c>
      <c r="E2804" s="27">
        <f t="shared" si="211"/>
        <v>12954.193903901252</v>
      </c>
      <c r="F2804" s="6">
        <f t="shared" si="212"/>
        <v>16840.452075071629</v>
      </c>
      <c r="G2804" s="7">
        <f t="shared" si="213"/>
        <v>18135.871465461751</v>
      </c>
      <c r="H2804" s="8">
        <f t="shared" si="214"/>
        <v>19431.290855851879</v>
      </c>
      <c r="I2804" s="9">
        <f t="shared" si="215"/>
        <v>20726.710246242004</v>
      </c>
    </row>
    <row r="2805" spans="1:9" x14ac:dyDescent="0.35">
      <c r="A2805" s="33" t="s">
        <v>3008</v>
      </c>
      <c r="B2805" s="10" t="s">
        <v>4974</v>
      </c>
      <c r="C2805" s="31">
        <v>45673</v>
      </c>
      <c r="D2805" s="11">
        <v>8577.9293118750029</v>
      </c>
      <c r="E2805" s="27">
        <f t="shared" si="211"/>
        <v>9548.9509099792522</v>
      </c>
      <c r="F2805" s="6">
        <f t="shared" si="212"/>
        <v>12413.636182973029</v>
      </c>
      <c r="G2805" s="7">
        <f t="shared" si="213"/>
        <v>13368.531273970952</v>
      </c>
      <c r="H2805" s="8">
        <f t="shared" si="214"/>
        <v>14323.426364968878</v>
      </c>
      <c r="I2805" s="9">
        <f t="shared" si="215"/>
        <v>15278.321455966805</v>
      </c>
    </row>
    <row r="2806" spans="1:9" x14ac:dyDescent="0.35">
      <c r="A2806" s="33" t="s">
        <v>5603</v>
      </c>
      <c r="B2806" s="10" t="s">
        <v>5605</v>
      </c>
      <c r="C2806" s="31">
        <v>45673</v>
      </c>
      <c r="D2806" s="11">
        <v>3228.75</v>
      </c>
      <c r="E2806" s="27">
        <f t="shared" si="211"/>
        <v>3594.2445000000002</v>
      </c>
      <c r="F2806" s="6">
        <f t="shared" si="212"/>
        <v>4672.5178500000002</v>
      </c>
      <c r="G2806" s="7">
        <f t="shared" si="213"/>
        <v>5031.9422999999997</v>
      </c>
      <c r="H2806" s="8">
        <f t="shared" si="214"/>
        <v>5391.3667500000001</v>
      </c>
      <c r="I2806" s="9">
        <f t="shared" si="215"/>
        <v>5750.7912000000006</v>
      </c>
    </row>
    <row r="2807" spans="1:9" x14ac:dyDescent="0.35">
      <c r="A2807" s="33" t="s">
        <v>5604</v>
      </c>
      <c r="B2807" s="10" t="s">
        <v>5606</v>
      </c>
      <c r="C2807" s="31">
        <v>45673</v>
      </c>
      <c r="D2807" s="11">
        <v>3228.75</v>
      </c>
      <c r="E2807" s="27">
        <f t="shared" si="211"/>
        <v>3594.2445000000002</v>
      </c>
      <c r="F2807" s="6">
        <f t="shared" si="212"/>
        <v>4672.5178500000002</v>
      </c>
      <c r="G2807" s="7">
        <f t="shared" si="213"/>
        <v>5031.9422999999997</v>
      </c>
      <c r="H2807" s="8">
        <f t="shared" si="214"/>
        <v>5391.3667500000001</v>
      </c>
      <c r="I2807" s="9">
        <f t="shared" si="215"/>
        <v>5750.7912000000006</v>
      </c>
    </row>
    <row r="2808" spans="1:9" ht="15.75" customHeight="1" x14ac:dyDescent="0.4">
      <c r="B2808" s="19" t="s">
        <v>284</v>
      </c>
      <c r="D2808" s="11">
        <v>0</v>
      </c>
      <c r="E2808" s="27">
        <f t="shared" si="211"/>
        <v>0</v>
      </c>
      <c r="F2808" s="6">
        <f t="shared" si="212"/>
        <v>0</v>
      </c>
      <c r="G2808" s="7">
        <f t="shared" si="213"/>
        <v>0</v>
      </c>
      <c r="H2808" s="8">
        <f t="shared" si="214"/>
        <v>0</v>
      </c>
      <c r="I2808" s="9">
        <f t="shared" si="215"/>
        <v>0</v>
      </c>
    </row>
    <row r="2809" spans="1:9" x14ac:dyDescent="0.35">
      <c r="A2809" s="24" t="s">
        <v>3009</v>
      </c>
      <c r="B2809" s="18" t="s">
        <v>773</v>
      </c>
      <c r="C2809" s="20">
        <v>45717</v>
      </c>
      <c r="D2809" s="11">
        <v>1627.8476445000001</v>
      </c>
      <c r="E2809" s="27">
        <f t="shared" si="211"/>
        <v>1812.1199978574002</v>
      </c>
      <c r="F2809" s="6">
        <f t="shared" si="212"/>
        <v>2355.7559972146205</v>
      </c>
      <c r="G2809" s="7">
        <f t="shared" si="213"/>
        <v>2536.9679970003604</v>
      </c>
      <c r="H2809" s="8">
        <f t="shared" si="214"/>
        <v>2718.1799967861002</v>
      </c>
      <c r="I2809" s="9">
        <f t="shared" si="215"/>
        <v>2899.3919965718405</v>
      </c>
    </row>
    <row r="2810" spans="1:9" x14ac:dyDescent="0.35">
      <c r="A2810" s="24" t="s">
        <v>780</v>
      </c>
      <c r="B2810" s="18" t="s">
        <v>774</v>
      </c>
      <c r="C2810" s="20">
        <v>45717</v>
      </c>
      <c r="D2810" s="11">
        <v>2774.3458837500007</v>
      </c>
      <c r="E2810" s="27">
        <f t="shared" si="211"/>
        <v>3088.4018377905008</v>
      </c>
      <c r="F2810" s="6">
        <f t="shared" si="212"/>
        <v>4014.9223891276511</v>
      </c>
      <c r="G2810" s="7">
        <f t="shared" si="213"/>
        <v>4323.7625729067013</v>
      </c>
      <c r="H2810" s="8">
        <f t="shared" si="214"/>
        <v>4632.602756685751</v>
      </c>
      <c r="I2810" s="9">
        <f t="shared" si="215"/>
        <v>4941.4429404648017</v>
      </c>
    </row>
    <row r="2811" spans="1:9" x14ac:dyDescent="0.35">
      <c r="A2811" s="24" t="s">
        <v>781</v>
      </c>
      <c r="B2811" s="18" t="s">
        <v>775</v>
      </c>
      <c r="C2811" s="20">
        <v>45717</v>
      </c>
      <c r="D2811" s="11">
        <v>1806.5985052500002</v>
      </c>
      <c r="E2811" s="27">
        <f t="shared" si="211"/>
        <v>2011.1054560443001</v>
      </c>
      <c r="F2811" s="6">
        <f t="shared" si="212"/>
        <v>2614.4370928575904</v>
      </c>
      <c r="G2811" s="7">
        <f t="shared" si="213"/>
        <v>2815.5476384620201</v>
      </c>
      <c r="H2811" s="8">
        <f t="shared" si="214"/>
        <v>3016.6581840664503</v>
      </c>
      <c r="I2811" s="9">
        <f t="shared" si="215"/>
        <v>3217.7687296708805</v>
      </c>
    </row>
    <row r="2812" spans="1:9" x14ac:dyDescent="0.35">
      <c r="A2812" s="24" t="s">
        <v>782</v>
      </c>
      <c r="B2812" s="18" t="s">
        <v>321</v>
      </c>
      <c r="C2812" s="20">
        <v>45717</v>
      </c>
      <c r="D2812" s="11">
        <v>5073.968607750001</v>
      </c>
      <c r="E2812" s="27">
        <f t="shared" si="211"/>
        <v>5648.3418541473011</v>
      </c>
      <c r="F2812" s="6">
        <f t="shared" si="212"/>
        <v>7342.8444103914917</v>
      </c>
      <c r="G2812" s="7">
        <f t="shared" si="213"/>
        <v>7907.678595806221</v>
      </c>
      <c r="H2812" s="8">
        <f t="shared" si="214"/>
        <v>8472.5127812209521</v>
      </c>
      <c r="I2812" s="9">
        <f t="shared" si="215"/>
        <v>9037.3469666356814</v>
      </c>
    </row>
    <row r="2813" spans="1:9" x14ac:dyDescent="0.35">
      <c r="A2813" s="24" t="s">
        <v>783</v>
      </c>
      <c r="B2813" s="18" t="s">
        <v>776</v>
      </c>
      <c r="C2813" s="20">
        <v>45717</v>
      </c>
      <c r="D2813" s="11">
        <v>854.3123662500002</v>
      </c>
      <c r="E2813" s="27">
        <f t="shared" si="211"/>
        <v>951.02052610950022</v>
      </c>
      <c r="F2813" s="6">
        <f t="shared" si="212"/>
        <v>1236.3266839423504</v>
      </c>
      <c r="G2813" s="7">
        <f t="shared" si="213"/>
        <v>1331.4287365533003</v>
      </c>
      <c r="H2813" s="8">
        <f t="shared" si="214"/>
        <v>1426.5307891642503</v>
      </c>
      <c r="I2813" s="9">
        <f t="shared" si="215"/>
        <v>1521.6328417752004</v>
      </c>
    </row>
    <row r="2814" spans="1:9" x14ac:dyDescent="0.35">
      <c r="A2814" s="24" t="s">
        <v>6766</v>
      </c>
      <c r="B2814" s="18" t="s">
        <v>6767</v>
      </c>
      <c r="C2814" s="20">
        <v>45717</v>
      </c>
      <c r="D2814" s="11">
        <v>1742.1075000000001</v>
      </c>
      <c r="E2814" s="27">
        <f t="shared" si="211"/>
        <v>1939.3140690000002</v>
      </c>
      <c r="F2814" s="6">
        <f t="shared" si="212"/>
        <v>2521.1082897000006</v>
      </c>
      <c r="G2814" s="7">
        <f t="shared" si="213"/>
        <v>2715.0396966000003</v>
      </c>
      <c r="H2814" s="8">
        <f t="shared" si="214"/>
        <v>2908.9711035000005</v>
      </c>
      <c r="I2814" s="9">
        <f t="shared" si="215"/>
        <v>3102.9025104000007</v>
      </c>
    </row>
    <row r="2815" spans="1:9" x14ac:dyDescent="0.35">
      <c r="A2815" s="24" t="s">
        <v>784</v>
      </c>
      <c r="B2815" s="18" t="s">
        <v>777</v>
      </c>
      <c r="C2815" s="20">
        <v>45717</v>
      </c>
      <c r="D2815" s="11">
        <v>1806.5985052500002</v>
      </c>
      <c r="E2815" s="27">
        <f t="shared" si="211"/>
        <v>2011.1054560443001</v>
      </c>
      <c r="F2815" s="6">
        <f t="shared" si="212"/>
        <v>2614.4370928575904</v>
      </c>
      <c r="G2815" s="7">
        <f t="shared" si="213"/>
        <v>2815.5476384620201</v>
      </c>
      <c r="H2815" s="8">
        <f t="shared" si="214"/>
        <v>3016.6581840664503</v>
      </c>
      <c r="I2815" s="9">
        <f t="shared" si="215"/>
        <v>3217.7687296708805</v>
      </c>
    </row>
    <row r="2816" spans="1:9" x14ac:dyDescent="0.35">
      <c r="A2816" s="24" t="s">
        <v>785</v>
      </c>
      <c r="B2816" s="18" t="s">
        <v>778</v>
      </c>
      <c r="C2816" s="20">
        <v>45717</v>
      </c>
      <c r="D2816" s="11">
        <v>2000.1795345</v>
      </c>
      <c r="E2816" s="27">
        <f t="shared" si="211"/>
        <v>2226.5998578054</v>
      </c>
      <c r="F2816" s="6">
        <f t="shared" si="212"/>
        <v>2894.5798151470203</v>
      </c>
      <c r="G2816" s="7">
        <f t="shared" si="213"/>
        <v>3117.2398009275598</v>
      </c>
      <c r="H2816" s="8">
        <f t="shared" si="214"/>
        <v>3339.8997867080998</v>
      </c>
      <c r="I2816" s="9">
        <f t="shared" si="215"/>
        <v>3562.5597724886402</v>
      </c>
    </row>
    <row r="2817" spans="1:9" x14ac:dyDescent="0.35">
      <c r="A2817" s="24" t="s">
        <v>786</v>
      </c>
      <c r="B2817" s="18" t="s">
        <v>285</v>
      </c>
      <c r="C2817" s="20">
        <v>45717</v>
      </c>
      <c r="D2817" s="11">
        <v>1879.2568648350002</v>
      </c>
      <c r="E2817" s="27">
        <f t="shared" si="211"/>
        <v>2091.9887419343222</v>
      </c>
      <c r="F2817" s="6">
        <f t="shared" si="212"/>
        <v>2719.585364514619</v>
      </c>
      <c r="G2817" s="7">
        <f t="shared" si="213"/>
        <v>2928.7842387080509</v>
      </c>
      <c r="H2817" s="8">
        <f t="shared" si="214"/>
        <v>3137.9831129014833</v>
      </c>
      <c r="I2817" s="9">
        <f t="shared" si="215"/>
        <v>3347.1819870949157</v>
      </c>
    </row>
    <row r="2818" spans="1:9" x14ac:dyDescent="0.35">
      <c r="A2818" s="24" t="s">
        <v>787</v>
      </c>
      <c r="B2818" s="18" t="s">
        <v>779</v>
      </c>
      <c r="C2818" s="20">
        <v>45717</v>
      </c>
      <c r="D2818" s="11">
        <v>2000.1795345</v>
      </c>
      <c r="E2818" s="27">
        <f t="shared" si="211"/>
        <v>2226.5998578054</v>
      </c>
      <c r="F2818" s="6">
        <f t="shared" si="212"/>
        <v>2894.5798151470203</v>
      </c>
      <c r="G2818" s="7">
        <f t="shared" si="213"/>
        <v>3117.2398009275598</v>
      </c>
      <c r="H2818" s="8">
        <f t="shared" si="214"/>
        <v>3339.8997867080998</v>
      </c>
      <c r="I2818" s="9">
        <f t="shared" si="215"/>
        <v>3562.5597724886402</v>
      </c>
    </row>
    <row r="2819" spans="1:9" x14ac:dyDescent="0.35">
      <c r="A2819" s="24" t="s">
        <v>788</v>
      </c>
      <c r="B2819" s="18" t="s">
        <v>322</v>
      </c>
      <c r="C2819" s="20">
        <v>45717</v>
      </c>
      <c r="D2819" s="11">
        <v>11375.054775000001</v>
      </c>
      <c r="E2819" s="27">
        <f t="shared" si="211"/>
        <v>12662.710975530001</v>
      </c>
      <c r="F2819" s="6">
        <f t="shared" si="212"/>
        <v>16461.524268189001</v>
      </c>
      <c r="G2819" s="7">
        <f t="shared" si="213"/>
        <v>17727.795365742</v>
      </c>
      <c r="H2819" s="8">
        <f t="shared" si="214"/>
        <v>18994.066463294999</v>
      </c>
      <c r="I2819" s="9">
        <f t="shared" si="215"/>
        <v>20260.337560848002</v>
      </c>
    </row>
    <row r="2820" spans="1:9" ht="15.75" customHeight="1" x14ac:dyDescent="0.4">
      <c r="B2820" s="19" t="s">
        <v>4800</v>
      </c>
      <c r="D2820" s="11">
        <v>0</v>
      </c>
      <c r="E2820" s="27">
        <f t="shared" si="211"/>
        <v>0</v>
      </c>
      <c r="F2820" s="6">
        <f t="shared" si="212"/>
        <v>0</v>
      </c>
      <c r="G2820" s="7">
        <f t="shared" si="213"/>
        <v>0</v>
      </c>
      <c r="H2820" s="8">
        <f t="shared" si="214"/>
        <v>0</v>
      </c>
      <c r="I2820" s="9">
        <f t="shared" si="215"/>
        <v>0</v>
      </c>
    </row>
    <row r="2821" spans="1:9" x14ac:dyDescent="0.35">
      <c r="A2821" s="24" t="s">
        <v>789</v>
      </c>
      <c r="B2821" s="18" t="s">
        <v>5516</v>
      </c>
      <c r="C2821" s="20">
        <v>45535</v>
      </c>
      <c r="D2821" s="11">
        <v>49018.07</v>
      </c>
      <c r="E2821" s="27">
        <f t="shared" si="211"/>
        <v>54566.915524000004</v>
      </c>
      <c r="F2821" s="6">
        <f t="shared" si="212"/>
        <v>70936.990181200003</v>
      </c>
      <c r="G2821" s="7">
        <f t="shared" si="213"/>
        <v>76393.681733599995</v>
      </c>
      <c r="H2821" s="8">
        <f t="shared" si="214"/>
        <v>81850.373286000002</v>
      </c>
      <c r="I2821" s="9">
        <f t="shared" si="215"/>
        <v>87307.064838400009</v>
      </c>
    </row>
    <row r="2822" spans="1:9" x14ac:dyDescent="0.35">
      <c r="A2822" s="24" t="s">
        <v>790</v>
      </c>
      <c r="B2822" s="18" t="s">
        <v>5517</v>
      </c>
      <c r="C2822" s="20">
        <v>45535</v>
      </c>
      <c r="D2822" s="11">
        <v>49515.21</v>
      </c>
      <c r="E2822" s="27">
        <f t="shared" si="211"/>
        <v>55120.331772000005</v>
      </c>
      <c r="F2822" s="6">
        <f t="shared" si="212"/>
        <v>71656.431303600009</v>
      </c>
      <c r="G2822" s="7">
        <f t="shared" si="213"/>
        <v>77168.464480800001</v>
      </c>
      <c r="H2822" s="8">
        <f t="shared" si="214"/>
        <v>82680.497658000008</v>
      </c>
      <c r="I2822" s="9">
        <f t="shared" si="215"/>
        <v>88192.530835200014</v>
      </c>
    </row>
    <row r="2823" spans="1:9" x14ac:dyDescent="0.35">
      <c r="A2823" s="24" t="s">
        <v>791</v>
      </c>
      <c r="B2823" s="18" t="s">
        <v>5518</v>
      </c>
      <c r="C2823" s="20">
        <v>45535</v>
      </c>
      <c r="D2823" s="11">
        <v>51834.158567843217</v>
      </c>
      <c r="E2823" s="27">
        <f t="shared" si="211"/>
        <v>57701.785317723065</v>
      </c>
      <c r="F2823" s="6">
        <f t="shared" si="212"/>
        <v>75012.320913039992</v>
      </c>
      <c r="G2823" s="7">
        <f t="shared" si="213"/>
        <v>80782.499444812289</v>
      </c>
      <c r="H2823" s="8">
        <f t="shared" si="214"/>
        <v>86552.6779765846</v>
      </c>
      <c r="I2823" s="9">
        <f t="shared" si="215"/>
        <v>92322.856508356912</v>
      </c>
    </row>
    <row r="2824" spans="1:9" x14ac:dyDescent="0.35">
      <c r="A2824" s="24" t="s">
        <v>792</v>
      </c>
      <c r="B2824" s="18" t="s">
        <v>5519</v>
      </c>
      <c r="C2824" s="20">
        <v>45535</v>
      </c>
      <c r="D2824" s="11">
        <v>51526.667796678041</v>
      </c>
      <c r="E2824" s="27">
        <f t="shared" si="211"/>
        <v>57359.486591261993</v>
      </c>
      <c r="F2824" s="6">
        <f t="shared" si="212"/>
        <v>74567.332568640588</v>
      </c>
      <c r="G2824" s="7">
        <f t="shared" si="213"/>
        <v>80303.281227766784</v>
      </c>
      <c r="H2824" s="8">
        <f t="shared" si="214"/>
        <v>86039.229886892994</v>
      </c>
      <c r="I2824" s="9">
        <f t="shared" si="215"/>
        <v>91775.17854601919</v>
      </c>
    </row>
    <row r="2825" spans="1:9" x14ac:dyDescent="0.35">
      <c r="A2825" s="24" t="s">
        <v>793</v>
      </c>
      <c r="B2825" s="18" t="s">
        <v>5520</v>
      </c>
      <c r="C2825" s="20">
        <v>45535</v>
      </c>
      <c r="D2825" s="11">
        <v>46079.688421752136</v>
      </c>
      <c r="E2825" s="27">
        <f t="shared" si="211"/>
        <v>51295.909151094478</v>
      </c>
      <c r="F2825" s="6">
        <f t="shared" si="212"/>
        <v>66684.68189642283</v>
      </c>
      <c r="G2825" s="7">
        <f t="shared" si="213"/>
        <v>71814.272811532268</v>
      </c>
      <c r="H2825" s="8">
        <f t="shared" si="214"/>
        <v>76943.863726641721</v>
      </c>
      <c r="I2825" s="9">
        <f t="shared" si="215"/>
        <v>82073.454641751174</v>
      </c>
    </row>
    <row r="2826" spans="1:9" x14ac:dyDescent="0.35">
      <c r="A2826" s="24" t="s">
        <v>794</v>
      </c>
      <c r="B2826" s="18" t="s">
        <v>5521</v>
      </c>
      <c r="C2826" s="20">
        <v>45535</v>
      </c>
      <c r="D2826" s="11">
        <v>51504.704170166253</v>
      </c>
      <c r="E2826" s="27">
        <f t="shared" si="211"/>
        <v>57335.036682229074</v>
      </c>
      <c r="F2826" s="6">
        <f t="shared" si="212"/>
        <v>74535.5476868978</v>
      </c>
      <c r="G2826" s="7">
        <f t="shared" si="213"/>
        <v>80269.051355120697</v>
      </c>
      <c r="H2826" s="8">
        <f t="shared" si="214"/>
        <v>86002.555023343608</v>
      </c>
      <c r="I2826" s="9">
        <f t="shared" si="215"/>
        <v>91736.058691566519</v>
      </c>
    </row>
    <row r="2827" spans="1:9" x14ac:dyDescent="0.35">
      <c r="A2827" s="24" t="s">
        <v>795</v>
      </c>
      <c r="B2827" s="18" t="s">
        <v>5522</v>
      </c>
      <c r="C2827" s="20">
        <v>45535</v>
      </c>
      <c r="D2827" s="11">
        <v>59477.500593948935</v>
      </c>
      <c r="E2827" s="27">
        <f t="shared" si="211"/>
        <v>66210.353661183952</v>
      </c>
      <c r="F2827" s="6">
        <f t="shared" si="212"/>
        <v>86073.459759539139</v>
      </c>
      <c r="G2827" s="7">
        <f t="shared" si="213"/>
        <v>92694.49512565753</v>
      </c>
      <c r="H2827" s="8">
        <f t="shared" si="214"/>
        <v>99315.53049177592</v>
      </c>
      <c r="I2827" s="9">
        <f t="shared" si="215"/>
        <v>105936.56585789433</v>
      </c>
    </row>
    <row r="2828" spans="1:9" x14ac:dyDescent="0.35">
      <c r="A2828" s="24" t="s">
        <v>796</v>
      </c>
      <c r="B2828" s="18" t="s">
        <v>5523</v>
      </c>
      <c r="C2828" s="20">
        <v>45535</v>
      </c>
      <c r="D2828" s="11">
        <v>49264.414265962885</v>
      </c>
      <c r="E2828" s="27">
        <f t="shared" si="211"/>
        <v>54841.145960869886</v>
      </c>
      <c r="F2828" s="6">
        <f t="shared" si="212"/>
        <v>71293.489749130851</v>
      </c>
      <c r="G2828" s="7">
        <f t="shared" si="213"/>
        <v>76777.604345217842</v>
      </c>
      <c r="H2828" s="8">
        <f t="shared" si="214"/>
        <v>82261.718941304833</v>
      </c>
      <c r="I2828" s="9">
        <f t="shared" si="215"/>
        <v>87745.833537391823</v>
      </c>
    </row>
    <row r="2829" spans="1:9" x14ac:dyDescent="0.35">
      <c r="A2829" s="24" t="s">
        <v>797</v>
      </c>
      <c r="B2829" s="18" t="s">
        <v>5524</v>
      </c>
      <c r="C2829" s="20">
        <v>45535</v>
      </c>
      <c r="D2829" s="11">
        <v>85526.361636941307</v>
      </c>
      <c r="E2829" s="27">
        <f t="shared" si="211"/>
        <v>95207.945774243068</v>
      </c>
      <c r="F2829" s="6">
        <f t="shared" si="212"/>
        <v>123770.32950651599</v>
      </c>
      <c r="G2829" s="7">
        <f t="shared" si="213"/>
        <v>133291.12408394029</v>
      </c>
      <c r="H2829" s="8">
        <f t="shared" si="214"/>
        <v>142811.91866136459</v>
      </c>
      <c r="I2829" s="9">
        <f t="shared" si="215"/>
        <v>152332.71323878891</v>
      </c>
    </row>
    <row r="2830" spans="1:9" ht="18" x14ac:dyDescent="0.4">
      <c r="B2830" s="19" t="s">
        <v>6494</v>
      </c>
      <c r="D2830" s="11">
        <v>0</v>
      </c>
      <c r="E2830" s="27">
        <f t="shared" ref="E2830:E2894" si="216">D2830*1.21*0.92</f>
        <v>0</v>
      </c>
      <c r="F2830" s="6">
        <f t="shared" si="212"/>
        <v>0</v>
      </c>
      <c r="G2830" s="7">
        <f t="shared" si="213"/>
        <v>0</v>
      </c>
      <c r="H2830" s="8">
        <f t="shared" si="214"/>
        <v>0</v>
      </c>
      <c r="I2830" s="9">
        <f t="shared" si="215"/>
        <v>0</v>
      </c>
    </row>
    <row r="2831" spans="1:9" x14ac:dyDescent="0.35">
      <c r="A2831" s="24" t="s">
        <v>5469</v>
      </c>
      <c r="B2831" s="18" t="s">
        <v>6495</v>
      </c>
      <c r="C2831" s="20">
        <v>45660</v>
      </c>
      <c r="D2831" s="11">
        <v>37452.480000000003</v>
      </c>
      <c r="E2831" s="27">
        <f t="shared" si="216"/>
        <v>41692.100736</v>
      </c>
      <c r="F2831" s="6">
        <f t="shared" si="212"/>
        <v>54199.730956800006</v>
      </c>
      <c r="G2831" s="7">
        <f t="shared" si="213"/>
        <v>58368.941030399998</v>
      </c>
      <c r="H2831" s="8">
        <f t="shared" si="214"/>
        <v>62538.151104000004</v>
      </c>
      <c r="I2831" s="9">
        <f t="shared" si="215"/>
        <v>66707.361177600003</v>
      </c>
    </row>
    <row r="2832" spans="1:9" x14ac:dyDescent="0.35">
      <c r="A2832" s="24" t="s">
        <v>6498</v>
      </c>
      <c r="B2832" s="18" t="s">
        <v>6499</v>
      </c>
      <c r="C2832" s="20">
        <v>45660</v>
      </c>
      <c r="D2832" s="11">
        <v>42566.16</v>
      </c>
      <c r="E2832" s="27">
        <f t="shared" si="216"/>
        <v>47384.649312000001</v>
      </c>
      <c r="F2832" s="6">
        <f t="shared" si="212"/>
        <v>61600.044105600005</v>
      </c>
      <c r="G2832" s="7">
        <f t="shared" si="213"/>
        <v>66338.509036799995</v>
      </c>
      <c r="H2832" s="8">
        <f t="shared" si="214"/>
        <v>71076.973968000006</v>
      </c>
      <c r="I2832" s="9">
        <f t="shared" si="215"/>
        <v>75815.438899200002</v>
      </c>
    </row>
    <row r="2833" spans="1:9" x14ac:dyDescent="0.35">
      <c r="A2833" s="24" t="s">
        <v>5513</v>
      </c>
      <c r="B2833" s="18" t="s">
        <v>6496</v>
      </c>
      <c r="C2833" s="20">
        <v>45660</v>
      </c>
      <c r="D2833" s="11">
        <v>33083.856</v>
      </c>
      <c r="E2833" s="27">
        <f t="shared" si="216"/>
        <v>36828.9484992</v>
      </c>
      <c r="F2833" s="6">
        <f t="shared" si="212"/>
        <v>47877.63304896</v>
      </c>
      <c r="G2833" s="7">
        <f t="shared" si="213"/>
        <v>51560.527898879998</v>
      </c>
      <c r="H2833" s="8">
        <f t="shared" si="214"/>
        <v>55243.422748800003</v>
      </c>
      <c r="I2833" s="9">
        <f t="shared" si="215"/>
        <v>58926.317598720001</v>
      </c>
    </row>
    <row r="2834" spans="1:9" x14ac:dyDescent="0.35">
      <c r="A2834" s="24" t="s">
        <v>5514</v>
      </c>
      <c r="B2834" s="18" t="s">
        <v>6497</v>
      </c>
      <c r="C2834" s="20">
        <v>45660</v>
      </c>
      <c r="D2834" s="11">
        <v>43500.288</v>
      </c>
      <c r="E2834" s="27">
        <f t="shared" si="216"/>
        <v>48424.520601600001</v>
      </c>
      <c r="F2834" s="6">
        <f t="shared" si="212"/>
        <v>62951.876782080006</v>
      </c>
      <c r="G2834" s="7">
        <f t="shared" si="213"/>
        <v>67794.328842239993</v>
      </c>
      <c r="H2834" s="8">
        <f t="shared" si="214"/>
        <v>72636.780902400002</v>
      </c>
      <c r="I2834" s="9">
        <f t="shared" si="215"/>
        <v>77479.23296256001</v>
      </c>
    </row>
    <row r="2835" spans="1:9" x14ac:dyDescent="0.35">
      <c r="A2835" s="24" t="s">
        <v>5515</v>
      </c>
      <c r="B2835" s="18" t="s">
        <v>6504</v>
      </c>
      <c r="C2835" s="20">
        <v>45660</v>
      </c>
      <c r="D2835" s="11">
        <v>53341.599999999999</v>
      </c>
      <c r="E2835" s="27">
        <f t="shared" si="216"/>
        <v>59379.869119999996</v>
      </c>
      <c r="F2835" s="6">
        <f t="shared" si="212"/>
        <v>77193.829855999997</v>
      </c>
      <c r="G2835" s="7">
        <f t="shared" si="213"/>
        <v>83131.81676799999</v>
      </c>
      <c r="H2835" s="8">
        <f t="shared" si="214"/>
        <v>89069.803679999997</v>
      </c>
      <c r="I2835" s="9">
        <f t="shared" si="215"/>
        <v>95007.790592000005</v>
      </c>
    </row>
    <row r="2836" spans="1:9" ht="18" x14ac:dyDescent="0.4">
      <c r="B2836" s="19" t="s">
        <v>5069</v>
      </c>
      <c r="D2836" s="11">
        <v>0</v>
      </c>
      <c r="E2836" s="27">
        <f t="shared" si="216"/>
        <v>0</v>
      </c>
      <c r="F2836" s="6">
        <f t="shared" si="212"/>
        <v>0</v>
      </c>
      <c r="G2836" s="7">
        <f t="shared" si="213"/>
        <v>0</v>
      </c>
      <c r="H2836" s="8">
        <f t="shared" si="214"/>
        <v>0</v>
      </c>
      <c r="I2836" s="9">
        <f t="shared" si="215"/>
        <v>0</v>
      </c>
    </row>
    <row r="2837" spans="1:9" x14ac:dyDescent="0.35">
      <c r="A2837" s="24" t="s">
        <v>575</v>
      </c>
      <c r="B2837" s="18" t="s">
        <v>4725</v>
      </c>
      <c r="C2837" s="20">
        <v>45649</v>
      </c>
      <c r="D2837" s="11">
        <v>25541.816508</v>
      </c>
      <c r="E2837" s="27">
        <f t="shared" si="216"/>
        <v>28433.150136705601</v>
      </c>
      <c r="F2837" s="6">
        <f t="shared" si="212"/>
        <v>36963.095177717281</v>
      </c>
      <c r="G2837" s="7">
        <f t="shared" si="213"/>
        <v>39806.41019138784</v>
      </c>
      <c r="H2837" s="8">
        <f t="shared" si="214"/>
        <v>42649.725205058399</v>
      </c>
      <c r="I2837" s="9">
        <f t="shared" si="215"/>
        <v>45493.040218728966</v>
      </c>
    </row>
    <row r="2838" spans="1:9" x14ac:dyDescent="0.35">
      <c r="A2838" s="24" t="s">
        <v>3236</v>
      </c>
      <c r="B2838" s="18" t="s">
        <v>4726</v>
      </c>
      <c r="C2838" s="20">
        <v>45649</v>
      </c>
      <c r="D2838" s="11">
        <v>29048.976918000004</v>
      </c>
      <c r="E2838" s="27">
        <f t="shared" si="216"/>
        <v>32337.321105117604</v>
      </c>
      <c r="F2838" s="6">
        <f t="shared" si="212"/>
        <v>42038.517436652888</v>
      </c>
      <c r="G2838" s="7">
        <f t="shared" si="213"/>
        <v>45272.24954716464</v>
      </c>
      <c r="H2838" s="8">
        <f t="shared" si="214"/>
        <v>48505.981657676406</v>
      </c>
      <c r="I2838" s="9">
        <f t="shared" si="215"/>
        <v>51739.713768188172</v>
      </c>
    </row>
    <row r="2839" spans="1:9" x14ac:dyDescent="0.35">
      <c r="A2839" s="24" t="s">
        <v>3237</v>
      </c>
      <c r="B2839" s="18" t="s">
        <v>4727</v>
      </c>
      <c r="C2839" s="20">
        <v>45649</v>
      </c>
      <c r="D2839" s="11">
        <v>30825.278406000001</v>
      </c>
      <c r="E2839" s="27">
        <f t="shared" si="216"/>
        <v>34314.6999215592</v>
      </c>
      <c r="F2839" s="6">
        <f t="shared" si="212"/>
        <v>44609.10989802696</v>
      </c>
      <c r="G2839" s="7">
        <f t="shared" si="213"/>
        <v>48040.579890182875</v>
      </c>
      <c r="H2839" s="8">
        <f t="shared" si="214"/>
        <v>51472.049882338804</v>
      </c>
      <c r="I2839" s="9">
        <f t="shared" si="215"/>
        <v>54903.519874494727</v>
      </c>
    </row>
    <row r="2840" spans="1:9" x14ac:dyDescent="0.35">
      <c r="A2840" s="24" t="s">
        <v>576</v>
      </c>
      <c r="B2840" s="18" t="s">
        <v>6678</v>
      </c>
      <c r="C2840" s="20">
        <v>45649</v>
      </c>
      <c r="D2840" s="11">
        <v>27825.974999999999</v>
      </c>
      <c r="E2840" s="27">
        <f t="shared" si="216"/>
        <v>30975.875369999998</v>
      </c>
      <c r="F2840" s="6">
        <f t="shared" si="212"/>
        <v>40268.637981</v>
      </c>
      <c r="G2840" s="7">
        <f t="shared" si="213"/>
        <v>43366.225517999992</v>
      </c>
      <c r="H2840" s="8">
        <f t="shared" si="214"/>
        <v>46463.813054999999</v>
      </c>
      <c r="I2840" s="9">
        <f t="shared" si="215"/>
        <v>49561.400591999998</v>
      </c>
    </row>
    <row r="2841" spans="1:9" x14ac:dyDescent="0.35">
      <c r="A2841" s="24" t="s">
        <v>577</v>
      </c>
      <c r="B2841" s="18" t="s">
        <v>5525</v>
      </c>
      <c r="C2841" s="20">
        <v>45649</v>
      </c>
      <c r="D2841" s="11">
        <v>35200.195758000002</v>
      </c>
      <c r="E2841" s="27">
        <f t="shared" si="216"/>
        <v>39184.857917805602</v>
      </c>
      <c r="F2841" s="6">
        <f t="shared" si="212"/>
        <v>50940.315293147287</v>
      </c>
      <c r="G2841" s="7">
        <f t="shared" si="213"/>
        <v>54858.801084927843</v>
      </c>
      <c r="H2841" s="8">
        <f t="shared" si="214"/>
        <v>58777.2868767084</v>
      </c>
      <c r="I2841" s="9">
        <f t="shared" si="215"/>
        <v>62695.772668488964</v>
      </c>
    </row>
    <row r="2842" spans="1:9" x14ac:dyDescent="0.35">
      <c r="A2842" s="24" t="s">
        <v>578</v>
      </c>
      <c r="B2842" s="18" t="s">
        <v>4728</v>
      </c>
      <c r="C2842" s="20">
        <v>45649</v>
      </c>
      <c r="D2842" s="11">
        <v>48297.231449999999</v>
      </c>
      <c r="E2842" s="27">
        <f t="shared" si="216"/>
        <v>53764.478050139995</v>
      </c>
      <c r="F2842" s="6">
        <f t="shared" si="212"/>
        <v>69893.821465182002</v>
      </c>
      <c r="G2842" s="7">
        <f t="shared" si="213"/>
        <v>75270.26927019599</v>
      </c>
      <c r="H2842" s="8">
        <f t="shared" si="214"/>
        <v>80646.717075209992</v>
      </c>
      <c r="I2842" s="9">
        <f t="shared" si="215"/>
        <v>86023.164880223994</v>
      </c>
    </row>
    <row r="2843" spans="1:9" x14ac:dyDescent="0.35">
      <c r="A2843" s="24" t="s">
        <v>4551</v>
      </c>
      <c r="B2843" s="18" t="s">
        <v>4729</v>
      </c>
      <c r="C2843" s="20">
        <v>45649</v>
      </c>
      <c r="D2843" s="11">
        <v>50744.941182000002</v>
      </c>
      <c r="E2843" s="27">
        <f t="shared" si="216"/>
        <v>56489.268523802406</v>
      </c>
      <c r="F2843" s="6">
        <f t="shared" si="212"/>
        <v>73436.049080943136</v>
      </c>
      <c r="G2843" s="7">
        <f t="shared" si="213"/>
        <v>79084.975933323367</v>
      </c>
      <c r="H2843" s="8">
        <f t="shared" si="214"/>
        <v>84733.902785703613</v>
      </c>
      <c r="I2843" s="9">
        <f t="shared" si="215"/>
        <v>90382.829638083858</v>
      </c>
    </row>
    <row r="2844" spans="1:9" x14ac:dyDescent="0.35">
      <c r="A2844" s="24" t="s">
        <v>3258</v>
      </c>
      <c r="B2844" s="18" t="s">
        <v>4730</v>
      </c>
      <c r="C2844" s="20">
        <v>45649</v>
      </c>
      <c r="D2844" s="11">
        <v>40778.267400000004</v>
      </c>
      <c r="E2844" s="27">
        <f t="shared" si="216"/>
        <v>45394.367269680006</v>
      </c>
      <c r="F2844" s="6">
        <f t="shared" si="212"/>
        <v>59012.677450584008</v>
      </c>
      <c r="G2844" s="7">
        <f t="shared" si="213"/>
        <v>63552.114177552001</v>
      </c>
      <c r="H2844" s="8">
        <f t="shared" si="214"/>
        <v>68091.550904520001</v>
      </c>
      <c r="I2844" s="9">
        <f t="shared" si="215"/>
        <v>72630.987631488009</v>
      </c>
    </row>
    <row r="2845" spans="1:9" x14ac:dyDescent="0.35">
      <c r="A2845" s="24" t="s">
        <v>579</v>
      </c>
      <c r="B2845" s="18" t="s">
        <v>4731</v>
      </c>
      <c r="C2845" s="20">
        <v>45649</v>
      </c>
      <c r="D2845" s="11">
        <v>34719.88104</v>
      </c>
      <c r="E2845" s="27">
        <f t="shared" si="216"/>
        <v>38650.171573728003</v>
      </c>
      <c r="F2845" s="6">
        <f t="shared" si="212"/>
        <v>50245.223045846404</v>
      </c>
      <c r="G2845" s="7">
        <f t="shared" si="213"/>
        <v>54110.240203219204</v>
      </c>
      <c r="H2845" s="8">
        <f t="shared" si="214"/>
        <v>57975.257360592004</v>
      </c>
      <c r="I2845" s="9">
        <f t="shared" si="215"/>
        <v>61840.274517964805</v>
      </c>
    </row>
    <row r="2846" spans="1:9" x14ac:dyDescent="0.35">
      <c r="A2846" s="24" t="s">
        <v>4820</v>
      </c>
      <c r="B2846" s="18" t="s">
        <v>4821</v>
      </c>
      <c r="C2846" s="20">
        <v>45649</v>
      </c>
      <c r="D2846" s="11">
        <v>28302.742494000002</v>
      </c>
      <c r="E2846" s="27">
        <f t="shared" si="216"/>
        <v>31506.612944320805</v>
      </c>
      <c r="F2846" s="6">
        <f t="shared" si="212"/>
        <v>40958.596827617046</v>
      </c>
      <c r="G2846" s="7">
        <f t="shared" si="213"/>
        <v>44109.258122049127</v>
      </c>
      <c r="H2846" s="8">
        <f t="shared" si="214"/>
        <v>47259.919416481207</v>
      </c>
      <c r="I2846" s="9">
        <f t="shared" si="215"/>
        <v>50410.580710913287</v>
      </c>
    </row>
    <row r="2847" spans="1:9" x14ac:dyDescent="0.35">
      <c r="A2847" s="24" t="s">
        <v>4965</v>
      </c>
      <c r="B2847" s="18" t="s">
        <v>4968</v>
      </c>
      <c r="C2847" s="20">
        <v>45649</v>
      </c>
      <c r="D2847" s="11">
        <v>27520.196600000003</v>
      </c>
      <c r="E2847" s="27">
        <f t="shared" si="216"/>
        <v>30635.482855120001</v>
      </c>
      <c r="F2847" s="6">
        <f t="shared" si="212"/>
        <v>39826.127711656001</v>
      </c>
      <c r="G2847" s="7">
        <f t="shared" si="213"/>
        <v>42889.675997168</v>
      </c>
      <c r="H2847" s="8">
        <f t="shared" si="214"/>
        <v>45953.224282679999</v>
      </c>
      <c r="I2847" s="9">
        <f t="shared" si="215"/>
        <v>49016.772568192006</v>
      </c>
    </row>
    <row r="2848" spans="1:9" x14ac:dyDescent="0.35">
      <c r="A2848" s="24" t="s">
        <v>4966</v>
      </c>
      <c r="B2848" s="18" t="s">
        <v>4967</v>
      </c>
      <c r="C2848" s="20">
        <v>45649</v>
      </c>
      <c r="D2848" s="11">
        <v>46664.513532000004</v>
      </c>
      <c r="E2848" s="27">
        <f t="shared" si="216"/>
        <v>51946.936463822407</v>
      </c>
      <c r="F2848" s="6">
        <f t="shared" si="212"/>
        <v>67531.017402969126</v>
      </c>
      <c r="G2848" s="7">
        <f t="shared" si="213"/>
        <v>72725.711049351361</v>
      </c>
      <c r="H2848" s="8">
        <f t="shared" si="214"/>
        <v>77920.40469573361</v>
      </c>
      <c r="I2848" s="9">
        <f t="shared" si="215"/>
        <v>83115.09834211586</v>
      </c>
    </row>
    <row r="2849" spans="1:9" x14ac:dyDescent="0.35">
      <c r="A2849" s="24" t="s">
        <v>3256</v>
      </c>
      <c r="B2849" s="18" t="s">
        <v>4822</v>
      </c>
      <c r="C2849" s="20">
        <v>45649</v>
      </c>
      <c r="D2849" s="11">
        <v>51837.536790000006</v>
      </c>
      <c r="E2849" s="27">
        <f t="shared" si="216"/>
        <v>57705.545954628011</v>
      </c>
      <c r="F2849" s="6">
        <f t="shared" si="212"/>
        <v>75017.209741016413</v>
      </c>
      <c r="G2849" s="7">
        <f t="shared" si="213"/>
        <v>80787.764336479217</v>
      </c>
      <c r="H2849" s="8">
        <f t="shared" si="214"/>
        <v>86558.31893194202</v>
      </c>
      <c r="I2849" s="9">
        <f t="shared" si="215"/>
        <v>92328.873527404823</v>
      </c>
    </row>
    <row r="2850" spans="1:9" x14ac:dyDescent="0.35">
      <c r="A2850" s="24" t="s">
        <v>3254</v>
      </c>
      <c r="B2850" s="18" t="s">
        <v>4734</v>
      </c>
      <c r="C2850" s="20">
        <v>45649</v>
      </c>
      <c r="D2850" s="11">
        <v>45605.689740000009</v>
      </c>
      <c r="E2850" s="27">
        <f t="shared" si="216"/>
        <v>50768.25381856801</v>
      </c>
      <c r="F2850" s="6">
        <f t="shared" si="212"/>
        <v>65998.729964138416</v>
      </c>
      <c r="G2850" s="7">
        <f t="shared" si="213"/>
        <v>71075.555345995206</v>
      </c>
      <c r="H2850" s="8">
        <f t="shared" si="214"/>
        <v>76152.380727852011</v>
      </c>
      <c r="I2850" s="9">
        <f t="shared" si="215"/>
        <v>81229.206109708815</v>
      </c>
    </row>
    <row r="2851" spans="1:9" x14ac:dyDescent="0.35">
      <c r="A2851" s="24" t="s">
        <v>3257</v>
      </c>
      <c r="B2851" s="18" t="s">
        <v>4732</v>
      </c>
      <c r="C2851" s="20">
        <v>45649</v>
      </c>
      <c r="D2851" s="11">
        <v>23956.941995999998</v>
      </c>
      <c r="E2851" s="27">
        <f t="shared" si="216"/>
        <v>26668.867829947198</v>
      </c>
      <c r="F2851" s="6">
        <f t="shared" si="212"/>
        <v>34669.528178931359</v>
      </c>
      <c r="G2851" s="7">
        <f t="shared" si="213"/>
        <v>37336.414961926072</v>
      </c>
      <c r="H2851" s="8">
        <f t="shared" si="214"/>
        <v>40003.301744920798</v>
      </c>
      <c r="I2851" s="9">
        <f t="shared" si="215"/>
        <v>42670.188527915518</v>
      </c>
    </row>
    <row r="2852" spans="1:9" x14ac:dyDescent="0.35">
      <c r="A2852" s="24" t="s">
        <v>3259</v>
      </c>
      <c r="B2852" s="18" t="s">
        <v>4733</v>
      </c>
      <c r="C2852" s="20">
        <v>45649</v>
      </c>
      <c r="D2852" s="11">
        <v>29698.630884000002</v>
      </c>
      <c r="E2852" s="27">
        <f t="shared" si="216"/>
        <v>33060.515900068807</v>
      </c>
      <c r="F2852" s="6">
        <f t="shared" si="212"/>
        <v>42978.67067008945</v>
      </c>
      <c r="G2852" s="7">
        <f t="shared" si="213"/>
        <v>46284.722260096329</v>
      </c>
      <c r="H2852" s="8">
        <f t="shared" si="214"/>
        <v>49590.773850103214</v>
      </c>
      <c r="I2852" s="9">
        <f t="shared" si="215"/>
        <v>52896.825440110093</v>
      </c>
    </row>
    <row r="2853" spans="1:9" x14ac:dyDescent="0.35">
      <c r="A2853" s="24" t="s">
        <v>4786</v>
      </c>
      <c r="B2853" s="18" t="s">
        <v>4801</v>
      </c>
      <c r="C2853" s="20">
        <v>45649</v>
      </c>
      <c r="D2853" s="11">
        <v>46207.940454000011</v>
      </c>
      <c r="E2853" s="27">
        <f t="shared" si="216"/>
        <v>51438.679313392815</v>
      </c>
      <c r="F2853" s="6">
        <f t="shared" si="212"/>
        <v>66870.283107410665</v>
      </c>
      <c r="G2853" s="7">
        <f t="shared" si="213"/>
        <v>72014.151038749929</v>
      </c>
      <c r="H2853" s="8">
        <f t="shared" si="214"/>
        <v>77158.018970089222</v>
      </c>
      <c r="I2853" s="9">
        <f t="shared" si="215"/>
        <v>82301.886901428516</v>
      </c>
    </row>
    <row r="2854" spans="1:9" x14ac:dyDescent="0.35">
      <c r="A2854" s="24" t="s">
        <v>5041</v>
      </c>
      <c r="B2854" s="18" t="s">
        <v>5042</v>
      </c>
      <c r="C2854" s="20">
        <v>45649</v>
      </c>
      <c r="D2854" s="11">
        <v>173026.01791800003</v>
      </c>
      <c r="E2854" s="27">
        <f t="shared" si="216"/>
        <v>192612.56314631764</v>
      </c>
      <c r="F2854" s="6">
        <f t="shared" si="212"/>
        <v>250396.33209021293</v>
      </c>
      <c r="G2854" s="7">
        <f t="shared" si="213"/>
        <v>269657.58840484469</v>
      </c>
      <c r="H2854" s="8">
        <f t="shared" si="214"/>
        <v>288918.84471947647</v>
      </c>
      <c r="I2854" s="9">
        <f t="shared" si="215"/>
        <v>308180.10103410826</v>
      </c>
    </row>
    <row r="2855" spans="1:9" x14ac:dyDescent="0.35">
      <c r="A2855" s="24" t="s">
        <v>5070</v>
      </c>
      <c r="B2855" s="18" t="s">
        <v>5073</v>
      </c>
      <c r="C2855" s="20">
        <v>45649</v>
      </c>
      <c r="D2855" s="11">
        <v>10515.492468000002</v>
      </c>
      <c r="E2855" s="27">
        <f t="shared" si="216"/>
        <v>11705.846215377604</v>
      </c>
      <c r="F2855" s="6">
        <f t="shared" si="212"/>
        <v>15217.600079990885</v>
      </c>
      <c r="G2855" s="7">
        <f t="shared" si="213"/>
        <v>16388.184701528644</v>
      </c>
      <c r="H2855" s="8">
        <f t="shared" si="214"/>
        <v>17558.769323066404</v>
      </c>
      <c r="I2855" s="9">
        <f t="shared" si="215"/>
        <v>18729.353944604165</v>
      </c>
    </row>
    <row r="2856" spans="1:9" x14ac:dyDescent="0.35">
      <c r="A2856" s="24" t="s">
        <v>5071</v>
      </c>
      <c r="B2856" s="18" t="s">
        <v>5072</v>
      </c>
      <c r="C2856" s="20">
        <v>45649</v>
      </c>
      <c r="D2856" s="11">
        <v>21971.007162000005</v>
      </c>
      <c r="E2856" s="27">
        <f t="shared" si="216"/>
        <v>24458.125172738408</v>
      </c>
      <c r="F2856" s="6">
        <f t="shared" si="212"/>
        <v>31795.562724559932</v>
      </c>
      <c r="G2856" s="7">
        <f t="shared" si="213"/>
        <v>34241.375241833768</v>
      </c>
      <c r="H2856" s="8">
        <f t="shared" si="214"/>
        <v>36687.187759107612</v>
      </c>
      <c r="I2856" s="9">
        <f t="shared" si="215"/>
        <v>39133.000276381455</v>
      </c>
    </row>
    <row r="2857" spans="1:9" x14ac:dyDescent="0.35">
      <c r="A2857" s="24" t="s">
        <v>5612</v>
      </c>
      <c r="B2857" s="18" t="s">
        <v>5613</v>
      </c>
      <c r="C2857" s="20">
        <v>45649</v>
      </c>
      <c r="D2857" s="11">
        <v>22824.332387999999</v>
      </c>
      <c r="E2857" s="27">
        <f t="shared" si="216"/>
        <v>25408.046814321599</v>
      </c>
      <c r="F2857" s="6">
        <f t="shared" si="212"/>
        <v>33030.460858618077</v>
      </c>
      <c r="G2857" s="7">
        <f t="shared" si="213"/>
        <v>35571.265540050234</v>
      </c>
      <c r="H2857" s="8">
        <f t="shared" si="214"/>
        <v>38112.070221482398</v>
      </c>
      <c r="I2857" s="9">
        <f t="shared" si="215"/>
        <v>40652.874902914562</v>
      </c>
    </row>
    <row r="2858" spans="1:9" x14ac:dyDescent="0.35">
      <c r="A2858" s="24" t="s">
        <v>5686</v>
      </c>
      <c r="B2858" s="18" t="s">
        <v>5687</v>
      </c>
      <c r="C2858" s="20">
        <v>45649</v>
      </c>
      <c r="D2858" s="11">
        <v>36670.403484000002</v>
      </c>
      <c r="E2858" s="27">
        <f t="shared" si="216"/>
        <v>40821.493158388803</v>
      </c>
      <c r="F2858" s="6">
        <f t="shared" si="212"/>
        <v>53067.941105905447</v>
      </c>
      <c r="G2858" s="7">
        <f t="shared" si="213"/>
        <v>57150.090421744324</v>
      </c>
      <c r="H2858" s="8">
        <f t="shared" si="214"/>
        <v>61232.239737583208</v>
      </c>
      <c r="I2858" s="9">
        <f t="shared" si="215"/>
        <v>65314.389053422085</v>
      </c>
    </row>
    <row r="2859" spans="1:9" ht="18" x14ac:dyDescent="0.4">
      <c r="B2859" s="19" t="s">
        <v>5676</v>
      </c>
      <c r="D2859" s="11">
        <v>0</v>
      </c>
      <c r="E2859" s="27">
        <f t="shared" si="216"/>
        <v>0</v>
      </c>
      <c r="F2859" s="6">
        <f t="shared" si="212"/>
        <v>0</v>
      </c>
      <c r="G2859" s="7">
        <f t="shared" si="213"/>
        <v>0</v>
      </c>
      <c r="H2859" s="8">
        <f t="shared" si="214"/>
        <v>0</v>
      </c>
      <c r="I2859" s="9">
        <f t="shared" si="215"/>
        <v>0</v>
      </c>
    </row>
    <row r="2860" spans="1:9" x14ac:dyDescent="0.35">
      <c r="A2860" s="24" t="s">
        <v>4773</v>
      </c>
      <c r="B2860" s="18" t="s">
        <v>5677</v>
      </c>
      <c r="C2860" s="20">
        <v>45717</v>
      </c>
      <c r="D2860" s="11">
        <v>41915.737500000003</v>
      </c>
      <c r="E2860" s="27">
        <f t="shared" si="216"/>
        <v>46660.598985000004</v>
      </c>
      <c r="F2860" s="6">
        <f t="shared" si="212"/>
        <v>60658.778680500007</v>
      </c>
      <c r="G2860" s="7">
        <f t="shared" si="213"/>
        <v>65324.838579000003</v>
      </c>
      <c r="H2860" s="8">
        <f t="shared" si="214"/>
        <v>69990.898477500014</v>
      </c>
      <c r="I2860" s="9">
        <f t="shared" si="215"/>
        <v>74656.95837600001</v>
      </c>
    </row>
    <row r="2861" spans="1:9" x14ac:dyDescent="0.35">
      <c r="A2861" s="24" t="s">
        <v>4774</v>
      </c>
      <c r="B2861" s="18" t="s">
        <v>5678</v>
      </c>
      <c r="C2861" s="20">
        <v>45717</v>
      </c>
      <c r="D2861" s="11">
        <v>51007.320000000007</v>
      </c>
      <c r="E2861" s="27">
        <f t="shared" si="216"/>
        <v>56781.348624000006</v>
      </c>
      <c r="F2861" s="6">
        <f t="shared" si="212"/>
        <v>73815.753211200004</v>
      </c>
      <c r="G2861" s="7">
        <f t="shared" si="213"/>
        <v>79493.888073599999</v>
      </c>
      <c r="H2861" s="8">
        <f t="shared" si="214"/>
        <v>85172.022936000008</v>
      </c>
      <c r="I2861" s="9">
        <f t="shared" si="215"/>
        <v>90850.157798400018</v>
      </c>
    </row>
    <row r="2862" spans="1:9" x14ac:dyDescent="0.35">
      <c r="A2862" s="24" t="s">
        <v>4877</v>
      </c>
      <c r="B2862" s="18" t="s">
        <v>5679</v>
      </c>
      <c r="C2862" s="20">
        <v>45717</v>
      </c>
      <c r="D2862" s="11">
        <v>47347.072500000009</v>
      </c>
      <c r="E2862" s="27">
        <f t="shared" si="216"/>
        <v>52706.761107000006</v>
      </c>
      <c r="F2862" s="6">
        <f t="shared" si="212"/>
        <v>68518.789439100015</v>
      </c>
      <c r="G2862" s="7">
        <f t="shared" si="213"/>
        <v>73789.465549800007</v>
      </c>
      <c r="H2862" s="8">
        <f t="shared" si="214"/>
        <v>79060.141660500012</v>
      </c>
      <c r="I2862" s="9">
        <f t="shared" si="215"/>
        <v>84330.817771200018</v>
      </c>
    </row>
    <row r="2863" spans="1:9" x14ac:dyDescent="0.35">
      <c r="A2863" s="24" t="s">
        <v>4878</v>
      </c>
      <c r="B2863" s="18" t="s">
        <v>5680</v>
      </c>
      <c r="C2863" s="20">
        <v>45717</v>
      </c>
      <c r="D2863" s="11">
        <v>43403.451000000008</v>
      </c>
      <c r="E2863" s="27">
        <f t="shared" si="216"/>
        <v>48316.721653200009</v>
      </c>
      <c r="F2863" s="6">
        <f t="shared" ref="F2863:F2942" si="217">E2863*1.3</f>
        <v>62811.738149160017</v>
      </c>
      <c r="G2863" s="7">
        <f t="shared" ref="G2863:G2942" si="218">E2863*1.4</f>
        <v>67643.410314480003</v>
      </c>
      <c r="H2863" s="8">
        <f t="shared" ref="H2863:H2942" si="219">E2863*1.5</f>
        <v>72475.08247980001</v>
      </c>
      <c r="I2863" s="9">
        <f t="shared" ref="I2863:I2942" si="220">E2863*1.6</f>
        <v>77306.754645120018</v>
      </c>
    </row>
    <row r="2864" spans="1:9" x14ac:dyDescent="0.35">
      <c r="A2864" s="24" t="s">
        <v>4879</v>
      </c>
      <c r="B2864" s="18" t="s">
        <v>5681</v>
      </c>
      <c r="C2864" s="20">
        <v>45717</v>
      </c>
      <c r="D2864" s="11">
        <v>52395.852599999998</v>
      </c>
      <c r="E2864" s="27">
        <f t="shared" si="216"/>
        <v>58327.063114319993</v>
      </c>
      <c r="F2864" s="6">
        <f t="shared" si="217"/>
        <v>75825.182048616</v>
      </c>
      <c r="G2864" s="7">
        <f t="shared" si="218"/>
        <v>81657.888360047989</v>
      </c>
      <c r="H2864" s="8">
        <f t="shared" si="219"/>
        <v>87490.594671479994</v>
      </c>
      <c r="I2864" s="9">
        <f t="shared" si="220"/>
        <v>93323.300982911998</v>
      </c>
    </row>
    <row r="2865" spans="1:9" x14ac:dyDescent="0.35">
      <c r="A2865" s="24" t="s">
        <v>5682</v>
      </c>
      <c r="B2865" s="18" t="s">
        <v>5684</v>
      </c>
      <c r="C2865" s="20">
        <v>45717</v>
      </c>
      <c r="D2865" s="11">
        <v>43450.68</v>
      </c>
      <c r="E2865" s="27">
        <f t="shared" si="216"/>
        <v>48369.296976000005</v>
      </c>
      <c r="F2865" s="6">
        <f t="shared" si="217"/>
        <v>62880.08606880001</v>
      </c>
      <c r="G2865" s="7">
        <f t="shared" si="218"/>
        <v>67717.0157664</v>
      </c>
      <c r="H2865" s="8">
        <f t="shared" si="219"/>
        <v>72553.945464000004</v>
      </c>
      <c r="I2865" s="9">
        <f t="shared" si="220"/>
        <v>77390.875161600008</v>
      </c>
    </row>
    <row r="2866" spans="1:9" x14ac:dyDescent="0.35">
      <c r="A2866" s="24" t="s">
        <v>5683</v>
      </c>
      <c r="B2866" s="18" t="s">
        <v>5685</v>
      </c>
      <c r="C2866" s="20">
        <v>45717</v>
      </c>
      <c r="D2866" s="11">
        <v>63918.582000000009</v>
      </c>
      <c r="E2866" s="27">
        <f t="shared" si="216"/>
        <v>71154.165482400014</v>
      </c>
      <c r="F2866" s="6">
        <f t="shared" si="217"/>
        <v>92500.415127120024</v>
      </c>
      <c r="G2866" s="7">
        <f t="shared" si="218"/>
        <v>99615.831675360008</v>
      </c>
      <c r="H2866" s="8">
        <f t="shared" si="219"/>
        <v>106731.24822360002</v>
      </c>
      <c r="I2866" s="9">
        <f t="shared" si="220"/>
        <v>113846.66477184003</v>
      </c>
    </row>
    <row r="2867" spans="1:9" x14ac:dyDescent="0.35">
      <c r="A2867" s="24" t="s">
        <v>5700</v>
      </c>
      <c r="B2867" s="18" t="s">
        <v>5701</v>
      </c>
      <c r="C2867" s="20">
        <v>45717</v>
      </c>
      <c r="D2867" s="11">
        <v>74976.037500000006</v>
      </c>
      <c r="E2867" s="27">
        <f t="shared" si="216"/>
        <v>83463.324945000015</v>
      </c>
      <c r="F2867" s="6">
        <f t="shared" si="217"/>
        <v>108502.32242850002</v>
      </c>
      <c r="G2867" s="7">
        <f t="shared" si="218"/>
        <v>116848.65492300001</v>
      </c>
      <c r="H2867" s="8">
        <f t="shared" si="219"/>
        <v>125194.98741750003</v>
      </c>
      <c r="I2867" s="9">
        <f t="shared" si="220"/>
        <v>133541.31991200004</v>
      </c>
    </row>
    <row r="2868" spans="1:9" x14ac:dyDescent="0.35">
      <c r="A2868" s="24" t="s">
        <v>5745</v>
      </c>
      <c r="B2868" s="18" t="s">
        <v>5746</v>
      </c>
      <c r="C2868" s="20">
        <v>45717</v>
      </c>
      <c r="D2868" s="11">
        <v>40735.012500000004</v>
      </c>
      <c r="E2868" s="27">
        <f t="shared" si="216"/>
        <v>45346.215915000008</v>
      </c>
      <c r="F2868" s="6">
        <f t="shared" si="217"/>
        <v>58950.080689500013</v>
      </c>
      <c r="G2868" s="7">
        <f t="shared" si="218"/>
        <v>63484.702281000005</v>
      </c>
      <c r="H2868" s="8">
        <f t="shared" si="219"/>
        <v>68019.323872500012</v>
      </c>
      <c r="I2868" s="9">
        <f t="shared" si="220"/>
        <v>72553.945464000019</v>
      </c>
    </row>
    <row r="2869" spans="1:9" x14ac:dyDescent="0.35">
      <c r="A2869" s="24" t="s">
        <v>5768</v>
      </c>
      <c r="B2869" s="18" t="s">
        <v>5769</v>
      </c>
      <c r="C2869" s="20">
        <v>45717</v>
      </c>
      <c r="D2869" s="11">
        <v>36602.474999999999</v>
      </c>
      <c r="E2869" s="27">
        <f t="shared" si="216"/>
        <v>40745.875169999999</v>
      </c>
      <c r="F2869" s="6">
        <f t="shared" si="217"/>
        <v>52969.637720999999</v>
      </c>
      <c r="G2869" s="7">
        <f t="shared" si="218"/>
        <v>57044.225237999999</v>
      </c>
      <c r="H2869" s="8">
        <f t="shared" si="219"/>
        <v>61118.812754999999</v>
      </c>
      <c r="I2869" s="9">
        <f t="shared" si="220"/>
        <v>65193.400271999999</v>
      </c>
    </row>
    <row r="2870" spans="1:9" ht="18" x14ac:dyDescent="0.4">
      <c r="A2870" s="28"/>
      <c r="B2870" s="34" t="s">
        <v>3455</v>
      </c>
      <c r="C2870" s="29"/>
      <c r="D2870" s="11">
        <v>0</v>
      </c>
      <c r="E2870" s="27">
        <f t="shared" si="216"/>
        <v>0</v>
      </c>
      <c r="F2870" s="6">
        <f t="shared" si="217"/>
        <v>0</v>
      </c>
      <c r="G2870" s="7">
        <f t="shared" si="218"/>
        <v>0</v>
      </c>
      <c r="H2870" s="8">
        <f t="shared" si="219"/>
        <v>0</v>
      </c>
      <c r="I2870" s="9">
        <f t="shared" si="220"/>
        <v>0</v>
      </c>
    </row>
    <row r="2871" spans="1:9" x14ac:dyDescent="0.35">
      <c r="A2871" s="35" t="s">
        <v>3249</v>
      </c>
      <c r="B2871" s="28" t="s">
        <v>3457</v>
      </c>
      <c r="C2871" s="29">
        <v>45731</v>
      </c>
      <c r="D2871" s="11">
        <v>5548.3643250000005</v>
      </c>
      <c r="E2871" s="27">
        <f t="shared" si="216"/>
        <v>6176.4391665900012</v>
      </c>
      <c r="F2871" s="6">
        <f t="shared" si="217"/>
        <v>8029.3709165670016</v>
      </c>
      <c r="G2871" s="7">
        <f t="shared" si="218"/>
        <v>8647.0148332260014</v>
      </c>
      <c r="H2871" s="8">
        <f t="shared" si="219"/>
        <v>9264.6587498850022</v>
      </c>
      <c r="I2871" s="9">
        <f t="shared" si="220"/>
        <v>9882.3026665440029</v>
      </c>
    </row>
    <row r="2872" spans="1:9" x14ac:dyDescent="0.35">
      <c r="A2872" s="35" t="s">
        <v>4708</v>
      </c>
      <c r="B2872" s="28" t="s">
        <v>3456</v>
      </c>
      <c r="C2872" s="29">
        <v>45731</v>
      </c>
      <c r="D2872" s="11">
        <v>5548.3643250000005</v>
      </c>
      <c r="E2872" s="27">
        <f t="shared" si="216"/>
        <v>6176.4391665900012</v>
      </c>
      <c r="F2872" s="6">
        <f t="shared" si="217"/>
        <v>8029.3709165670016</v>
      </c>
      <c r="G2872" s="7">
        <f t="shared" si="218"/>
        <v>8647.0148332260014</v>
      </c>
      <c r="H2872" s="8">
        <f t="shared" si="219"/>
        <v>9264.6587498850022</v>
      </c>
      <c r="I2872" s="9">
        <f t="shared" si="220"/>
        <v>9882.3026665440029</v>
      </c>
    </row>
    <row r="2873" spans="1:9" x14ac:dyDescent="0.35">
      <c r="A2873" s="35" t="s">
        <v>4709</v>
      </c>
      <c r="B2873" s="28" t="s">
        <v>4710</v>
      </c>
      <c r="C2873" s="29">
        <v>45731</v>
      </c>
      <c r="D2873" s="11">
        <v>8000.108648437501</v>
      </c>
      <c r="E2873" s="27">
        <f t="shared" si="216"/>
        <v>8905.7209474406263</v>
      </c>
      <c r="F2873" s="6">
        <f t="shared" si="217"/>
        <v>11577.437231672815</v>
      </c>
      <c r="G2873" s="7">
        <f t="shared" si="218"/>
        <v>12468.009326416875</v>
      </c>
      <c r="H2873" s="8">
        <f t="shared" si="219"/>
        <v>13358.581421160939</v>
      </c>
      <c r="I2873" s="9">
        <f t="shared" si="220"/>
        <v>14249.153515905004</v>
      </c>
    </row>
    <row r="2874" spans="1:9" x14ac:dyDescent="0.35">
      <c r="A2874" s="35" t="s">
        <v>3250</v>
      </c>
      <c r="B2874" s="28" t="s">
        <v>4711</v>
      </c>
      <c r="C2874" s="29">
        <v>45731</v>
      </c>
      <c r="D2874" s="11">
        <v>6666.5544159375022</v>
      </c>
      <c r="E2874" s="27">
        <f t="shared" si="216"/>
        <v>7421.2083758216277</v>
      </c>
      <c r="F2874" s="6">
        <f t="shared" si="217"/>
        <v>9647.5708885681161</v>
      </c>
      <c r="G2874" s="7">
        <f t="shared" si="218"/>
        <v>10389.691726150279</v>
      </c>
      <c r="H2874" s="8">
        <f t="shared" si="219"/>
        <v>11131.812563732441</v>
      </c>
      <c r="I2874" s="9">
        <f t="shared" si="220"/>
        <v>11873.933401314605</v>
      </c>
    </row>
    <row r="2875" spans="1:9" x14ac:dyDescent="0.35">
      <c r="A2875" s="35" t="s">
        <v>4740</v>
      </c>
      <c r="B2875" s="28" t="s">
        <v>4741</v>
      </c>
      <c r="C2875" s="29">
        <v>45731</v>
      </c>
      <c r="D2875" s="11">
        <v>10218.237631875003</v>
      </c>
      <c r="E2875" s="27">
        <f t="shared" si="216"/>
        <v>11374.942131803255</v>
      </c>
      <c r="F2875" s="6">
        <f t="shared" si="217"/>
        <v>14787.424771344231</v>
      </c>
      <c r="G2875" s="7">
        <f t="shared" si="218"/>
        <v>15924.918984524555</v>
      </c>
      <c r="H2875" s="8">
        <f t="shared" si="219"/>
        <v>17062.413197704882</v>
      </c>
      <c r="I2875" s="9">
        <f t="shared" si="220"/>
        <v>18199.907410885207</v>
      </c>
    </row>
    <row r="2876" spans="1:9" ht="18" x14ac:dyDescent="0.4">
      <c r="A2876" s="24"/>
      <c r="B2876" s="19" t="s">
        <v>6085</v>
      </c>
      <c r="D2876" s="11">
        <v>0</v>
      </c>
      <c r="E2876" s="27">
        <f t="shared" si="216"/>
        <v>0</v>
      </c>
      <c r="F2876" s="6">
        <f t="shared" si="217"/>
        <v>0</v>
      </c>
      <c r="G2876" s="7">
        <f t="shared" si="218"/>
        <v>0</v>
      </c>
      <c r="H2876" s="8">
        <f t="shared" si="219"/>
        <v>0</v>
      </c>
      <c r="I2876" s="9">
        <f t="shared" si="220"/>
        <v>0</v>
      </c>
    </row>
    <row r="2877" spans="1:9" x14ac:dyDescent="0.35">
      <c r="A2877" s="24" t="s">
        <v>6086</v>
      </c>
      <c r="B2877" s="24" t="s">
        <v>6093</v>
      </c>
      <c r="C2877" s="20">
        <v>45703</v>
      </c>
      <c r="D2877" s="11">
        <v>25025.72</v>
      </c>
      <c r="E2877" s="27">
        <f t="shared" si="216"/>
        <v>27858.631504000001</v>
      </c>
      <c r="F2877" s="6">
        <f t="shared" si="217"/>
        <v>36216.220955200006</v>
      </c>
      <c r="G2877" s="7">
        <f t="shared" si="218"/>
        <v>39002.084105599999</v>
      </c>
      <c r="H2877" s="8">
        <f t="shared" si="219"/>
        <v>41787.947255999999</v>
      </c>
      <c r="I2877" s="9">
        <f t="shared" si="220"/>
        <v>44573.810406400007</v>
      </c>
    </row>
    <row r="2878" spans="1:9" x14ac:dyDescent="0.35">
      <c r="A2878" s="24" t="s">
        <v>6087</v>
      </c>
      <c r="B2878" s="24" t="s">
        <v>6094</v>
      </c>
      <c r="C2878" s="20">
        <v>45703</v>
      </c>
      <c r="D2878" s="11">
        <v>27214.62</v>
      </c>
      <c r="E2878" s="27">
        <f t="shared" si="216"/>
        <v>30295.314984000001</v>
      </c>
      <c r="F2878" s="6">
        <f t="shared" si="217"/>
        <v>39383.909479200003</v>
      </c>
      <c r="G2878" s="7">
        <f t="shared" si="218"/>
        <v>42413.440977599996</v>
      </c>
      <c r="H2878" s="8">
        <f t="shared" si="219"/>
        <v>45442.972476000003</v>
      </c>
      <c r="I2878" s="9">
        <f t="shared" si="220"/>
        <v>48472.503974400002</v>
      </c>
    </row>
    <row r="2879" spans="1:9" x14ac:dyDescent="0.35">
      <c r="A2879" s="24" t="s">
        <v>6088</v>
      </c>
      <c r="B2879" s="24" t="s">
        <v>6095</v>
      </c>
      <c r="C2879" s="20">
        <v>45703</v>
      </c>
      <c r="D2879" s="11">
        <v>38977.22</v>
      </c>
      <c r="E2879" s="27">
        <f t="shared" si="216"/>
        <v>43389.441304</v>
      </c>
      <c r="F2879" s="6">
        <f t="shared" si="217"/>
        <v>56406.273695200005</v>
      </c>
      <c r="G2879" s="7">
        <f t="shared" si="218"/>
        <v>60745.217825599997</v>
      </c>
      <c r="H2879" s="8">
        <f t="shared" si="219"/>
        <v>65084.161955999996</v>
      </c>
      <c r="I2879" s="9">
        <f t="shared" si="220"/>
        <v>69423.106086400003</v>
      </c>
    </row>
    <row r="2880" spans="1:9" x14ac:dyDescent="0.35">
      <c r="A2880" s="24" t="s">
        <v>6089</v>
      </c>
      <c r="B2880" s="24" t="s">
        <v>6096</v>
      </c>
      <c r="C2880" s="20">
        <v>45703</v>
      </c>
      <c r="D2880" s="11">
        <v>30654.66</v>
      </c>
      <c r="E2880" s="27">
        <f t="shared" si="216"/>
        <v>34124.767511999999</v>
      </c>
      <c r="F2880" s="6">
        <f t="shared" si="217"/>
        <v>44362.197765600002</v>
      </c>
      <c r="G2880" s="7">
        <f t="shared" si="218"/>
        <v>47774.674516799998</v>
      </c>
      <c r="H2880" s="8">
        <f t="shared" si="219"/>
        <v>51187.151268000001</v>
      </c>
      <c r="I2880" s="9">
        <f t="shared" si="220"/>
        <v>54599.628019199998</v>
      </c>
    </row>
    <row r="2881" spans="1:9" x14ac:dyDescent="0.35">
      <c r="A2881" s="24" t="s">
        <v>6090</v>
      </c>
      <c r="B2881" s="24" t="s">
        <v>6097</v>
      </c>
      <c r="C2881" s="20">
        <v>45703</v>
      </c>
      <c r="D2881" s="11">
        <v>34639.480000000003</v>
      </c>
      <c r="E2881" s="27">
        <f t="shared" si="216"/>
        <v>38560.669136000004</v>
      </c>
      <c r="F2881" s="6">
        <f t="shared" si="217"/>
        <v>50128.86987680001</v>
      </c>
      <c r="G2881" s="7">
        <f t="shared" si="218"/>
        <v>53984.936790400003</v>
      </c>
      <c r="H2881" s="8">
        <f t="shared" si="219"/>
        <v>57841.003704000002</v>
      </c>
      <c r="I2881" s="9">
        <f t="shared" si="220"/>
        <v>61697.070617600009</v>
      </c>
    </row>
    <row r="2882" spans="1:9" x14ac:dyDescent="0.35">
      <c r="A2882" s="24" t="s">
        <v>6091</v>
      </c>
      <c r="B2882" s="24" t="s">
        <v>6098</v>
      </c>
      <c r="C2882" s="20">
        <v>45703</v>
      </c>
      <c r="D2882" s="11">
        <v>51404.66</v>
      </c>
      <c r="E2882" s="27">
        <f t="shared" si="216"/>
        <v>57223.667512000007</v>
      </c>
      <c r="F2882" s="6">
        <f t="shared" si="217"/>
        <v>74390.767765600016</v>
      </c>
      <c r="G2882" s="7">
        <f t="shared" si="218"/>
        <v>80113.134516800012</v>
      </c>
      <c r="H2882" s="8">
        <f t="shared" si="219"/>
        <v>85835.501268000007</v>
      </c>
      <c r="I2882" s="9">
        <f t="shared" si="220"/>
        <v>91557.868019200017</v>
      </c>
    </row>
    <row r="2883" spans="1:9" x14ac:dyDescent="0.35">
      <c r="A2883" s="24" t="s">
        <v>6092</v>
      </c>
      <c r="B2883" s="24" t="s">
        <v>6099</v>
      </c>
      <c r="C2883" s="20">
        <v>45703</v>
      </c>
      <c r="D2883" s="11">
        <v>73762.86</v>
      </c>
      <c r="E2883" s="27">
        <f t="shared" si="216"/>
        <v>82112.815751999995</v>
      </c>
      <c r="F2883" s="6">
        <f t="shared" si="217"/>
        <v>106746.6604776</v>
      </c>
      <c r="G2883" s="7">
        <f t="shared" si="218"/>
        <v>114957.94205279999</v>
      </c>
      <c r="H2883" s="8">
        <f t="shared" si="219"/>
        <v>123169.22362799999</v>
      </c>
      <c r="I2883" s="9">
        <f t="shared" si="220"/>
        <v>131380.50520320001</v>
      </c>
    </row>
    <row r="2884" spans="1:9" ht="18" x14ac:dyDescent="0.4">
      <c r="A2884" s="24"/>
      <c r="B2884" s="19" t="s">
        <v>6571</v>
      </c>
      <c r="D2884" s="11">
        <v>0</v>
      </c>
      <c r="E2884" s="27">
        <f t="shared" si="216"/>
        <v>0</v>
      </c>
      <c r="F2884" s="6">
        <f t="shared" si="217"/>
        <v>0</v>
      </c>
      <c r="G2884" s="7">
        <f t="shared" si="218"/>
        <v>0</v>
      </c>
      <c r="H2884" s="8">
        <f t="shared" si="219"/>
        <v>0</v>
      </c>
      <c r="I2884" s="9">
        <f t="shared" si="220"/>
        <v>0</v>
      </c>
    </row>
    <row r="2885" spans="1:9" x14ac:dyDescent="0.35">
      <c r="A2885" s="24">
        <v>281443</v>
      </c>
      <c r="B2885" s="24" t="s">
        <v>6572</v>
      </c>
      <c r="C2885" s="20">
        <v>45698</v>
      </c>
      <c r="D2885" s="11">
        <v>46121.66</v>
      </c>
      <c r="E2885" s="27">
        <f t="shared" si="216"/>
        <v>51342.631912000004</v>
      </c>
      <c r="F2885" s="6">
        <f t="shared" si="217"/>
        <v>66745.421485600004</v>
      </c>
      <c r="G2885" s="7">
        <f t="shared" si="218"/>
        <v>71879.684676799996</v>
      </c>
      <c r="H2885" s="8">
        <f t="shared" si="219"/>
        <v>77013.947868000003</v>
      </c>
      <c r="I2885" s="9">
        <f t="shared" si="220"/>
        <v>82148.21105920001</v>
      </c>
    </row>
    <row r="2886" spans="1:9" x14ac:dyDescent="0.35">
      <c r="A2886" s="24">
        <v>281442</v>
      </c>
      <c r="B2886" s="24" t="s">
        <v>6872</v>
      </c>
      <c r="C2886" s="20">
        <v>45698</v>
      </c>
      <c r="D2886" s="11">
        <v>48685</v>
      </c>
      <c r="E2886" s="27">
        <f t="shared" si="216"/>
        <v>54196.142</v>
      </c>
      <c r="F2886" s="6">
        <f t="shared" si="217"/>
        <v>70454.984599999996</v>
      </c>
      <c r="G2886" s="7">
        <f t="shared" si="218"/>
        <v>75874.598799999992</v>
      </c>
      <c r="H2886" s="8">
        <f t="shared" si="219"/>
        <v>81294.213000000003</v>
      </c>
      <c r="I2886" s="9">
        <f t="shared" si="220"/>
        <v>86713.8272</v>
      </c>
    </row>
    <row r="2887" spans="1:9" x14ac:dyDescent="0.35">
      <c r="A2887" s="24">
        <v>281439</v>
      </c>
      <c r="B2887" s="24" t="s">
        <v>6573</v>
      </c>
      <c r="C2887" s="20">
        <v>45698</v>
      </c>
      <c r="D2887" s="11">
        <v>44310.968000000008</v>
      </c>
      <c r="E2887" s="27">
        <f t="shared" si="216"/>
        <v>49326.969577600008</v>
      </c>
      <c r="F2887" s="6">
        <f t="shared" si="217"/>
        <v>64125.06045088001</v>
      </c>
      <c r="G2887" s="7">
        <f t="shared" si="218"/>
        <v>69057.757408640013</v>
      </c>
      <c r="H2887" s="8">
        <f t="shared" si="219"/>
        <v>73990.454366400008</v>
      </c>
      <c r="I2887" s="9">
        <f t="shared" si="220"/>
        <v>78923.151324160019</v>
      </c>
    </row>
    <row r="2888" spans="1:9" x14ac:dyDescent="0.35">
      <c r="A2888" s="24">
        <v>281440</v>
      </c>
      <c r="B2888" s="24" t="s">
        <v>6574</v>
      </c>
      <c r="C2888" s="20">
        <v>45698</v>
      </c>
      <c r="D2888" s="11">
        <v>47769.748000000007</v>
      </c>
      <c r="E2888" s="27">
        <f t="shared" si="216"/>
        <v>53177.283473600008</v>
      </c>
      <c r="F2888" s="6">
        <f t="shared" si="217"/>
        <v>69130.468515680011</v>
      </c>
      <c r="G2888" s="7">
        <f t="shared" si="218"/>
        <v>74448.196863040008</v>
      </c>
      <c r="H2888" s="8">
        <f t="shared" si="219"/>
        <v>79765.925210400019</v>
      </c>
      <c r="I2888" s="9">
        <f t="shared" si="220"/>
        <v>85083.653557760015</v>
      </c>
    </row>
    <row r="2889" spans="1:9" x14ac:dyDescent="0.35">
      <c r="A2889" s="24">
        <v>281441</v>
      </c>
      <c r="B2889" s="24" t="s">
        <v>6575</v>
      </c>
      <c r="C2889" s="20">
        <v>45698</v>
      </c>
      <c r="D2889" s="11">
        <v>60480.420000000006</v>
      </c>
      <c r="E2889" s="27">
        <f t="shared" si="216"/>
        <v>67326.803544000009</v>
      </c>
      <c r="F2889" s="6">
        <f t="shared" si="217"/>
        <v>87524.844607200022</v>
      </c>
      <c r="G2889" s="7">
        <f t="shared" si="218"/>
        <v>94257.524961600007</v>
      </c>
      <c r="H2889" s="8">
        <f t="shared" si="219"/>
        <v>100990.20531600001</v>
      </c>
      <c r="I2889" s="9">
        <f t="shared" si="220"/>
        <v>107722.88567040002</v>
      </c>
    </row>
    <row r="2890" spans="1:9" ht="18" x14ac:dyDescent="0.4">
      <c r="A2890" s="24"/>
      <c r="B2890" s="19" t="s">
        <v>6576</v>
      </c>
      <c r="D2890" s="11">
        <v>0</v>
      </c>
      <c r="E2890" s="27">
        <f t="shared" si="216"/>
        <v>0</v>
      </c>
      <c r="F2890" s="6">
        <f t="shared" si="217"/>
        <v>0</v>
      </c>
      <c r="G2890" s="7">
        <f t="shared" si="218"/>
        <v>0</v>
      </c>
      <c r="H2890" s="8">
        <f t="shared" si="219"/>
        <v>0</v>
      </c>
      <c r="I2890" s="9">
        <f t="shared" si="220"/>
        <v>0</v>
      </c>
    </row>
    <row r="2891" spans="1:9" x14ac:dyDescent="0.35">
      <c r="A2891" s="24">
        <v>281450</v>
      </c>
      <c r="B2891" s="24" t="s">
        <v>6577</v>
      </c>
      <c r="C2891" s="20">
        <v>45698</v>
      </c>
      <c r="D2891" s="11">
        <v>57386.810000000005</v>
      </c>
      <c r="E2891" s="27">
        <f t="shared" si="216"/>
        <v>63882.996892000003</v>
      </c>
      <c r="F2891" s="6">
        <f t="shared" si="217"/>
        <v>83047.895959600006</v>
      </c>
      <c r="G2891" s="7">
        <f t="shared" si="218"/>
        <v>89436.1956488</v>
      </c>
      <c r="H2891" s="8">
        <f t="shared" si="219"/>
        <v>95824.495338000008</v>
      </c>
      <c r="I2891" s="9">
        <f t="shared" si="220"/>
        <v>102212.79502720002</v>
      </c>
    </row>
    <row r="2892" spans="1:9" x14ac:dyDescent="0.35">
      <c r="A2892" s="24">
        <v>281451</v>
      </c>
      <c r="B2892" s="24" t="s">
        <v>6578</v>
      </c>
      <c r="C2892" s="20">
        <v>45698</v>
      </c>
      <c r="D2892" s="11">
        <v>64107.315999999999</v>
      </c>
      <c r="E2892" s="27">
        <f t="shared" si="216"/>
        <v>71364.26417119999</v>
      </c>
      <c r="F2892" s="6">
        <f t="shared" si="217"/>
        <v>92773.543422559989</v>
      </c>
      <c r="G2892" s="7">
        <f t="shared" si="218"/>
        <v>99909.969839679979</v>
      </c>
      <c r="H2892" s="8">
        <f t="shared" si="219"/>
        <v>107046.39625679998</v>
      </c>
      <c r="I2892" s="9">
        <f t="shared" si="220"/>
        <v>114182.82267391999</v>
      </c>
    </row>
    <row r="2893" spans="1:9" x14ac:dyDescent="0.35">
      <c r="A2893" s="24">
        <v>281452</v>
      </c>
      <c r="B2893" s="24" t="s">
        <v>6579</v>
      </c>
      <c r="C2893" s="20">
        <v>45698</v>
      </c>
      <c r="D2893" s="11">
        <v>76333.13870000001</v>
      </c>
      <c r="E2893" s="27">
        <f t="shared" si="216"/>
        <v>84974.050000840012</v>
      </c>
      <c r="F2893" s="6">
        <f t="shared" si="217"/>
        <v>110466.26500109202</v>
      </c>
      <c r="G2893" s="7">
        <f t="shared" si="218"/>
        <v>118963.67000117601</v>
      </c>
      <c r="H2893" s="8">
        <f t="shared" si="219"/>
        <v>127461.07500126002</v>
      </c>
      <c r="I2893" s="9">
        <f t="shared" si="220"/>
        <v>135958.48000134403</v>
      </c>
    </row>
    <row r="2894" spans="1:9" ht="18" x14ac:dyDescent="0.4">
      <c r="A2894" s="24"/>
      <c r="B2894" s="19" t="s">
        <v>6580</v>
      </c>
      <c r="D2894" s="11">
        <v>0</v>
      </c>
      <c r="E2894" s="27">
        <f t="shared" si="216"/>
        <v>0</v>
      </c>
      <c r="F2894" s="6">
        <f t="shared" si="217"/>
        <v>0</v>
      </c>
      <c r="G2894" s="7">
        <f t="shared" si="218"/>
        <v>0</v>
      </c>
      <c r="H2894" s="8">
        <f t="shared" si="219"/>
        <v>0</v>
      </c>
      <c r="I2894" s="9">
        <f t="shared" si="220"/>
        <v>0</v>
      </c>
    </row>
    <row r="2895" spans="1:9" x14ac:dyDescent="0.35">
      <c r="A2895" s="24">
        <v>281447</v>
      </c>
      <c r="B2895" s="24" t="s">
        <v>6581</v>
      </c>
      <c r="C2895" s="20">
        <v>45698</v>
      </c>
      <c r="D2895" s="11">
        <v>67876.146000000008</v>
      </c>
      <c r="E2895" s="27">
        <f t="shared" ref="E2895:E2958" si="221">D2895*1.21*0.92</f>
        <v>75559.725727200013</v>
      </c>
      <c r="F2895" s="6">
        <f t="shared" si="217"/>
        <v>98227.643445360023</v>
      </c>
      <c r="G2895" s="7">
        <f t="shared" si="218"/>
        <v>105783.61601808001</v>
      </c>
      <c r="H2895" s="8">
        <f t="shared" si="219"/>
        <v>113339.58859080002</v>
      </c>
      <c r="I2895" s="9">
        <f t="shared" si="220"/>
        <v>120895.56116352003</v>
      </c>
    </row>
    <row r="2896" spans="1:9" x14ac:dyDescent="0.35">
      <c r="A2896" s="24">
        <v>281448</v>
      </c>
      <c r="B2896" s="24" t="s">
        <v>6582</v>
      </c>
      <c r="C2896" s="20">
        <v>45698</v>
      </c>
      <c r="D2896" s="11">
        <v>69662.034000000014</v>
      </c>
      <c r="E2896" s="27">
        <f t="shared" si="221"/>
        <v>77547.776248800015</v>
      </c>
      <c r="F2896" s="6">
        <f t="shared" si="217"/>
        <v>100812.10912344002</v>
      </c>
      <c r="G2896" s="7">
        <f t="shared" si="218"/>
        <v>108566.88674832002</v>
      </c>
      <c r="H2896" s="8">
        <f t="shared" si="219"/>
        <v>116321.66437320002</v>
      </c>
      <c r="I2896" s="9">
        <f t="shared" si="220"/>
        <v>124076.44199808003</v>
      </c>
    </row>
    <row r="2897" spans="1:9" x14ac:dyDescent="0.35">
      <c r="A2897" s="24">
        <v>281449</v>
      </c>
      <c r="B2897" s="24" t="s">
        <v>6583</v>
      </c>
      <c r="C2897" s="20">
        <v>45698</v>
      </c>
      <c r="D2897" s="11">
        <v>87746.906000000017</v>
      </c>
      <c r="E2897" s="27">
        <f t="shared" si="221"/>
        <v>97679.855759200029</v>
      </c>
      <c r="F2897" s="6">
        <f t="shared" si="217"/>
        <v>126983.81248696004</v>
      </c>
      <c r="G2897" s="7">
        <f t="shared" si="218"/>
        <v>136751.79806288003</v>
      </c>
      <c r="H2897" s="8">
        <f t="shared" si="219"/>
        <v>146519.78363880003</v>
      </c>
      <c r="I2897" s="9">
        <f t="shared" si="220"/>
        <v>156287.76921472006</v>
      </c>
    </row>
    <row r="2898" spans="1:9" ht="18" x14ac:dyDescent="0.4">
      <c r="A2898" s="24"/>
      <c r="B2898" s="19" t="s">
        <v>6584</v>
      </c>
      <c r="D2898" s="11">
        <v>0</v>
      </c>
      <c r="E2898" s="27">
        <f t="shared" si="221"/>
        <v>0</v>
      </c>
      <c r="F2898" s="6">
        <f t="shared" si="217"/>
        <v>0</v>
      </c>
      <c r="G2898" s="7">
        <f t="shared" si="218"/>
        <v>0</v>
      </c>
      <c r="H2898" s="8">
        <f t="shared" si="219"/>
        <v>0</v>
      </c>
      <c r="I2898" s="9">
        <f t="shared" si="220"/>
        <v>0</v>
      </c>
    </row>
    <row r="2899" spans="1:9" x14ac:dyDescent="0.35">
      <c r="A2899" s="24">
        <v>281444</v>
      </c>
      <c r="B2899" s="24" t="s">
        <v>6585</v>
      </c>
      <c r="C2899" s="20">
        <v>45698</v>
      </c>
      <c r="D2899" s="11">
        <v>67876.146000000008</v>
      </c>
      <c r="E2899" s="27">
        <f t="shared" si="221"/>
        <v>75559.725727200013</v>
      </c>
      <c r="F2899" s="6">
        <f t="shared" si="217"/>
        <v>98227.643445360023</v>
      </c>
      <c r="G2899" s="7">
        <f t="shared" si="218"/>
        <v>105783.61601808001</v>
      </c>
      <c r="H2899" s="8">
        <f t="shared" si="219"/>
        <v>113339.58859080002</v>
      </c>
      <c r="I2899" s="9">
        <f t="shared" si="220"/>
        <v>120895.56116352003</v>
      </c>
    </row>
    <row r="2900" spans="1:9" x14ac:dyDescent="0.35">
      <c r="A2900" s="24">
        <v>281445</v>
      </c>
      <c r="B2900" s="24" t="s">
        <v>6586</v>
      </c>
      <c r="C2900" s="20">
        <v>45698</v>
      </c>
      <c r="D2900" s="11">
        <v>69662.034000000014</v>
      </c>
      <c r="E2900" s="27">
        <f t="shared" si="221"/>
        <v>77547.776248800015</v>
      </c>
      <c r="F2900" s="6">
        <f t="shared" si="217"/>
        <v>100812.10912344002</v>
      </c>
      <c r="G2900" s="7">
        <f t="shared" si="218"/>
        <v>108566.88674832002</v>
      </c>
      <c r="H2900" s="8">
        <f t="shared" si="219"/>
        <v>116321.66437320002</v>
      </c>
      <c r="I2900" s="9">
        <f t="shared" si="220"/>
        <v>124076.44199808003</v>
      </c>
    </row>
    <row r="2901" spans="1:9" x14ac:dyDescent="0.35">
      <c r="A2901" s="24">
        <v>281446</v>
      </c>
      <c r="B2901" s="24" t="s">
        <v>6587</v>
      </c>
      <c r="C2901" s="20">
        <v>45698</v>
      </c>
      <c r="D2901" s="11">
        <v>87746.906000000017</v>
      </c>
      <c r="E2901" s="27">
        <f t="shared" si="221"/>
        <v>97679.855759200029</v>
      </c>
      <c r="F2901" s="6">
        <f t="shared" si="217"/>
        <v>126983.81248696004</v>
      </c>
      <c r="G2901" s="7">
        <f t="shared" si="218"/>
        <v>136751.79806288003</v>
      </c>
      <c r="H2901" s="8">
        <f t="shared" si="219"/>
        <v>146519.78363880003</v>
      </c>
      <c r="I2901" s="9">
        <f t="shared" si="220"/>
        <v>156287.76921472006</v>
      </c>
    </row>
    <row r="2902" spans="1:9" ht="15.75" customHeight="1" x14ac:dyDescent="0.4">
      <c r="B2902" s="19" t="s">
        <v>281</v>
      </c>
      <c r="D2902" s="11">
        <v>0</v>
      </c>
      <c r="E2902" s="27">
        <f t="shared" si="221"/>
        <v>0</v>
      </c>
      <c r="F2902" s="6">
        <f t="shared" si="217"/>
        <v>0</v>
      </c>
      <c r="G2902" s="7">
        <f t="shared" si="218"/>
        <v>0</v>
      </c>
      <c r="H2902" s="8">
        <f t="shared" si="219"/>
        <v>0</v>
      </c>
      <c r="I2902" s="9">
        <f t="shared" si="220"/>
        <v>0</v>
      </c>
    </row>
    <row r="2903" spans="1:9" x14ac:dyDescent="0.35">
      <c r="A2903" s="24" t="s">
        <v>282</v>
      </c>
      <c r="B2903" s="18" t="s">
        <v>404</v>
      </c>
      <c r="C2903" s="20">
        <v>45391</v>
      </c>
      <c r="D2903" s="11">
        <v>1560</v>
      </c>
      <c r="E2903" s="27">
        <f t="shared" si="221"/>
        <v>1736.5920000000001</v>
      </c>
      <c r="F2903" s="6">
        <f t="shared" si="217"/>
        <v>2257.5696000000003</v>
      </c>
      <c r="G2903" s="7">
        <f t="shared" si="218"/>
        <v>2431.2287999999999</v>
      </c>
      <c r="H2903" s="8">
        <f t="shared" si="219"/>
        <v>2604.8879999999999</v>
      </c>
      <c r="I2903" s="9">
        <f t="shared" si="220"/>
        <v>2778.5472000000004</v>
      </c>
    </row>
    <row r="2904" spans="1:9" x14ac:dyDescent="0.35">
      <c r="A2904" s="24" t="s">
        <v>406</v>
      </c>
      <c r="B2904" s="18" t="s">
        <v>405</v>
      </c>
      <c r="C2904" s="20">
        <v>45391</v>
      </c>
      <c r="D2904" s="11">
        <v>1560</v>
      </c>
      <c r="E2904" s="27">
        <f t="shared" si="221"/>
        <v>1736.5920000000001</v>
      </c>
      <c r="F2904" s="6">
        <f t="shared" si="217"/>
        <v>2257.5696000000003</v>
      </c>
      <c r="G2904" s="7">
        <f t="shared" si="218"/>
        <v>2431.2287999999999</v>
      </c>
      <c r="H2904" s="8">
        <f t="shared" si="219"/>
        <v>2604.8879999999999</v>
      </c>
      <c r="I2904" s="9">
        <f t="shared" si="220"/>
        <v>2778.5472000000004</v>
      </c>
    </row>
    <row r="2905" spans="1:9" ht="15.75" customHeight="1" x14ac:dyDescent="0.4">
      <c r="B2905" s="19" t="s">
        <v>4559</v>
      </c>
      <c r="D2905" s="11">
        <v>0</v>
      </c>
      <c r="E2905" s="27">
        <f t="shared" si="221"/>
        <v>0</v>
      </c>
      <c r="F2905" s="6">
        <f t="shared" si="217"/>
        <v>0</v>
      </c>
      <c r="G2905" s="7">
        <f t="shared" si="218"/>
        <v>0</v>
      </c>
      <c r="H2905" s="8">
        <f t="shared" si="219"/>
        <v>0</v>
      </c>
      <c r="I2905" s="9">
        <f t="shared" si="220"/>
        <v>0</v>
      </c>
    </row>
    <row r="2906" spans="1:9" x14ac:dyDescent="0.35">
      <c r="A2906" s="24" t="s">
        <v>3010</v>
      </c>
      <c r="B2906" s="18" t="s">
        <v>561</v>
      </c>
      <c r="C2906" s="20">
        <v>45471</v>
      </c>
      <c r="D2906" s="11">
        <v>2682.42</v>
      </c>
      <c r="E2906" s="27">
        <f t="shared" si="221"/>
        <v>2986.0699440000003</v>
      </c>
      <c r="F2906" s="6">
        <f t="shared" si="217"/>
        <v>3881.8909272000005</v>
      </c>
      <c r="G2906" s="7">
        <f t="shared" si="218"/>
        <v>4180.4979216000002</v>
      </c>
      <c r="H2906" s="8">
        <f t="shared" si="219"/>
        <v>4479.1049160000002</v>
      </c>
      <c r="I2906" s="9">
        <f t="shared" si="220"/>
        <v>4777.7119104000003</v>
      </c>
    </row>
    <row r="2907" spans="1:9" x14ac:dyDescent="0.35">
      <c r="A2907" s="24" t="s">
        <v>3011</v>
      </c>
      <c r="B2907" s="18" t="s">
        <v>562</v>
      </c>
      <c r="C2907" s="20">
        <v>45471</v>
      </c>
      <c r="D2907" s="11">
        <v>3656.5099999999998</v>
      </c>
      <c r="E2907" s="27">
        <f t="shared" si="221"/>
        <v>4070.4269319999999</v>
      </c>
      <c r="F2907" s="6">
        <f t="shared" si="217"/>
        <v>5291.5550116000004</v>
      </c>
      <c r="G2907" s="7">
        <f t="shared" si="218"/>
        <v>5698.5977047999995</v>
      </c>
      <c r="H2907" s="8">
        <f t="shared" si="219"/>
        <v>6105.6403979999995</v>
      </c>
      <c r="I2907" s="9">
        <f t="shared" si="220"/>
        <v>6512.6830912000005</v>
      </c>
    </row>
    <row r="2908" spans="1:9" x14ac:dyDescent="0.35">
      <c r="A2908" s="24" t="s">
        <v>3012</v>
      </c>
      <c r="B2908" s="18" t="s">
        <v>563</v>
      </c>
      <c r="C2908" s="20">
        <v>45471</v>
      </c>
      <c r="D2908" s="11">
        <v>6094.01</v>
      </c>
      <c r="E2908" s="27">
        <f t="shared" si="221"/>
        <v>6783.8519319999996</v>
      </c>
      <c r="F2908" s="6">
        <f t="shared" si="217"/>
        <v>8819.0075115999989</v>
      </c>
      <c r="G2908" s="7">
        <f t="shared" si="218"/>
        <v>9497.3927047999987</v>
      </c>
      <c r="H2908" s="8">
        <f t="shared" si="219"/>
        <v>10175.777898</v>
      </c>
      <c r="I2908" s="9">
        <f t="shared" si="220"/>
        <v>10854.1630912</v>
      </c>
    </row>
    <row r="2909" spans="1:9" ht="18" x14ac:dyDescent="0.4">
      <c r="B2909" s="19" t="s">
        <v>4560</v>
      </c>
      <c r="D2909" s="11">
        <v>0</v>
      </c>
      <c r="E2909" s="27">
        <f t="shared" si="221"/>
        <v>0</v>
      </c>
      <c r="F2909" s="6">
        <f t="shared" si="217"/>
        <v>0</v>
      </c>
      <c r="G2909" s="7">
        <f t="shared" si="218"/>
        <v>0</v>
      </c>
      <c r="H2909" s="8">
        <f t="shared" si="219"/>
        <v>0</v>
      </c>
      <c r="I2909" s="9">
        <f t="shared" si="220"/>
        <v>0</v>
      </c>
    </row>
    <row r="2910" spans="1:9" x14ac:dyDescent="0.35">
      <c r="A2910" s="24" t="s">
        <v>4561</v>
      </c>
      <c r="B2910" s="18" t="s">
        <v>4809</v>
      </c>
      <c r="C2910" s="20">
        <v>45726</v>
      </c>
      <c r="D2910" s="11">
        <v>3846.2775000000001</v>
      </c>
      <c r="E2910" s="27">
        <f t="shared" si="221"/>
        <v>4281.6761130000004</v>
      </c>
      <c r="F2910" s="6">
        <f t="shared" si="217"/>
        <v>5566.1789469000005</v>
      </c>
      <c r="G2910" s="7">
        <f t="shared" si="218"/>
        <v>5994.3465581999999</v>
      </c>
      <c r="H2910" s="8">
        <f t="shared" si="219"/>
        <v>6422.5141695000002</v>
      </c>
      <c r="I2910" s="9">
        <f t="shared" si="220"/>
        <v>6850.6817808000014</v>
      </c>
    </row>
    <row r="2911" spans="1:9" x14ac:dyDescent="0.35">
      <c r="A2911" s="24" t="s">
        <v>4562</v>
      </c>
      <c r="B2911" s="18" t="s">
        <v>4810</v>
      </c>
      <c r="C2911" s="20">
        <v>45726</v>
      </c>
      <c r="D2911" s="11">
        <v>5432.7350000000006</v>
      </c>
      <c r="E2911" s="27">
        <f t="shared" si="221"/>
        <v>6047.7206020000012</v>
      </c>
      <c r="F2911" s="6">
        <f t="shared" si="217"/>
        <v>7862.036782600002</v>
      </c>
      <c r="G2911" s="7">
        <f t="shared" si="218"/>
        <v>8466.808842800001</v>
      </c>
      <c r="H2911" s="8">
        <f t="shared" si="219"/>
        <v>9071.5809030000019</v>
      </c>
      <c r="I2911" s="9">
        <f t="shared" si="220"/>
        <v>9676.3529632000027</v>
      </c>
    </row>
    <row r="2912" spans="1:9" x14ac:dyDescent="0.35">
      <c r="A2912" s="24" t="s">
        <v>4563</v>
      </c>
      <c r="B2912" s="18" t="s">
        <v>4811</v>
      </c>
      <c r="C2912" s="20">
        <v>45726</v>
      </c>
      <c r="D2912" s="11">
        <v>8250.9797999999992</v>
      </c>
      <c r="E2912" s="27">
        <f t="shared" si="221"/>
        <v>9184.9907133599991</v>
      </c>
      <c r="F2912" s="6">
        <f t="shared" si="217"/>
        <v>11940.487927368</v>
      </c>
      <c r="G2912" s="7">
        <f t="shared" si="218"/>
        <v>12858.986998703998</v>
      </c>
      <c r="H2912" s="8">
        <f t="shared" si="219"/>
        <v>13777.486070039999</v>
      </c>
      <c r="I2912" s="9">
        <f t="shared" si="220"/>
        <v>14695.985141375999</v>
      </c>
    </row>
    <row r="2913" spans="1:9" x14ac:dyDescent="0.35">
      <c r="A2913" s="24" t="s">
        <v>3013</v>
      </c>
      <c r="B2913" s="18" t="s">
        <v>4812</v>
      </c>
      <c r="C2913" s="20">
        <v>45726</v>
      </c>
      <c r="D2913" s="11">
        <v>12592.893300000002</v>
      </c>
      <c r="E2913" s="27">
        <f t="shared" si="221"/>
        <v>14018.408821560002</v>
      </c>
      <c r="F2913" s="6">
        <f t="shared" si="217"/>
        <v>18223.931468028004</v>
      </c>
      <c r="G2913" s="7">
        <f t="shared" si="218"/>
        <v>19625.772350184001</v>
      </c>
      <c r="H2913" s="8">
        <f t="shared" si="219"/>
        <v>21027.613232340002</v>
      </c>
      <c r="I2913" s="9">
        <f t="shared" si="220"/>
        <v>22429.454114496006</v>
      </c>
    </row>
    <row r="2914" spans="1:9" x14ac:dyDescent="0.35">
      <c r="A2914" s="24" t="s">
        <v>3014</v>
      </c>
      <c r="B2914" s="18" t="s">
        <v>4813</v>
      </c>
      <c r="C2914" s="20">
        <v>45726</v>
      </c>
      <c r="D2914" s="11">
        <v>20472.908300000003</v>
      </c>
      <c r="E2914" s="27">
        <f t="shared" si="221"/>
        <v>22790.441519560001</v>
      </c>
      <c r="F2914" s="6">
        <f t="shared" si="217"/>
        <v>29627.573975428004</v>
      </c>
      <c r="G2914" s="7">
        <f t="shared" si="218"/>
        <v>31906.618127384001</v>
      </c>
      <c r="H2914" s="8">
        <f t="shared" si="219"/>
        <v>34185.662279340002</v>
      </c>
      <c r="I2914" s="9">
        <f t="shared" si="220"/>
        <v>36464.706431296006</v>
      </c>
    </row>
    <row r="2915" spans="1:9" x14ac:dyDescent="0.35">
      <c r="A2915" s="24" t="s">
        <v>3015</v>
      </c>
      <c r="B2915" s="18" t="s">
        <v>4814</v>
      </c>
      <c r="C2915" s="20">
        <v>45726</v>
      </c>
      <c r="D2915" s="11">
        <v>31333.938999999998</v>
      </c>
      <c r="E2915" s="27">
        <f t="shared" si="221"/>
        <v>34880.940894799998</v>
      </c>
      <c r="F2915" s="6">
        <f t="shared" si="217"/>
        <v>45345.22316324</v>
      </c>
      <c r="G2915" s="7">
        <f t="shared" si="218"/>
        <v>48833.317252719993</v>
      </c>
      <c r="H2915" s="8">
        <f t="shared" si="219"/>
        <v>52321.411342199994</v>
      </c>
      <c r="I2915" s="9">
        <f t="shared" si="220"/>
        <v>55809.505431680001</v>
      </c>
    </row>
    <row r="2916" spans="1:9" ht="15.75" customHeight="1" x14ac:dyDescent="0.4">
      <c r="B2916" s="19" t="s">
        <v>650</v>
      </c>
      <c r="D2916" s="11">
        <v>0</v>
      </c>
      <c r="E2916" s="27">
        <f t="shared" si="221"/>
        <v>0</v>
      </c>
      <c r="F2916" s="6">
        <f t="shared" si="217"/>
        <v>0</v>
      </c>
      <c r="G2916" s="7">
        <f t="shared" si="218"/>
        <v>0</v>
      </c>
      <c r="H2916" s="8">
        <f t="shared" si="219"/>
        <v>0</v>
      </c>
      <c r="I2916" s="9">
        <f t="shared" si="220"/>
        <v>0</v>
      </c>
    </row>
    <row r="2917" spans="1:9" x14ac:dyDescent="0.35">
      <c r="A2917" s="24" t="s">
        <v>3016</v>
      </c>
      <c r="B2917" s="18" t="s">
        <v>564</v>
      </c>
      <c r="C2917" s="20">
        <v>45677</v>
      </c>
      <c r="D2917" s="11">
        <v>2008.1265750000002</v>
      </c>
      <c r="E2917" s="27">
        <f t="shared" si="221"/>
        <v>2235.4465032900002</v>
      </c>
      <c r="F2917" s="6">
        <f t="shared" si="217"/>
        <v>2906.0804542770006</v>
      </c>
      <c r="G2917" s="7">
        <f t="shared" si="218"/>
        <v>3129.6251046060001</v>
      </c>
      <c r="H2917" s="8">
        <f t="shared" si="219"/>
        <v>3353.1697549350001</v>
      </c>
      <c r="I2917" s="9">
        <f t="shared" si="220"/>
        <v>3576.7144052640006</v>
      </c>
    </row>
    <row r="2918" spans="1:9" x14ac:dyDescent="0.35">
      <c r="A2918" s="24" t="s">
        <v>3017</v>
      </c>
      <c r="B2918" s="18" t="s">
        <v>565</v>
      </c>
      <c r="C2918" s="20">
        <v>45677</v>
      </c>
      <c r="D2918" s="11">
        <v>2524.383225</v>
      </c>
      <c r="E2918" s="27">
        <f t="shared" si="221"/>
        <v>2810.1434060700003</v>
      </c>
      <c r="F2918" s="6">
        <f t="shared" si="217"/>
        <v>3653.1864278910007</v>
      </c>
      <c r="G2918" s="7">
        <f t="shared" si="218"/>
        <v>3934.2007684980003</v>
      </c>
      <c r="H2918" s="8">
        <f t="shared" si="219"/>
        <v>4215.215109105</v>
      </c>
      <c r="I2918" s="9">
        <f t="shared" si="220"/>
        <v>4496.229449712001</v>
      </c>
    </row>
    <row r="2919" spans="1:9" x14ac:dyDescent="0.35">
      <c r="A2919" s="24" t="s">
        <v>3018</v>
      </c>
      <c r="B2919" s="18" t="s">
        <v>566</v>
      </c>
      <c r="C2919" s="20">
        <v>45677</v>
      </c>
      <c r="D2919" s="12">
        <v>3809.1485250000005</v>
      </c>
      <c r="E2919" s="27">
        <f t="shared" si="221"/>
        <v>4240.344138030001</v>
      </c>
      <c r="F2919" s="6">
        <f t="shared" si="217"/>
        <v>5512.4473794390015</v>
      </c>
      <c r="G2919" s="7">
        <f t="shared" si="218"/>
        <v>5936.481793242001</v>
      </c>
      <c r="H2919" s="8">
        <f t="shared" si="219"/>
        <v>6360.5162070450015</v>
      </c>
      <c r="I2919" s="9">
        <f t="shared" si="220"/>
        <v>6784.5506208480019</v>
      </c>
    </row>
    <row r="2920" spans="1:9" x14ac:dyDescent="0.35">
      <c r="A2920" s="24" t="s">
        <v>3019</v>
      </c>
      <c r="B2920" s="18" t="s">
        <v>567</v>
      </c>
      <c r="C2920" s="20">
        <v>45677</v>
      </c>
      <c r="D2920" s="11">
        <v>8919.6880500000007</v>
      </c>
      <c r="E2920" s="27">
        <f t="shared" si="221"/>
        <v>9929.3967372600018</v>
      </c>
      <c r="F2920" s="6">
        <f t="shared" si="217"/>
        <v>12908.215758438002</v>
      </c>
      <c r="G2920" s="7">
        <f t="shared" si="218"/>
        <v>13901.155432164001</v>
      </c>
      <c r="H2920" s="8">
        <f t="shared" si="219"/>
        <v>14894.095105890003</v>
      </c>
      <c r="I2920" s="9">
        <f t="shared" si="220"/>
        <v>15887.034779616004</v>
      </c>
    </row>
    <row r="2921" spans="1:9" x14ac:dyDescent="0.35">
      <c r="A2921" s="24" t="s">
        <v>3020</v>
      </c>
      <c r="B2921" s="18" t="s">
        <v>568</v>
      </c>
      <c r="C2921" s="20">
        <v>45677</v>
      </c>
      <c r="D2921" s="11">
        <v>11335.144275000001</v>
      </c>
      <c r="E2921" s="27">
        <f t="shared" si="221"/>
        <v>12618.282606930001</v>
      </c>
      <c r="F2921" s="6">
        <f t="shared" si="217"/>
        <v>16403.767389009001</v>
      </c>
      <c r="G2921" s="7">
        <f t="shared" si="218"/>
        <v>17665.595649702002</v>
      </c>
      <c r="H2921" s="8">
        <f t="shared" si="219"/>
        <v>18927.423910395002</v>
      </c>
      <c r="I2921" s="9">
        <f t="shared" si="220"/>
        <v>20189.252171088003</v>
      </c>
    </row>
    <row r="2922" spans="1:9" x14ac:dyDescent="0.35">
      <c r="A2922" s="24" t="s">
        <v>3021</v>
      </c>
      <c r="B2922" s="18" t="s">
        <v>569</v>
      </c>
      <c r="C2922" s="20">
        <v>45677</v>
      </c>
      <c r="D2922" s="11">
        <v>14378.650650000001</v>
      </c>
      <c r="E2922" s="27">
        <f t="shared" si="221"/>
        <v>16006.313903580001</v>
      </c>
      <c r="F2922" s="6">
        <f t="shared" si="217"/>
        <v>20808.208074654001</v>
      </c>
      <c r="G2922" s="7">
        <f t="shared" si="218"/>
        <v>22408.839465011999</v>
      </c>
      <c r="H2922" s="8">
        <f t="shared" si="219"/>
        <v>24009.470855370004</v>
      </c>
      <c r="I2922" s="9">
        <f t="shared" si="220"/>
        <v>25610.102245728005</v>
      </c>
    </row>
    <row r="2923" spans="1:9" x14ac:dyDescent="0.35">
      <c r="A2923" s="24" t="s">
        <v>5137</v>
      </c>
      <c r="B2923" s="18" t="s">
        <v>5141</v>
      </c>
      <c r="C2923" s="20">
        <v>45677</v>
      </c>
      <c r="D2923" s="11">
        <v>8919.6880500000007</v>
      </c>
      <c r="E2923" s="27">
        <f t="shared" si="221"/>
        <v>9929.3967372600018</v>
      </c>
      <c r="F2923" s="6">
        <f t="shared" si="217"/>
        <v>12908.215758438002</v>
      </c>
      <c r="G2923" s="7">
        <f t="shared" si="218"/>
        <v>13901.155432164001</v>
      </c>
      <c r="H2923" s="8">
        <f t="shared" si="219"/>
        <v>14894.095105890003</v>
      </c>
      <c r="I2923" s="9">
        <f t="shared" si="220"/>
        <v>15887.034779616004</v>
      </c>
    </row>
    <row r="2924" spans="1:9" x14ac:dyDescent="0.35">
      <c r="A2924" s="24" t="s">
        <v>5138</v>
      </c>
      <c r="B2924" s="18" t="s">
        <v>5140</v>
      </c>
      <c r="C2924" s="20">
        <v>45677</v>
      </c>
      <c r="D2924" s="11">
        <v>11335.144275000001</v>
      </c>
      <c r="E2924" s="27">
        <f t="shared" si="221"/>
        <v>12618.282606930001</v>
      </c>
      <c r="F2924" s="6">
        <f t="shared" si="217"/>
        <v>16403.767389009001</v>
      </c>
      <c r="G2924" s="7">
        <f t="shared" si="218"/>
        <v>17665.595649702002</v>
      </c>
      <c r="H2924" s="8">
        <f t="shared" si="219"/>
        <v>18927.423910395002</v>
      </c>
      <c r="I2924" s="9">
        <f t="shared" si="220"/>
        <v>20189.252171088003</v>
      </c>
    </row>
    <row r="2925" spans="1:9" x14ac:dyDescent="0.35">
      <c r="A2925" s="24" t="s">
        <v>5139</v>
      </c>
      <c r="B2925" s="18" t="s">
        <v>5142</v>
      </c>
      <c r="C2925" s="20">
        <v>45677</v>
      </c>
      <c r="D2925" s="11">
        <v>14378.650650000001</v>
      </c>
      <c r="E2925" s="27">
        <f t="shared" si="221"/>
        <v>16006.313903580001</v>
      </c>
      <c r="F2925" s="6">
        <f t="shared" si="217"/>
        <v>20808.208074654001</v>
      </c>
      <c r="G2925" s="7">
        <f t="shared" si="218"/>
        <v>22408.839465011999</v>
      </c>
      <c r="H2925" s="8">
        <f t="shared" si="219"/>
        <v>24009.470855370004</v>
      </c>
      <c r="I2925" s="9">
        <f t="shared" si="220"/>
        <v>25610.102245728005</v>
      </c>
    </row>
    <row r="2926" spans="1:9" ht="18" x14ac:dyDescent="0.4">
      <c r="B2926" s="19" t="s">
        <v>4697</v>
      </c>
      <c r="D2926" s="11">
        <v>0</v>
      </c>
      <c r="E2926" s="27">
        <f t="shared" si="221"/>
        <v>0</v>
      </c>
      <c r="F2926" s="6">
        <f t="shared" si="217"/>
        <v>0</v>
      </c>
      <c r="G2926" s="7">
        <f t="shared" si="218"/>
        <v>0</v>
      </c>
      <c r="H2926" s="8">
        <f t="shared" si="219"/>
        <v>0</v>
      </c>
      <c r="I2926" s="9">
        <f t="shared" si="220"/>
        <v>0</v>
      </c>
    </row>
    <row r="2927" spans="1:9" x14ac:dyDescent="0.35">
      <c r="A2927" s="24" t="s">
        <v>4689</v>
      </c>
      <c r="B2927" s="18" t="s">
        <v>4693</v>
      </c>
      <c r="C2927" s="20">
        <v>45363</v>
      </c>
      <c r="D2927" s="11">
        <v>0</v>
      </c>
      <c r="E2927" s="27">
        <f t="shared" si="221"/>
        <v>0</v>
      </c>
      <c r="F2927" s="6">
        <f t="shared" si="217"/>
        <v>0</v>
      </c>
      <c r="G2927" s="7">
        <f t="shared" si="218"/>
        <v>0</v>
      </c>
      <c r="H2927" s="8">
        <f t="shared" si="219"/>
        <v>0</v>
      </c>
      <c r="I2927" s="9">
        <f t="shared" si="220"/>
        <v>0</v>
      </c>
    </row>
    <row r="2928" spans="1:9" x14ac:dyDescent="0.35">
      <c r="A2928" s="24" t="s">
        <v>4690</v>
      </c>
      <c r="B2928" s="18" t="s">
        <v>4694</v>
      </c>
      <c r="C2928" s="20">
        <v>45363</v>
      </c>
      <c r="D2928" s="11">
        <v>5387.470302771605</v>
      </c>
      <c r="E2928" s="27">
        <f t="shared" si="221"/>
        <v>5997.3319410453505</v>
      </c>
      <c r="F2928" s="6">
        <f t="shared" si="217"/>
        <v>7796.5315233589563</v>
      </c>
      <c r="G2928" s="7">
        <f t="shared" si="218"/>
        <v>8396.2647174634894</v>
      </c>
      <c r="H2928" s="8">
        <f t="shared" si="219"/>
        <v>8995.9979115680253</v>
      </c>
      <c r="I2928" s="9">
        <f t="shared" si="220"/>
        <v>9595.7311056725612</v>
      </c>
    </row>
    <row r="2929" spans="1:9" x14ac:dyDescent="0.35">
      <c r="A2929" s="24" t="s">
        <v>4691</v>
      </c>
      <c r="B2929" s="18" t="s">
        <v>4695</v>
      </c>
      <c r="C2929" s="20">
        <v>45363</v>
      </c>
      <c r="D2929" s="11">
        <v>7088.7767141731638</v>
      </c>
      <c r="E2929" s="27">
        <f t="shared" si="221"/>
        <v>7891.2262382175668</v>
      </c>
      <c r="F2929" s="6">
        <f t="shared" si="217"/>
        <v>10258.594109682837</v>
      </c>
      <c r="G2929" s="7">
        <f t="shared" si="218"/>
        <v>11047.716733504592</v>
      </c>
      <c r="H2929" s="8">
        <f t="shared" si="219"/>
        <v>11836.839357326349</v>
      </c>
      <c r="I2929" s="9">
        <f t="shared" si="220"/>
        <v>12625.961981148108</v>
      </c>
    </row>
    <row r="2930" spans="1:9" x14ac:dyDescent="0.35">
      <c r="A2930" s="24" t="s">
        <v>4692</v>
      </c>
      <c r="B2930" s="18" t="s">
        <v>4696</v>
      </c>
      <c r="C2930" s="20">
        <v>45363</v>
      </c>
      <c r="D2930" s="11">
        <v>8807.2680388212066</v>
      </c>
      <c r="E2930" s="27">
        <f t="shared" si="221"/>
        <v>9804.2507808157661</v>
      </c>
      <c r="F2930" s="6">
        <f t="shared" si="217"/>
        <v>12745.526015060497</v>
      </c>
      <c r="G2930" s="7">
        <f t="shared" si="218"/>
        <v>13725.951093142072</v>
      </c>
      <c r="H2930" s="8">
        <f t="shared" si="219"/>
        <v>14706.376171223648</v>
      </c>
      <c r="I2930" s="9">
        <f t="shared" si="220"/>
        <v>15686.801249305227</v>
      </c>
    </row>
    <row r="2931" spans="1:9" ht="15.75" customHeight="1" x14ac:dyDescent="0.4">
      <c r="B2931" s="19" t="s">
        <v>651</v>
      </c>
      <c r="D2931" s="11">
        <v>0</v>
      </c>
      <c r="E2931" s="27">
        <f t="shared" si="221"/>
        <v>0</v>
      </c>
      <c r="F2931" s="6">
        <f t="shared" si="217"/>
        <v>0</v>
      </c>
      <c r="G2931" s="7">
        <f t="shared" si="218"/>
        <v>0</v>
      </c>
      <c r="H2931" s="8">
        <f t="shared" si="219"/>
        <v>0</v>
      </c>
      <c r="I2931" s="9">
        <f t="shared" si="220"/>
        <v>0</v>
      </c>
    </row>
    <row r="2932" spans="1:9" x14ac:dyDescent="0.35">
      <c r="A2932" s="24" t="s">
        <v>3022</v>
      </c>
      <c r="B2932" s="18" t="s">
        <v>570</v>
      </c>
      <c r="C2932" s="20">
        <v>45726</v>
      </c>
      <c r="D2932" s="11">
        <v>952.75</v>
      </c>
      <c r="E2932" s="27">
        <f t="shared" si="221"/>
        <v>1060.6013</v>
      </c>
      <c r="F2932" s="6">
        <f t="shared" si="217"/>
        <v>1378.78169</v>
      </c>
      <c r="G2932" s="7">
        <f t="shared" si="218"/>
        <v>1484.8418199999999</v>
      </c>
      <c r="H2932" s="8">
        <f t="shared" si="219"/>
        <v>1590.9019499999999</v>
      </c>
      <c r="I2932" s="9">
        <f t="shared" si="220"/>
        <v>1696.9620800000002</v>
      </c>
    </row>
    <row r="2933" spans="1:9" x14ac:dyDescent="0.35">
      <c r="A2933" s="24" t="s">
        <v>3023</v>
      </c>
      <c r="B2933" s="18" t="s">
        <v>571</v>
      </c>
      <c r="C2933" s="20">
        <v>45726</v>
      </c>
      <c r="D2933" s="11">
        <v>1298.9640804898866</v>
      </c>
      <c r="E2933" s="27">
        <f t="shared" si="221"/>
        <v>1446.0068144013419</v>
      </c>
      <c r="F2933" s="6">
        <f t="shared" si="217"/>
        <v>1879.8088587217446</v>
      </c>
      <c r="G2933" s="7">
        <f t="shared" si="218"/>
        <v>2024.4095401618786</v>
      </c>
      <c r="H2933" s="8">
        <f t="shared" si="219"/>
        <v>2169.0102216020127</v>
      </c>
      <c r="I2933" s="9">
        <f t="shared" si="220"/>
        <v>2313.6109030421471</v>
      </c>
    </row>
    <row r="2934" spans="1:9" x14ac:dyDescent="0.35">
      <c r="A2934" s="24" t="s">
        <v>3024</v>
      </c>
      <c r="B2934" s="18" t="s">
        <v>720</v>
      </c>
      <c r="C2934" s="20">
        <v>45726</v>
      </c>
      <c r="D2934" s="11">
        <v>2200.5809288335377</v>
      </c>
      <c r="E2934" s="27">
        <f t="shared" si="221"/>
        <v>2449.6866899774946</v>
      </c>
      <c r="F2934" s="6">
        <f t="shared" si="217"/>
        <v>3184.592696970743</v>
      </c>
      <c r="G2934" s="7">
        <f t="shared" si="218"/>
        <v>3429.5613659684923</v>
      </c>
      <c r="H2934" s="8">
        <f t="shared" si="219"/>
        <v>3674.5300349662421</v>
      </c>
      <c r="I2934" s="9">
        <f t="shared" si="220"/>
        <v>3919.4987039639914</v>
      </c>
    </row>
    <row r="2935" spans="1:9" x14ac:dyDescent="0.35">
      <c r="A2935" s="24" t="s">
        <v>3025</v>
      </c>
      <c r="B2935" s="18" t="s">
        <v>721</v>
      </c>
      <c r="C2935" s="20">
        <v>45726</v>
      </c>
      <c r="D2935" s="11">
        <v>4503.6546408812355</v>
      </c>
      <c r="E2935" s="27">
        <f t="shared" si="221"/>
        <v>5013.4683462289913</v>
      </c>
      <c r="F2935" s="6">
        <f t="shared" si="217"/>
        <v>6517.508850097689</v>
      </c>
      <c r="G2935" s="7">
        <f t="shared" si="218"/>
        <v>7018.8556847205873</v>
      </c>
      <c r="H2935" s="8">
        <f t="shared" si="219"/>
        <v>7520.2025193434874</v>
      </c>
      <c r="I2935" s="9">
        <f t="shared" si="220"/>
        <v>8021.5493539663867</v>
      </c>
    </row>
    <row r="2936" spans="1:9" x14ac:dyDescent="0.35">
      <c r="A2936" s="24" t="s">
        <v>3026</v>
      </c>
      <c r="B2936" s="18" t="s">
        <v>2297</v>
      </c>
      <c r="C2936" s="20">
        <v>45726</v>
      </c>
      <c r="D2936" s="11">
        <v>5557.7962404000009</v>
      </c>
      <c r="E2936" s="27">
        <f t="shared" si="221"/>
        <v>6186.9387748132813</v>
      </c>
      <c r="F2936" s="6">
        <f t="shared" si="217"/>
        <v>8043.020407257266</v>
      </c>
      <c r="G2936" s="7">
        <f t="shared" si="218"/>
        <v>8661.7142847385931</v>
      </c>
      <c r="H2936" s="8">
        <f t="shared" si="219"/>
        <v>9280.4081622199228</v>
      </c>
      <c r="I2936" s="9">
        <f t="shared" si="220"/>
        <v>9899.1020397012508</v>
      </c>
    </row>
    <row r="2937" spans="1:9" x14ac:dyDescent="0.35">
      <c r="A2937" s="24" t="s">
        <v>3027</v>
      </c>
      <c r="B2937" s="18" t="s">
        <v>2298</v>
      </c>
      <c r="C2937" s="20">
        <v>45726</v>
      </c>
      <c r="D2937" s="11">
        <v>8237.4687175586987</v>
      </c>
      <c r="E2937" s="27">
        <f t="shared" si="221"/>
        <v>9169.9501763863427</v>
      </c>
      <c r="F2937" s="6">
        <f t="shared" si="217"/>
        <v>11920.935229302246</v>
      </c>
      <c r="G2937" s="7">
        <f t="shared" si="218"/>
        <v>12837.930246940879</v>
      </c>
      <c r="H2937" s="8">
        <f t="shared" si="219"/>
        <v>13754.925264579513</v>
      </c>
      <c r="I2937" s="9">
        <f t="shared" si="220"/>
        <v>14671.920282218149</v>
      </c>
    </row>
    <row r="2938" spans="1:9" ht="15.75" customHeight="1" x14ac:dyDescent="0.4">
      <c r="B2938" s="19" t="s">
        <v>652</v>
      </c>
      <c r="D2938" s="11">
        <v>0</v>
      </c>
      <c r="E2938" s="27">
        <f t="shared" si="221"/>
        <v>0</v>
      </c>
      <c r="F2938" s="6">
        <f t="shared" si="217"/>
        <v>0</v>
      </c>
      <c r="G2938" s="7">
        <f t="shared" si="218"/>
        <v>0</v>
      </c>
      <c r="H2938" s="8">
        <f t="shared" si="219"/>
        <v>0</v>
      </c>
      <c r="I2938" s="9">
        <f t="shared" si="220"/>
        <v>0</v>
      </c>
    </row>
    <row r="2939" spans="1:9" x14ac:dyDescent="0.35">
      <c r="A2939" s="24" t="s">
        <v>3028</v>
      </c>
      <c r="B2939" s="18" t="s">
        <v>684</v>
      </c>
      <c r="C2939" s="20">
        <v>45363</v>
      </c>
      <c r="D2939" s="11">
        <v>0</v>
      </c>
      <c r="E2939" s="27">
        <f t="shared" si="221"/>
        <v>0</v>
      </c>
      <c r="F2939" s="6">
        <f t="shared" si="217"/>
        <v>0</v>
      </c>
      <c r="G2939" s="7">
        <f t="shared" si="218"/>
        <v>0</v>
      </c>
      <c r="H2939" s="8">
        <f t="shared" si="219"/>
        <v>0</v>
      </c>
      <c r="I2939" s="9">
        <f t="shared" si="220"/>
        <v>0</v>
      </c>
    </row>
    <row r="2940" spans="1:9" x14ac:dyDescent="0.35">
      <c r="A2940" s="24" t="s">
        <v>3029</v>
      </c>
      <c r="B2940" s="18" t="s">
        <v>685</v>
      </c>
      <c r="C2940" s="20">
        <v>45363</v>
      </c>
      <c r="D2940" s="11">
        <v>0</v>
      </c>
      <c r="E2940" s="27">
        <f t="shared" si="221"/>
        <v>0</v>
      </c>
      <c r="F2940" s="6">
        <f t="shared" si="217"/>
        <v>0</v>
      </c>
      <c r="G2940" s="7">
        <f t="shared" si="218"/>
        <v>0</v>
      </c>
      <c r="H2940" s="8">
        <f t="shared" si="219"/>
        <v>0</v>
      </c>
      <c r="I2940" s="9">
        <f t="shared" si="220"/>
        <v>0</v>
      </c>
    </row>
    <row r="2941" spans="1:9" x14ac:dyDescent="0.35">
      <c r="A2941" s="24" t="s">
        <v>3030</v>
      </c>
      <c r="B2941" s="18" t="s">
        <v>686</v>
      </c>
      <c r="C2941" s="20">
        <v>45363</v>
      </c>
      <c r="D2941" s="11">
        <v>0</v>
      </c>
      <c r="E2941" s="27">
        <f t="shared" si="221"/>
        <v>0</v>
      </c>
      <c r="F2941" s="6">
        <f t="shared" si="217"/>
        <v>0</v>
      </c>
      <c r="G2941" s="7">
        <f t="shared" si="218"/>
        <v>0</v>
      </c>
      <c r="H2941" s="8">
        <f t="shared" si="219"/>
        <v>0</v>
      </c>
      <c r="I2941" s="9">
        <f t="shared" si="220"/>
        <v>0</v>
      </c>
    </row>
    <row r="2942" spans="1:9" x14ac:dyDescent="0.35">
      <c r="A2942" s="24" t="s">
        <v>3031</v>
      </c>
      <c r="B2942" s="18" t="s">
        <v>687</v>
      </c>
      <c r="C2942" s="20">
        <v>45363</v>
      </c>
      <c r="D2942" s="11">
        <v>0</v>
      </c>
      <c r="E2942" s="27">
        <f t="shared" si="221"/>
        <v>0</v>
      </c>
      <c r="F2942" s="6">
        <f t="shared" si="217"/>
        <v>0</v>
      </c>
      <c r="G2942" s="7">
        <f t="shared" si="218"/>
        <v>0</v>
      </c>
      <c r="H2942" s="8">
        <f t="shared" si="219"/>
        <v>0</v>
      </c>
      <c r="I2942" s="9">
        <f t="shared" si="220"/>
        <v>0</v>
      </c>
    </row>
    <row r="2943" spans="1:9" ht="15.75" customHeight="1" x14ac:dyDescent="0.4">
      <c r="B2943" s="19" t="s">
        <v>653</v>
      </c>
      <c r="D2943" s="11">
        <v>0</v>
      </c>
      <c r="E2943" s="27">
        <f t="shared" si="221"/>
        <v>0</v>
      </c>
      <c r="F2943" s="6">
        <f t="shared" ref="F2943:F3026" si="222">E2943*1.3</f>
        <v>0</v>
      </c>
      <c r="G2943" s="7">
        <f t="shared" ref="G2943:G3026" si="223">E2943*1.4</f>
        <v>0</v>
      </c>
      <c r="H2943" s="8">
        <f t="shared" ref="H2943:H3026" si="224">E2943*1.5</f>
        <v>0</v>
      </c>
      <c r="I2943" s="9">
        <f t="shared" ref="I2943:I3026" si="225">E2943*1.6</f>
        <v>0</v>
      </c>
    </row>
    <row r="2944" spans="1:9" x14ac:dyDescent="0.35">
      <c r="A2944" s="24" t="s">
        <v>3032</v>
      </c>
      <c r="B2944" s="18" t="s">
        <v>688</v>
      </c>
      <c r="C2944" s="20">
        <v>45514</v>
      </c>
      <c r="D2944" s="11">
        <v>9135.8254944462587</v>
      </c>
      <c r="E2944" s="27">
        <f t="shared" si="221"/>
        <v>10170.000940417576</v>
      </c>
      <c r="F2944" s="6">
        <f t="shared" si="222"/>
        <v>13221.001222542849</v>
      </c>
      <c r="G2944" s="7">
        <f t="shared" si="223"/>
        <v>14238.001316584607</v>
      </c>
      <c r="H2944" s="8">
        <f t="shared" si="224"/>
        <v>15255.001410626364</v>
      </c>
      <c r="I2944" s="9">
        <f t="shared" si="225"/>
        <v>16272.001504668122</v>
      </c>
    </row>
    <row r="2945" spans="1:9" x14ac:dyDescent="0.35">
      <c r="A2945" s="24" t="s">
        <v>3033</v>
      </c>
      <c r="B2945" s="18" t="s">
        <v>689</v>
      </c>
      <c r="C2945" s="20">
        <v>45514</v>
      </c>
      <c r="D2945" s="11">
        <v>11623.91</v>
      </c>
      <c r="E2945" s="27">
        <f t="shared" si="221"/>
        <v>12939.736612000001</v>
      </c>
      <c r="F2945" s="6">
        <f t="shared" si="222"/>
        <v>16821.657595600002</v>
      </c>
      <c r="G2945" s="7">
        <f t="shared" si="223"/>
        <v>18115.631256799999</v>
      </c>
      <c r="H2945" s="8">
        <f t="shared" si="224"/>
        <v>19409.604918000001</v>
      </c>
      <c r="I2945" s="9">
        <f t="shared" si="225"/>
        <v>20703.578579200002</v>
      </c>
    </row>
    <row r="2946" spans="1:9" x14ac:dyDescent="0.35">
      <c r="A2946" s="24" t="s">
        <v>3034</v>
      </c>
      <c r="B2946" s="18" t="s">
        <v>690</v>
      </c>
      <c r="C2946" s="20">
        <v>45514</v>
      </c>
      <c r="D2946" s="11">
        <v>28791.692467345794</v>
      </c>
      <c r="E2946" s="27">
        <f t="shared" si="221"/>
        <v>32050.912054649336</v>
      </c>
      <c r="F2946" s="6">
        <f t="shared" si="222"/>
        <v>41666.185671044135</v>
      </c>
      <c r="G2946" s="7">
        <f t="shared" si="223"/>
        <v>44871.276876509066</v>
      </c>
      <c r="H2946" s="8">
        <f t="shared" si="224"/>
        <v>48076.368081974004</v>
      </c>
      <c r="I2946" s="9">
        <f t="shared" si="225"/>
        <v>51281.459287438942</v>
      </c>
    </row>
    <row r="2947" spans="1:9" x14ac:dyDescent="0.35">
      <c r="A2947" s="24" t="s">
        <v>3035</v>
      </c>
      <c r="B2947" s="18" t="s">
        <v>691</v>
      </c>
      <c r="C2947" s="20">
        <v>45514</v>
      </c>
      <c r="D2947" s="11">
        <v>43489.549461165661</v>
      </c>
      <c r="E2947" s="27">
        <f t="shared" si="221"/>
        <v>48412.566460169619</v>
      </c>
      <c r="F2947" s="6">
        <f t="shared" si="222"/>
        <v>62936.336398220505</v>
      </c>
      <c r="G2947" s="7">
        <f t="shared" si="223"/>
        <v>67777.593044237467</v>
      </c>
      <c r="H2947" s="8">
        <f t="shared" si="224"/>
        <v>72618.849690254428</v>
      </c>
      <c r="I2947" s="9">
        <f t="shared" si="225"/>
        <v>77460.10633627139</v>
      </c>
    </row>
    <row r="2948" spans="1:9" x14ac:dyDescent="0.35">
      <c r="A2948" s="24" t="s">
        <v>3036</v>
      </c>
      <c r="B2948" s="18" t="s">
        <v>692</v>
      </c>
      <c r="C2948" s="20">
        <v>45514</v>
      </c>
      <c r="D2948" s="11">
        <v>74168.809179430114</v>
      </c>
      <c r="E2948" s="27">
        <f t="shared" si="221"/>
        <v>82564.718378541613</v>
      </c>
      <c r="F2948" s="6">
        <f t="shared" si="222"/>
        <v>107334.1338921041</v>
      </c>
      <c r="G2948" s="7">
        <f t="shared" si="223"/>
        <v>115590.60572995825</v>
      </c>
      <c r="H2948" s="8">
        <f t="shared" si="224"/>
        <v>123847.07756781242</v>
      </c>
      <c r="I2948" s="9">
        <f t="shared" si="225"/>
        <v>132103.54940566659</v>
      </c>
    </row>
    <row r="2949" spans="1:9" x14ac:dyDescent="0.35">
      <c r="A2949" s="24" t="s">
        <v>3037</v>
      </c>
      <c r="B2949" s="18" t="s">
        <v>693</v>
      </c>
      <c r="C2949" s="20">
        <v>45514</v>
      </c>
      <c r="D2949" s="11">
        <v>124050.91973037356</v>
      </c>
      <c r="E2949" s="27">
        <f t="shared" si="221"/>
        <v>138093.48384385183</v>
      </c>
      <c r="F2949" s="6">
        <f t="shared" si="222"/>
        <v>179521.52899700738</v>
      </c>
      <c r="G2949" s="7">
        <f t="shared" si="223"/>
        <v>193330.87738139255</v>
      </c>
      <c r="H2949" s="8">
        <f t="shared" si="224"/>
        <v>207140.22576577775</v>
      </c>
      <c r="I2949" s="9">
        <f t="shared" si="225"/>
        <v>220949.57415016295</v>
      </c>
    </row>
    <row r="2950" spans="1:9" x14ac:dyDescent="0.35">
      <c r="A2950" s="24" t="s">
        <v>3038</v>
      </c>
      <c r="B2950" s="18" t="s">
        <v>694</v>
      </c>
      <c r="C2950" s="20">
        <v>45514</v>
      </c>
      <c r="D2950" s="11">
        <v>10766.4</v>
      </c>
      <c r="E2950" s="27">
        <f t="shared" si="221"/>
        <v>11985.15648</v>
      </c>
      <c r="F2950" s="6">
        <f t="shared" si="222"/>
        <v>15580.703423999999</v>
      </c>
      <c r="G2950" s="7">
        <f t="shared" si="223"/>
        <v>16779.219072</v>
      </c>
      <c r="H2950" s="8">
        <f t="shared" si="224"/>
        <v>17977.73472</v>
      </c>
      <c r="I2950" s="9">
        <f t="shared" si="225"/>
        <v>19176.250368000001</v>
      </c>
    </row>
    <row r="2951" spans="1:9" x14ac:dyDescent="0.35">
      <c r="A2951" s="24" t="s">
        <v>3039</v>
      </c>
      <c r="B2951" s="18" t="s">
        <v>695</v>
      </c>
      <c r="C2951" s="20">
        <v>45514</v>
      </c>
      <c r="D2951" s="11">
        <v>13691.1544599966</v>
      </c>
      <c r="E2951" s="27">
        <f t="shared" si="221"/>
        <v>15240.993144868216</v>
      </c>
      <c r="F2951" s="6">
        <f t="shared" si="222"/>
        <v>19813.291088328682</v>
      </c>
      <c r="G2951" s="7">
        <f t="shared" si="223"/>
        <v>21337.390402815501</v>
      </c>
      <c r="H2951" s="8">
        <f t="shared" si="224"/>
        <v>22861.489717302324</v>
      </c>
      <c r="I2951" s="9">
        <f t="shared" si="225"/>
        <v>24385.589031789146</v>
      </c>
    </row>
    <row r="2952" spans="1:9" x14ac:dyDescent="0.35">
      <c r="A2952" s="24" t="s">
        <v>3040</v>
      </c>
      <c r="B2952" s="18" t="s">
        <v>696</v>
      </c>
      <c r="C2952" s="20">
        <v>45514</v>
      </c>
      <c r="D2952" s="11">
        <v>12909.05</v>
      </c>
      <c r="E2952" s="27">
        <f t="shared" si="221"/>
        <v>14370.35446</v>
      </c>
      <c r="F2952" s="6">
        <f t="shared" si="222"/>
        <v>18681.460798</v>
      </c>
      <c r="G2952" s="7">
        <f t="shared" si="223"/>
        <v>20118.496243999998</v>
      </c>
      <c r="H2952" s="8">
        <f t="shared" si="224"/>
        <v>21555.53169</v>
      </c>
      <c r="I2952" s="9">
        <f t="shared" si="225"/>
        <v>22992.567136000001</v>
      </c>
    </row>
    <row r="2953" spans="1:9" x14ac:dyDescent="0.35">
      <c r="A2953" s="24" t="s">
        <v>3041</v>
      </c>
      <c r="B2953" s="18" t="s">
        <v>697</v>
      </c>
      <c r="C2953" s="20">
        <v>45514</v>
      </c>
      <c r="D2953" s="11">
        <v>23733.012234883798</v>
      </c>
      <c r="E2953" s="27">
        <f t="shared" si="221"/>
        <v>26419.589219872643</v>
      </c>
      <c r="F2953" s="6">
        <f t="shared" si="222"/>
        <v>34345.465985834438</v>
      </c>
      <c r="G2953" s="7">
        <f t="shared" si="223"/>
        <v>36987.424907821696</v>
      </c>
      <c r="H2953" s="8">
        <f t="shared" si="224"/>
        <v>39629.383829808969</v>
      </c>
      <c r="I2953" s="9">
        <f t="shared" si="225"/>
        <v>42271.342751796234</v>
      </c>
    </row>
    <row r="2954" spans="1:9" ht="18" x14ac:dyDescent="0.4">
      <c r="B2954" s="19" t="s">
        <v>5707</v>
      </c>
      <c r="D2954" s="11">
        <v>0</v>
      </c>
      <c r="E2954" s="27">
        <f t="shared" si="221"/>
        <v>0</v>
      </c>
      <c r="F2954" s="6">
        <f t="shared" si="222"/>
        <v>0</v>
      </c>
      <c r="G2954" s="7">
        <f t="shared" si="223"/>
        <v>0</v>
      </c>
      <c r="H2954" s="8">
        <f t="shared" si="224"/>
        <v>0</v>
      </c>
      <c r="I2954" s="9">
        <f t="shared" si="225"/>
        <v>0</v>
      </c>
    </row>
    <row r="2955" spans="1:9" x14ac:dyDescent="0.35">
      <c r="A2955" s="18" t="s">
        <v>5706</v>
      </c>
      <c r="B2955" s="25" t="s">
        <v>5708</v>
      </c>
      <c r="C2955" s="20">
        <v>45726</v>
      </c>
      <c r="D2955" s="11">
        <v>18854.82</v>
      </c>
      <c r="E2955" s="27">
        <f t="shared" si="221"/>
        <v>20989.185624000002</v>
      </c>
      <c r="F2955" s="6">
        <f t="shared" si="222"/>
        <v>27285.941311200004</v>
      </c>
      <c r="G2955" s="7">
        <f t="shared" si="223"/>
        <v>29384.859873599999</v>
      </c>
      <c r="H2955" s="8">
        <f t="shared" si="224"/>
        <v>31483.778436000001</v>
      </c>
      <c r="I2955" s="9">
        <f t="shared" si="225"/>
        <v>33582.696998400002</v>
      </c>
    </row>
    <row r="2956" spans="1:9" ht="18" x14ac:dyDescent="0.4">
      <c r="B2956" s="19" t="s">
        <v>654</v>
      </c>
      <c r="D2956" s="11">
        <v>0</v>
      </c>
      <c r="E2956" s="27">
        <f t="shared" si="221"/>
        <v>0</v>
      </c>
      <c r="F2956" s="6">
        <f t="shared" si="222"/>
        <v>0</v>
      </c>
      <c r="G2956" s="7">
        <f t="shared" si="223"/>
        <v>0</v>
      </c>
      <c r="H2956" s="8">
        <f t="shared" si="224"/>
        <v>0</v>
      </c>
      <c r="I2956" s="9">
        <f t="shared" si="225"/>
        <v>0</v>
      </c>
    </row>
    <row r="2957" spans="1:9" x14ac:dyDescent="0.35">
      <c r="A2957" s="24" t="s">
        <v>3042</v>
      </c>
      <c r="B2957" s="18" t="s">
        <v>4672</v>
      </c>
      <c r="C2957" s="20">
        <v>45726</v>
      </c>
      <c r="D2957" s="11">
        <v>8384.3647999999994</v>
      </c>
      <c r="E2957" s="27">
        <f t="shared" si="221"/>
        <v>9333.4748953599992</v>
      </c>
      <c r="F2957" s="6">
        <f t="shared" si="222"/>
        <v>12133.517363968</v>
      </c>
      <c r="G2957" s="7">
        <f t="shared" si="223"/>
        <v>13066.864853503997</v>
      </c>
      <c r="H2957" s="8">
        <f t="shared" si="224"/>
        <v>14000.212343039999</v>
      </c>
      <c r="I2957" s="9">
        <f t="shared" si="225"/>
        <v>14933.559832576</v>
      </c>
    </row>
    <row r="2958" spans="1:9" x14ac:dyDescent="0.35">
      <c r="A2958" s="24" t="s">
        <v>3043</v>
      </c>
      <c r="B2958" s="18" t="s">
        <v>4673</v>
      </c>
      <c r="C2958" s="20">
        <v>45726</v>
      </c>
      <c r="D2958" s="11">
        <v>9780.6328000000012</v>
      </c>
      <c r="E2958" s="27">
        <f t="shared" si="221"/>
        <v>10887.800432960001</v>
      </c>
      <c r="F2958" s="6">
        <f t="shared" si="222"/>
        <v>14154.140562848001</v>
      </c>
      <c r="G2958" s="7">
        <f t="shared" si="223"/>
        <v>15242.920606144</v>
      </c>
      <c r="H2958" s="8">
        <f t="shared" si="224"/>
        <v>16331.700649440001</v>
      </c>
      <c r="I2958" s="9">
        <f t="shared" si="225"/>
        <v>17420.480692736</v>
      </c>
    </row>
    <row r="2959" spans="1:9" x14ac:dyDescent="0.35">
      <c r="A2959" s="24" t="s">
        <v>3044</v>
      </c>
      <c r="B2959" s="18" t="s">
        <v>4674</v>
      </c>
      <c r="C2959" s="20">
        <v>45726</v>
      </c>
      <c r="D2959" s="11">
        <v>11506.562600000001</v>
      </c>
      <c r="E2959" s="27">
        <f t="shared" ref="E2959:E3023" si="226">D2959*1.21*0.92</f>
        <v>12809.105486320001</v>
      </c>
      <c r="F2959" s="6">
        <f t="shared" si="222"/>
        <v>16651.837132216002</v>
      </c>
      <c r="G2959" s="7">
        <f t="shared" si="223"/>
        <v>17932.747680847999</v>
      </c>
      <c r="H2959" s="8">
        <f t="shared" si="224"/>
        <v>19213.658229480003</v>
      </c>
      <c r="I2959" s="9">
        <f t="shared" si="225"/>
        <v>20494.568778112003</v>
      </c>
    </row>
    <row r="2960" spans="1:9" x14ac:dyDescent="0.35">
      <c r="A2960" s="24" t="s">
        <v>916</v>
      </c>
      <c r="B2960" s="18" t="s">
        <v>3272</v>
      </c>
      <c r="C2960" s="20">
        <v>45726</v>
      </c>
      <c r="D2960" s="11">
        <v>1407.6289000000002</v>
      </c>
      <c r="E2960" s="27">
        <f t="shared" si="226"/>
        <v>1566.9724914800001</v>
      </c>
      <c r="F2960" s="6">
        <f t="shared" si="222"/>
        <v>2037.0642389240002</v>
      </c>
      <c r="G2960" s="7">
        <f t="shared" si="223"/>
        <v>2193.7614880720002</v>
      </c>
      <c r="H2960" s="8">
        <f t="shared" si="224"/>
        <v>2350.4587372200003</v>
      </c>
      <c r="I2960" s="9">
        <f t="shared" si="225"/>
        <v>2507.1559863680004</v>
      </c>
    </row>
    <row r="2961" spans="1:9" x14ac:dyDescent="0.35">
      <c r="A2961" s="24" t="s">
        <v>917</v>
      </c>
      <c r="B2961" s="18" t="s">
        <v>3454</v>
      </c>
      <c r="C2961" s="20">
        <v>45726</v>
      </c>
      <c r="D2961" s="11">
        <v>2158.5401000000002</v>
      </c>
      <c r="E2961" s="27">
        <f t="shared" si="226"/>
        <v>2402.88683932</v>
      </c>
      <c r="F2961" s="6">
        <f t="shared" si="222"/>
        <v>3123.7528911160002</v>
      </c>
      <c r="G2961" s="7">
        <f t="shared" si="223"/>
        <v>3364.0415750479997</v>
      </c>
      <c r="H2961" s="8">
        <f t="shared" si="224"/>
        <v>3604.3302589800001</v>
      </c>
      <c r="I2961" s="9">
        <f t="shared" si="225"/>
        <v>3844.6189429120004</v>
      </c>
    </row>
    <row r="2962" spans="1:9" x14ac:dyDescent="0.35">
      <c r="A2962" s="24" t="s">
        <v>3271</v>
      </c>
      <c r="B2962" s="18" t="s">
        <v>3273</v>
      </c>
      <c r="C2962" s="20">
        <v>45726</v>
      </c>
      <c r="D2962" s="11">
        <v>3207.8011000000001</v>
      </c>
      <c r="E2962" s="27">
        <f t="shared" si="226"/>
        <v>3570.9241845200004</v>
      </c>
      <c r="F2962" s="6">
        <f t="shared" si="222"/>
        <v>4642.2014398760002</v>
      </c>
      <c r="G2962" s="7">
        <f t="shared" si="223"/>
        <v>4999.2938583280002</v>
      </c>
      <c r="H2962" s="8">
        <f t="shared" si="224"/>
        <v>5356.3862767800001</v>
      </c>
      <c r="I2962" s="9">
        <f t="shared" si="225"/>
        <v>5713.478695232001</v>
      </c>
    </row>
    <row r="2963" spans="1:9" x14ac:dyDescent="0.35">
      <c r="A2963" s="24" t="s">
        <v>6334</v>
      </c>
      <c r="B2963" s="18" t="s">
        <v>6336</v>
      </c>
      <c r="C2963" s="20">
        <v>45726</v>
      </c>
      <c r="D2963" s="11">
        <v>6407.1149999999998</v>
      </c>
      <c r="E2963" s="27">
        <f t="shared" si="226"/>
        <v>7132.4004179999993</v>
      </c>
      <c r="F2963" s="6">
        <f t="shared" si="222"/>
        <v>9272.1205433999985</v>
      </c>
      <c r="G2963" s="7">
        <f t="shared" si="223"/>
        <v>9985.3605851999982</v>
      </c>
      <c r="H2963" s="8">
        <f t="shared" si="224"/>
        <v>10698.600627</v>
      </c>
      <c r="I2963" s="9">
        <f t="shared" si="225"/>
        <v>11411.8406688</v>
      </c>
    </row>
    <row r="2964" spans="1:9" x14ac:dyDescent="0.35">
      <c r="A2964" s="24" t="s">
        <v>6335</v>
      </c>
      <c r="B2964" s="18" t="s">
        <v>6337</v>
      </c>
      <c r="C2964" s="20">
        <v>45726</v>
      </c>
      <c r="D2964" s="11">
        <v>7671.1310000000003</v>
      </c>
      <c r="E2964" s="27">
        <f t="shared" si="226"/>
        <v>8539.503029200001</v>
      </c>
      <c r="F2964" s="6">
        <f t="shared" si="222"/>
        <v>11101.353937960002</v>
      </c>
      <c r="G2964" s="7">
        <f t="shared" si="223"/>
        <v>11955.304240880001</v>
      </c>
      <c r="H2964" s="8">
        <f t="shared" si="224"/>
        <v>12809.254543800002</v>
      </c>
      <c r="I2964" s="9">
        <f t="shared" si="225"/>
        <v>13663.204846720002</v>
      </c>
    </row>
    <row r="2965" spans="1:9" x14ac:dyDescent="0.35">
      <c r="A2965" s="24" t="s">
        <v>6554</v>
      </c>
      <c r="B2965" s="18" t="s">
        <v>6555</v>
      </c>
      <c r="C2965" s="20">
        <v>45726</v>
      </c>
      <c r="D2965" s="11">
        <v>9022.2541000000001</v>
      </c>
      <c r="E2965" s="27">
        <f t="shared" si="226"/>
        <v>10043.573264119999</v>
      </c>
      <c r="F2965" s="6">
        <f t="shared" si="222"/>
        <v>13056.645243355999</v>
      </c>
      <c r="G2965" s="7">
        <f t="shared" si="223"/>
        <v>14061.002569767998</v>
      </c>
      <c r="H2965" s="8">
        <f t="shared" si="224"/>
        <v>15065.359896179998</v>
      </c>
      <c r="I2965" s="9">
        <f t="shared" si="225"/>
        <v>16069.717222592</v>
      </c>
    </row>
    <row r="2966" spans="1:9" ht="18" x14ac:dyDescent="0.4">
      <c r="A2966" s="24"/>
      <c r="B2966" s="19" t="s">
        <v>6374</v>
      </c>
      <c r="D2966" s="11">
        <v>0</v>
      </c>
      <c r="E2966" s="27">
        <f t="shared" si="226"/>
        <v>0</v>
      </c>
      <c r="F2966" s="6">
        <f t="shared" si="222"/>
        <v>0</v>
      </c>
      <c r="G2966" s="7">
        <f t="shared" si="223"/>
        <v>0</v>
      </c>
      <c r="H2966" s="8">
        <f t="shared" si="224"/>
        <v>0</v>
      </c>
      <c r="I2966" s="9">
        <f t="shared" si="225"/>
        <v>0</v>
      </c>
    </row>
    <row r="2967" spans="1:9" x14ac:dyDescent="0.35">
      <c r="A2967" s="24" t="s">
        <v>6378</v>
      </c>
      <c r="B2967" s="18" t="s">
        <v>6376</v>
      </c>
      <c r="C2967" s="20">
        <v>45726</v>
      </c>
      <c r="D2967" s="11">
        <v>8440.85</v>
      </c>
      <c r="E2967" s="27">
        <f t="shared" si="226"/>
        <v>9396.3542200000011</v>
      </c>
      <c r="F2967" s="6">
        <f t="shared" si="222"/>
        <v>12215.260486000001</v>
      </c>
      <c r="G2967" s="7">
        <f t="shared" si="223"/>
        <v>13154.895908</v>
      </c>
      <c r="H2967" s="8">
        <f t="shared" si="224"/>
        <v>14094.531330000002</v>
      </c>
      <c r="I2967" s="9">
        <f t="shared" si="225"/>
        <v>15034.166752000003</v>
      </c>
    </row>
    <row r="2968" spans="1:9" x14ac:dyDescent="0.35">
      <c r="A2968" s="24" t="s">
        <v>6379</v>
      </c>
      <c r="B2968" s="18" t="s">
        <v>6375</v>
      </c>
      <c r="C2968" s="20">
        <v>45726</v>
      </c>
      <c r="D2968" s="11">
        <v>10604.880000000001</v>
      </c>
      <c r="E2968" s="27">
        <f t="shared" si="226"/>
        <v>11805.352416000002</v>
      </c>
      <c r="F2968" s="6">
        <f t="shared" si="222"/>
        <v>15346.958140800003</v>
      </c>
      <c r="G2968" s="7">
        <f t="shared" si="223"/>
        <v>16527.4933824</v>
      </c>
      <c r="H2968" s="8">
        <f t="shared" si="224"/>
        <v>17708.028624000002</v>
      </c>
      <c r="I2968" s="9">
        <f t="shared" si="225"/>
        <v>18888.563865600005</v>
      </c>
    </row>
    <row r="2969" spans="1:9" x14ac:dyDescent="0.35">
      <c r="A2969" s="24" t="s">
        <v>6380</v>
      </c>
      <c r="B2969" s="18" t="s">
        <v>6377</v>
      </c>
      <c r="C2969" s="20">
        <v>45726</v>
      </c>
      <c r="D2969" s="11">
        <v>15612.740000000002</v>
      </c>
      <c r="E2969" s="27">
        <f t="shared" si="226"/>
        <v>17380.102168000001</v>
      </c>
      <c r="F2969" s="6">
        <f t="shared" si="222"/>
        <v>22594.132818400001</v>
      </c>
      <c r="G2969" s="7">
        <f t="shared" si="223"/>
        <v>24332.143035199999</v>
      </c>
      <c r="H2969" s="8">
        <f t="shared" si="224"/>
        <v>26070.153252000004</v>
      </c>
      <c r="I2969" s="9">
        <f t="shared" si="225"/>
        <v>27808.163468800005</v>
      </c>
    </row>
    <row r="2970" spans="1:9" ht="18" x14ac:dyDescent="0.4">
      <c r="A2970" s="24"/>
      <c r="B2970" s="19" t="s">
        <v>6487</v>
      </c>
      <c r="D2970" s="11">
        <v>0</v>
      </c>
      <c r="E2970" s="27">
        <f t="shared" si="226"/>
        <v>0</v>
      </c>
      <c r="F2970" s="6">
        <f t="shared" si="222"/>
        <v>0</v>
      </c>
      <c r="G2970" s="7">
        <f t="shared" si="223"/>
        <v>0</v>
      </c>
      <c r="H2970" s="8">
        <f t="shared" si="224"/>
        <v>0</v>
      </c>
      <c r="I2970" s="9">
        <f t="shared" si="225"/>
        <v>0</v>
      </c>
    </row>
    <row r="2971" spans="1:9" x14ac:dyDescent="0.35">
      <c r="A2971" s="24" t="s">
        <v>6488</v>
      </c>
      <c r="B2971" s="18" t="s">
        <v>6491</v>
      </c>
      <c r="C2971" s="20">
        <v>45726</v>
      </c>
      <c r="D2971" s="11">
        <v>3660.8775000000001</v>
      </c>
      <c r="E2971" s="27">
        <f t="shared" si="226"/>
        <v>4075.2888329999996</v>
      </c>
      <c r="F2971" s="6">
        <f t="shared" si="222"/>
        <v>5297.8754829</v>
      </c>
      <c r="G2971" s="7">
        <f t="shared" si="223"/>
        <v>5705.4043661999995</v>
      </c>
      <c r="H2971" s="8">
        <f t="shared" si="224"/>
        <v>6112.9332494999999</v>
      </c>
      <c r="I2971" s="9">
        <f t="shared" si="225"/>
        <v>6520.4621327999994</v>
      </c>
    </row>
    <row r="2972" spans="1:9" x14ac:dyDescent="0.35">
      <c r="A2972" s="24" t="s">
        <v>6489</v>
      </c>
      <c r="B2972" s="18" t="s">
        <v>6492</v>
      </c>
      <c r="C2972" s="20">
        <v>45726</v>
      </c>
      <c r="D2972" s="11">
        <v>4165.9380000000001</v>
      </c>
      <c r="E2972" s="27">
        <f t="shared" si="226"/>
        <v>4637.5221816000003</v>
      </c>
      <c r="F2972" s="6">
        <f t="shared" si="222"/>
        <v>6028.7788360800005</v>
      </c>
      <c r="G2972" s="7">
        <f t="shared" si="223"/>
        <v>6492.5310542400002</v>
      </c>
      <c r="H2972" s="8">
        <f t="shared" si="224"/>
        <v>6956.2832724</v>
      </c>
      <c r="I2972" s="9">
        <f t="shared" si="225"/>
        <v>7420.0354905600007</v>
      </c>
    </row>
    <row r="2973" spans="1:9" x14ac:dyDescent="0.35">
      <c r="A2973" s="24" t="s">
        <v>6490</v>
      </c>
      <c r="B2973" s="18" t="s">
        <v>6493</v>
      </c>
      <c r="C2973" s="20">
        <v>45726</v>
      </c>
      <c r="D2973" s="11">
        <v>5952.576</v>
      </c>
      <c r="E2973" s="27">
        <f t="shared" si="226"/>
        <v>6626.4076031999994</v>
      </c>
      <c r="F2973" s="6">
        <f t="shared" si="222"/>
        <v>8614.329884159999</v>
      </c>
      <c r="G2973" s="7">
        <f t="shared" si="223"/>
        <v>9276.9706444799976</v>
      </c>
      <c r="H2973" s="8">
        <f t="shared" si="224"/>
        <v>9939.6114047999981</v>
      </c>
      <c r="I2973" s="9">
        <f t="shared" si="225"/>
        <v>10602.25216512</v>
      </c>
    </row>
    <row r="2974" spans="1:9" x14ac:dyDescent="0.35">
      <c r="A2974" s="24" t="s">
        <v>6505</v>
      </c>
      <c r="B2974" s="18" t="s">
        <v>6506</v>
      </c>
      <c r="C2974" s="20">
        <v>45726</v>
      </c>
      <c r="D2974" s="11">
        <v>10784.718000000001</v>
      </c>
      <c r="E2974" s="27">
        <f t="shared" si="226"/>
        <v>12005.5480776</v>
      </c>
      <c r="F2974" s="6">
        <f t="shared" si="222"/>
        <v>15607.212500880001</v>
      </c>
      <c r="G2974" s="7">
        <f t="shared" si="223"/>
        <v>16807.767308639999</v>
      </c>
      <c r="H2974" s="8">
        <f t="shared" si="224"/>
        <v>18008.322116399999</v>
      </c>
      <c r="I2974" s="9">
        <f t="shared" si="225"/>
        <v>19208.876924160002</v>
      </c>
    </row>
    <row r="2975" spans="1:9" x14ac:dyDescent="0.35">
      <c r="A2975" s="24" t="s">
        <v>6507</v>
      </c>
      <c r="B2975" s="18" t="s">
        <v>6508</v>
      </c>
      <c r="C2975" s="20">
        <v>45726</v>
      </c>
      <c r="D2975" s="11">
        <v>16168.425000000001</v>
      </c>
      <c r="E2975" s="27">
        <f t="shared" si="226"/>
        <v>17998.690709999999</v>
      </c>
      <c r="F2975" s="6">
        <f t="shared" si="222"/>
        <v>23398.297922999998</v>
      </c>
      <c r="G2975" s="7">
        <f t="shared" si="223"/>
        <v>25198.166993999996</v>
      </c>
      <c r="H2975" s="8">
        <f t="shared" si="224"/>
        <v>26998.036065</v>
      </c>
      <c r="I2975" s="9">
        <f t="shared" si="225"/>
        <v>28797.905136000001</v>
      </c>
    </row>
    <row r="2976" spans="1:9" x14ac:dyDescent="0.35">
      <c r="A2976" s="24" t="s">
        <v>6593</v>
      </c>
      <c r="B2976" s="18" t="s">
        <v>6594</v>
      </c>
      <c r="C2976" s="20">
        <v>45726</v>
      </c>
      <c r="D2976" s="11">
        <v>24176.932499999999</v>
      </c>
      <c r="E2976" s="27">
        <f t="shared" si="226"/>
        <v>26913.761258999999</v>
      </c>
      <c r="F2976" s="6">
        <f t="shared" si="222"/>
        <v>34987.889636699998</v>
      </c>
      <c r="G2976" s="7">
        <f t="shared" si="223"/>
        <v>37679.265762599993</v>
      </c>
      <c r="H2976" s="8">
        <f t="shared" si="224"/>
        <v>40370.641888500002</v>
      </c>
      <c r="I2976" s="9">
        <f t="shared" si="225"/>
        <v>43062.018014400004</v>
      </c>
    </row>
    <row r="2977" spans="1:9" ht="15.75" customHeight="1" x14ac:dyDescent="0.4">
      <c r="B2977" s="19" t="s">
        <v>655</v>
      </c>
      <c r="D2977" s="11">
        <v>0</v>
      </c>
      <c r="E2977" s="27">
        <f t="shared" si="226"/>
        <v>0</v>
      </c>
      <c r="F2977" s="6">
        <f t="shared" si="222"/>
        <v>0</v>
      </c>
      <c r="G2977" s="7">
        <f t="shared" si="223"/>
        <v>0</v>
      </c>
      <c r="H2977" s="8">
        <f t="shared" si="224"/>
        <v>0</v>
      </c>
      <c r="I2977" s="9">
        <f t="shared" si="225"/>
        <v>0</v>
      </c>
    </row>
    <row r="2978" spans="1:9" x14ac:dyDescent="0.35">
      <c r="A2978" s="24" t="s">
        <v>3045</v>
      </c>
      <c r="B2978" s="18" t="s">
        <v>698</v>
      </c>
      <c r="C2978" s="20">
        <v>45726</v>
      </c>
      <c r="D2978" s="11">
        <v>5029.49</v>
      </c>
      <c r="E2978" s="27">
        <f t="shared" si="226"/>
        <v>5598.8282680000002</v>
      </c>
      <c r="F2978" s="6">
        <f t="shared" si="222"/>
        <v>7278.4767484000004</v>
      </c>
      <c r="G2978" s="7">
        <f t="shared" si="223"/>
        <v>7838.3595752000001</v>
      </c>
      <c r="H2978" s="8">
        <f t="shared" si="224"/>
        <v>8398.2424019999999</v>
      </c>
      <c r="I2978" s="9">
        <f t="shared" si="225"/>
        <v>8958.1252288000014</v>
      </c>
    </row>
    <row r="2979" spans="1:9" x14ac:dyDescent="0.35">
      <c r="A2979" s="24" t="s">
        <v>5765</v>
      </c>
      <c r="B2979" s="18" t="s">
        <v>5766</v>
      </c>
      <c r="C2979" s="20">
        <v>45726</v>
      </c>
      <c r="D2979" s="11">
        <v>5034.7433951472649</v>
      </c>
      <c r="E2979" s="27">
        <f t="shared" si="226"/>
        <v>5604.6763474779355</v>
      </c>
      <c r="F2979" s="6">
        <f t="shared" si="222"/>
        <v>7286.0792517213167</v>
      </c>
      <c r="G2979" s="7">
        <f t="shared" si="223"/>
        <v>7846.5468864691093</v>
      </c>
      <c r="H2979" s="8">
        <f t="shared" si="224"/>
        <v>8407.0145212169027</v>
      </c>
      <c r="I2979" s="9">
        <f t="shared" si="225"/>
        <v>8967.4821559646971</v>
      </c>
    </row>
    <row r="2980" spans="1:9" x14ac:dyDescent="0.35">
      <c r="A2980" s="24" t="s">
        <v>6762</v>
      </c>
      <c r="B2980" s="18" t="s">
        <v>6763</v>
      </c>
      <c r="C2980" s="20">
        <v>45726</v>
      </c>
      <c r="D2980" s="11">
        <v>5389.99</v>
      </c>
      <c r="E2980" s="27">
        <f t="shared" si="226"/>
        <v>6000.1368679999996</v>
      </c>
      <c r="F2980" s="6">
        <f t="shared" si="222"/>
        <v>7800.1779283999995</v>
      </c>
      <c r="G2980" s="7">
        <f t="shared" si="223"/>
        <v>8400.1916151999994</v>
      </c>
      <c r="H2980" s="8">
        <f t="shared" si="224"/>
        <v>9000.2053019999985</v>
      </c>
      <c r="I2980" s="9">
        <f t="shared" si="225"/>
        <v>9600.2189887999994</v>
      </c>
    </row>
    <row r="2981" spans="1:9" x14ac:dyDescent="0.35">
      <c r="A2981" s="24" t="s">
        <v>3046</v>
      </c>
      <c r="B2981" s="18" t="s">
        <v>699</v>
      </c>
      <c r="C2981" s="20">
        <v>45726</v>
      </c>
      <c r="D2981" s="11">
        <v>3691.7427055707003</v>
      </c>
      <c r="E2981" s="27">
        <f t="shared" si="226"/>
        <v>4109.6479798413038</v>
      </c>
      <c r="F2981" s="6">
        <f t="shared" si="222"/>
        <v>5342.5423737936953</v>
      </c>
      <c r="G2981" s="7">
        <f t="shared" si="223"/>
        <v>5753.5071717778246</v>
      </c>
      <c r="H2981" s="8">
        <f t="shared" si="224"/>
        <v>6164.4719697619557</v>
      </c>
      <c r="I2981" s="9">
        <f t="shared" si="225"/>
        <v>6575.4367677460868</v>
      </c>
    </row>
    <row r="2982" spans="1:9" x14ac:dyDescent="0.35">
      <c r="A2982" s="24" t="s">
        <v>3047</v>
      </c>
      <c r="B2982" s="18" t="s">
        <v>700</v>
      </c>
      <c r="C2982" s="20">
        <v>45726</v>
      </c>
      <c r="D2982" s="11">
        <v>3691.7427055707003</v>
      </c>
      <c r="E2982" s="27">
        <f t="shared" si="226"/>
        <v>4109.6479798413038</v>
      </c>
      <c r="F2982" s="6">
        <f t="shared" si="222"/>
        <v>5342.5423737936953</v>
      </c>
      <c r="G2982" s="7">
        <f t="shared" si="223"/>
        <v>5753.5071717778246</v>
      </c>
      <c r="H2982" s="8">
        <f t="shared" si="224"/>
        <v>6164.4719697619557</v>
      </c>
      <c r="I2982" s="9">
        <f t="shared" si="225"/>
        <v>6575.4367677460868</v>
      </c>
    </row>
    <row r="2983" spans="1:9" x14ac:dyDescent="0.35">
      <c r="A2983" s="24" t="s">
        <v>3048</v>
      </c>
      <c r="B2983" s="18" t="s">
        <v>701</v>
      </c>
      <c r="C2983" s="20">
        <v>45726</v>
      </c>
      <c r="D2983" s="11">
        <v>4489.9118628356537</v>
      </c>
      <c r="E2983" s="27">
        <f t="shared" si="226"/>
        <v>4998.1698857086494</v>
      </c>
      <c r="F2983" s="6">
        <f t="shared" si="222"/>
        <v>6497.6208514212449</v>
      </c>
      <c r="G2983" s="7">
        <f t="shared" si="223"/>
        <v>6997.4378399921088</v>
      </c>
      <c r="H2983" s="8">
        <f t="shared" si="224"/>
        <v>7497.2548285629746</v>
      </c>
      <c r="I2983" s="9">
        <f t="shared" si="225"/>
        <v>7997.0718171338394</v>
      </c>
    </row>
    <row r="2984" spans="1:9" x14ac:dyDescent="0.35">
      <c r="A2984" s="24" t="s">
        <v>3049</v>
      </c>
      <c r="B2984" s="18" t="s">
        <v>753</v>
      </c>
      <c r="C2984" s="20">
        <v>45726</v>
      </c>
      <c r="D2984" s="11">
        <v>3511.8885737608448</v>
      </c>
      <c r="E2984" s="27">
        <f t="shared" si="226"/>
        <v>3909.4343603105726</v>
      </c>
      <c r="F2984" s="6">
        <f t="shared" si="222"/>
        <v>5082.2646684037445</v>
      </c>
      <c r="G2984" s="7">
        <f t="shared" si="223"/>
        <v>5473.2081044348015</v>
      </c>
      <c r="H2984" s="8">
        <f t="shared" si="224"/>
        <v>5864.1515404658585</v>
      </c>
      <c r="I2984" s="9">
        <f t="shared" si="225"/>
        <v>6255.0949764969164</v>
      </c>
    </row>
    <row r="2985" spans="1:9" x14ac:dyDescent="0.35">
      <c r="A2985" s="24" t="s">
        <v>3050</v>
      </c>
      <c r="B2985" s="18" t="s">
        <v>347</v>
      </c>
      <c r="C2985" s="20">
        <v>45726</v>
      </c>
      <c r="D2985" s="11">
        <v>3511.8885737608448</v>
      </c>
      <c r="E2985" s="27">
        <f t="shared" si="226"/>
        <v>3909.4343603105726</v>
      </c>
      <c r="F2985" s="6">
        <f t="shared" si="222"/>
        <v>5082.2646684037445</v>
      </c>
      <c r="G2985" s="7">
        <f t="shared" si="223"/>
        <v>5473.2081044348015</v>
      </c>
      <c r="H2985" s="8">
        <f t="shared" si="224"/>
        <v>5864.1515404658585</v>
      </c>
      <c r="I2985" s="9">
        <f t="shared" si="225"/>
        <v>6255.0949764969164</v>
      </c>
    </row>
    <row r="2986" spans="1:9" x14ac:dyDescent="0.35">
      <c r="A2986" s="24" t="s">
        <v>3051</v>
      </c>
      <c r="B2986" s="18" t="s">
        <v>348</v>
      </c>
      <c r="C2986" s="20">
        <v>45726</v>
      </c>
      <c r="D2986" s="11">
        <v>3521.0909736390977</v>
      </c>
      <c r="E2986" s="27">
        <f t="shared" si="226"/>
        <v>3919.6784718550439</v>
      </c>
      <c r="F2986" s="6">
        <f t="shared" si="222"/>
        <v>5095.5820134115575</v>
      </c>
      <c r="G2986" s="7">
        <f t="shared" si="223"/>
        <v>5487.5498605970615</v>
      </c>
      <c r="H2986" s="8">
        <f t="shared" si="224"/>
        <v>5879.5177077825656</v>
      </c>
      <c r="I2986" s="9">
        <f t="shared" si="225"/>
        <v>6271.4855549680706</v>
      </c>
    </row>
    <row r="2987" spans="1:9" x14ac:dyDescent="0.35">
      <c r="A2987" s="24" t="s">
        <v>4687</v>
      </c>
      <c r="B2987" s="18" t="s">
        <v>6545</v>
      </c>
      <c r="C2987" s="20">
        <v>45726</v>
      </c>
      <c r="D2987" s="11">
        <v>3460.3056000000006</v>
      </c>
      <c r="E2987" s="27">
        <f t="shared" si="226"/>
        <v>3852.0121939200008</v>
      </c>
      <c r="F2987" s="6">
        <f t="shared" si="222"/>
        <v>5007.6158520960007</v>
      </c>
      <c r="G2987" s="7">
        <f t="shared" si="223"/>
        <v>5392.8170714880007</v>
      </c>
      <c r="H2987" s="8">
        <f t="shared" si="224"/>
        <v>5778.0182908800016</v>
      </c>
      <c r="I2987" s="9">
        <f t="shared" si="225"/>
        <v>6163.2195102720016</v>
      </c>
    </row>
    <row r="2988" spans="1:9" x14ac:dyDescent="0.35">
      <c r="A2988" s="24" t="s">
        <v>4688</v>
      </c>
      <c r="B2988" s="18" t="s">
        <v>6546</v>
      </c>
      <c r="C2988" s="20">
        <v>45726</v>
      </c>
      <c r="D2988" s="11">
        <v>3160.143</v>
      </c>
      <c r="E2988" s="27">
        <f t="shared" si="226"/>
        <v>3517.8711876000002</v>
      </c>
      <c r="F2988" s="6">
        <f t="shared" si="222"/>
        <v>4573.2325438800008</v>
      </c>
      <c r="G2988" s="7">
        <f t="shared" si="223"/>
        <v>4925.0196626400002</v>
      </c>
      <c r="H2988" s="8">
        <f t="shared" si="224"/>
        <v>5276.8067814000005</v>
      </c>
      <c r="I2988" s="9">
        <f t="shared" si="225"/>
        <v>5628.5939001600009</v>
      </c>
    </row>
    <row r="2989" spans="1:9" ht="18" x14ac:dyDescent="0.4">
      <c r="A2989" s="24"/>
      <c r="B2989" s="19" t="s">
        <v>5738</v>
      </c>
      <c r="D2989" s="11">
        <v>0</v>
      </c>
      <c r="E2989" s="27">
        <f t="shared" si="226"/>
        <v>0</v>
      </c>
      <c r="F2989" s="6">
        <f t="shared" si="222"/>
        <v>0</v>
      </c>
      <c r="G2989" s="7">
        <f t="shared" si="223"/>
        <v>0</v>
      </c>
      <c r="H2989" s="8">
        <f t="shared" si="224"/>
        <v>0</v>
      </c>
      <c r="I2989" s="9">
        <f t="shared" si="225"/>
        <v>0</v>
      </c>
    </row>
    <row r="2990" spans="1:9" x14ac:dyDescent="0.35">
      <c r="A2990" s="24" t="s">
        <v>5739</v>
      </c>
      <c r="B2990" s="18" t="s">
        <v>5742</v>
      </c>
      <c r="C2990" s="20">
        <v>45726</v>
      </c>
      <c r="D2990" s="11">
        <v>5922.0169696525654</v>
      </c>
      <c r="E2990" s="27">
        <f t="shared" si="226"/>
        <v>6592.3892906172359</v>
      </c>
      <c r="F2990" s="6">
        <f t="shared" si="222"/>
        <v>8570.1060778024075</v>
      </c>
      <c r="G2990" s="7">
        <f t="shared" si="223"/>
        <v>9229.3450068641305</v>
      </c>
      <c r="H2990" s="8">
        <f t="shared" si="224"/>
        <v>9888.5839359258534</v>
      </c>
      <c r="I2990" s="9">
        <f t="shared" si="225"/>
        <v>10547.822864987578</v>
      </c>
    </row>
    <row r="2991" spans="1:9" x14ac:dyDescent="0.35">
      <c r="A2991" s="24" t="s">
        <v>5740</v>
      </c>
      <c r="B2991" s="18" t="s">
        <v>5743</v>
      </c>
      <c r="C2991" s="20">
        <v>45726</v>
      </c>
      <c r="D2991" s="11">
        <v>7077.5324759262367</v>
      </c>
      <c r="E2991" s="27">
        <f t="shared" si="226"/>
        <v>7878.7091522010869</v>
      </c>
      <c r="F2991" s="6">
        <f t="shared" si="222"/>
        <v>10242.321897861413</v>
      </c>
      <c r="G2991" s="7">
        <f t="shared" si="223"/>
        <v>11030.192813081521</v>
      </c>
      <c r="H2991" s="8">
        <f t="shared" si="224"/>
        <v>11818.063728301629</v>
      </c>
      <c r="I2991" s="9">
        <f t="shared" si="225"/>
        <v>12605.934643521739</v>
      </c>
    </row>
    <row r="2992" spans="1:9" x14ac:dyDescent="0.35">
      <c r="A2992" s="24" t="s">
        <v>5741</v>
      </c>
      <c r="B2992" s="18" t="s">
        <v>5744</v>
      </c>
      <c r="C2992" s="20">
        <v>45726</v>
      </c>
      <c r="D2992" s="11">
        <v>10088.539227850901</v>
      </c>
      <c r="E2992" s="27">
        <f t="shared" si="226"/>
        <v>11230.561868443623</v>
      </c>
      <c r="F2992" s="6">
        <f t="shared" si="222"/>
        <v>14599.730428976711</v>
      </c>
      <c r="G2992" s="7">
        <f t="shared" si="223"/>
        <v>15722.786615821071</v>
      </c>
      <c r="H2992" s="8">
        <f t="shared" si="224"/>
        <v>16845.842802665436</v>
      </c>
      <c r="I2992" s="9">
        <f t="shared" si="225"/>
        <v>17968.898989509798</v>
      </c>
    </row>
    <row r="2993" spans="1:9" ht="15.75" customHeight="1" x14ac:dyDescent="0.4">
      <c r="B2993" s="19" t="s">
        <v>6472</v>
      </c>
      <c r="D2993" s="11">
        <v>0</v>
      </c>
      <c r="E2993" s="27">
        <f t="shared" si="226"/>
        <v>0</v>
      </c>
      <c r="F2993" s="6">
        <f t="shared" si="222"/>
        <v>0</v>
      </c>
      <c r="G2993" s="7">
        <f t="shared" si="223"/>
        <v>0</v>
      </c>
      <c r="H2993" s="8">
        <f t="shared" si="224"/>
        <v>0</v>
      </c>
      <c r="I2993" s="9">
        <f t="shared" si="225"/>
        <v>0</v>
      </c>
    </row>
    <row r="2994" spans="1:9" x14ac:dyDescent="0.35">
      <c r="A2994" s="24" t="s">
        <v>4835</v>
      </c>
      <c r="B2994" s="18" t="s">
        <v>6749</v>
      </c>
      <c r="C2994" s="20">
        <v>45685</v>
      </c>
      <c r="D2994" s="11">
        <v>104390</v>
      </c>
      <c r="E2994" s="27">
        <f t="shared" si="226"/>
        <v>116206.948</v>
      </c>
      <c r="F2994" s="6">
        <f t="shared" si="222"/>
        <v>151069.0324</v>
      </c>
      <c r="G2994" s="7">
        <f t="shared" si="223"/>
        <v>162689.72719999999</v>
      </c>
      <c r="H2994" s="8">
        <f t="shared" si="224"/>
        <v>174310.42200000002</v>
      </c>
      <c r="I2994" s="9">
        <f t="shared" si="225"/>
        <v>185931.11680000002</v>
      </c>
    </row>
    <row r="2995" spans="1:9" x14ac:dyDescent="0.35">
      <c r="A2995" s="24" t="s">
        <v>4836</v>
      </c>
      <c r="B2995" s="18" t="s">
        <v>6473</v>
      </c>
      <c r="C2995" s="20">
        <v>45685</v>
      </c>
      <c r="D2995" s="11">
        <v>196411</v>
      </c>
      <c r="E2995" s="27">
        <f t="shared" si="226"/>
        <v>218644.72520000002</v>
      </c>
      <c r="F2995" s="6">
        <f t="shared" si="222"/>
        <v>284238.14276000002</v>
      </c>
      <c r="G2995" s="7">
        <f t="shared" si="223"/>
        <v>306102.61528000003</v>
      </c>
      <c r="H2995" s="8">
        <f t="shared" si="224"/>
        <v>327967.08780000004</v>
      </c>
      <c r="I2995" s="9">
        <f t="shared" si="225"/>
        <v>349831.56032000005</v>
      </c>
    </row>
    <row r="2996" spans="1:9" x14ac:dyDescent="0.35">
      <c r="A2996" s="24" t="s">
        <v>4837</v>
      </c>
      <c r="B2996" s="18" t="s">
        <v>6750</v>
      </c>
      <c r="C2996" s="20">
        <v>45685</v>
      </c>
      <c r="D2996" s="11">
        <v>104390</v>
      </c>
      <c r="E2996" s="27">
        <f t="shared" si="226"/>
        <v>116206.948</v>
      </c>
      <c r="F2996" s="6">
        <f t="shared" si="222"/>
        <v>151069.0324</v>
      </c>
      <c r="G2996" s="7">
        <f t="shared" si="223"/>
        <v>162689.72719999999</v>
      </c>
      <c r="H2996" s="8">
        <f t="shared" si="224"/>
        <v>174310.42200000002</v>
      </c>
      <c r="I2996" s="9">
        <f t="shared" si="225"/>
        <v>185931.11680000002</v>
      </c>
    </row>
    <row r="2997" spans="1:9" x14ac:dyDescent="0.35">
      <c r="A2997" s="24" t="s">
        <v>4838</v>
      </c>
      <c r="B2997" s="18" t="s">
        <v>3261</v>
      </c>
      <c r="C2997" s="20">
        <v>45363</v>
      </c>
      <c r="D2997" s="11">
        <v>0</v>
      </c>
      <c r="E2997" s="27">
        <f t="shared" si="226"/>
        <v>0</v>
      </c>
      <c r="F2997" s="6">
        <f t="shared" si="222"/>
        <v>0</v>
      </c>
      <c r="G2997" s="7">
        <f t="shared" si="223"/>
        <v>0</v>
      </c>
      <c r="H2997" s="8">
        <f t="shared" si="224"/>
        <v>0</v>
      </c>
      <c r="I2997" s="9">
        <f t="shared" si="225"/>
        <v>0</v>
      </c>
    </row>
    <row r="2998" spans="1:9" x14ac:dyDescent="0.35">
      <c r="A2998" s="24" t="s">
        <v>4839</v>
      </c>
      <c r="B2998" s="18" t="s">
        <v>4842</v>
      </c>
      <c r="C2998" s="20">
        <v>45363</v>
      </c>
      <c r="D2998" s="11">
        <v>0</v>
      </c>
      <c r="E2998" s="27">
        <f t="shared" si="226"/>
        <v>0</v>
      </c>
      <c r="F2998" s="6">
        <f t="shared" si="222"/>
        <v>0</v>
      </c>
      <c r="G2998" s="7">
        <f t="shared" si="223"/>
        <v>0</v>
      </c>
      <c r="H2998" s="8">
        <f t="shared" si="224"/>
        <v>0</v>
      </c>
      <c r="I2998" s="9">
        <f t="shared" si="225"/>
        <v>0</v>
      </c>
    </row>
    <row r="2999" spans="1:9" x14ac:dyDescent="0.35">
      <c r="A2999" s="24" t="s">
        <v>4840</v>
      </c>
      <c r="B2999" s="18" t="s">
        <v>4843</v>
      </c>
      <c r="C2999" s="20">
        <v>45363</v>
      </c>
      <c r="D2999" s="11">
        <v>0</v>
      </c>
      <c r="E2999" s="27">
        <f t="shared" si="226"/>
        <v>0</v>
      </c>
      <c r="F2999" s="6">
        <f t="shared" si="222"/>
        <v>0</v>
      </c>
      <c r="G2999" s="7">
        <f t="shared" si="223"/>
        <v>0</v>
      </c>
      <c r="H2999" s="8">
        <f t="shared" si="224"/>
        <v>0</v>
      </c>
      <c r="I2999" s="9">
        <f t="shared" si="225"/>
        <v>0</v>
      </c>
    </row>
    <row r="3000" spans="1:9" x14ac:dyDescent="0.35">
      <c r="A3000" s="24" t="s">
        <v>4841</v>
      </c>
      <c r="B3000" s="18" t="s">
        <v>4845</v>
      </c>
      <c r="C3000" s="20">
        <v>45363</v>
      </c>
      <c r="D3000" s="11">
        <v>0</v>
      </c>
      <c r="E3000" s="27">
        <f t="shared" si="226"/>
        <v>0</v>
      </c>
      <c r="F3000" s="6">
        <f t="shared" si="222"/>
        <v>0</v>
      </c>
      <c r="G3000" s="7">
        <f t="shared" si="223"/>
        <v>0</v>
      </c>
      <c r="H3000" s="8">
        <f t="shared" si="224"/>
        <v>0</v>
      </c>
      <c r="I3000" s="9">
        <f t="shared" si="225"/>
        <v>0</v>
      </c>
    </row>
    <row r="3001" spans="1:9" x14ac:dyDescent="0.35">
      <c r="A3001" s="24" t="s">
        <v>4844</v>
      </c>
      <c r="B3001" s="18" t="s">
        <v>4846</v>
      </c>
      <c r="C3001" s="20">
        <v>45363</v>
      </c>
      <c r="D3001" s="11">
        <v>0</v>
      </c>
      <c r="E3001" s="27">
        <f t="shared" si="226"/>
        <v>0</v>
      </c>
      <c r="F3001" s="6">
        <f t="shared" si="222"/>
        <v>0</v>
      </c>
      <c r="G3001" s="7">
        <f t="shared" si="223"/>
        <v>0</v>
      </c>
      <c r="H3001" s="8">
        <f t="shared" si="224"/>
        <v>0</v>
      </c>
      <c r="I3001" s="9">
        <f t="shared" si="225"/>
        <v>0</v>
      </c>
    </row>
    <row r="3002" spans="1:9" x14ac:dyDescent="0.35">
      <c r="A3002" s="24" t="s">
        <v>4833</v>
      </c>
      <c r="B3002" s="18" t="s">
        <v>4834</v>
      </c>
      <c r="C3002" s="20">
        <v>45363</v>
      </c>
      <c r="D3002" s="11">
        <v>0</v>
      </c>
      <c r="E3002" s="27">
        <f t="shared" si="226"/>
        <v>0</v>
      </c>
      <c r="F3002" s="6">
        <f t="shared" si="222"/>
        <v>0</v>
      </c>
      <c r="G3002" s="7">
        <f t="shared" si="223"/>
        <v>0</v>
      </c>
      <c r="H3002" s="8">
        <f t="shared" si="224"/>
        <v>0</v>
      </c>
      <c r="I3002" s="9">
        <f t="shared" si="225"/>
        <v>0</v>
      </c>
    </row>
    <row r="3003" spans="1:9" x14ac:dyDescent="0.35">
      <c r="A3003" s="24" t="s">
        <v>4868</v>
      </c>
      <c r="B3003" s="18" t="s">
        <v>5813</v>
      </c>
      <c r="C3003" s="20">
        <v>45363</v>
      </c>
      <c r="D3003" s="11">
        <v>26306.889147000002</v>
      </c>
      <c r="E3003" s="27">
        <f t="shared" si="226"/>
        <v>29284.828998440404</v>
      </c>
      <c r="F3003" s="6">
        <f t="shared" si="222"/>
        <v>38070.277697972524</v>
      </c>
      <c r="G3003" s="7">
        <f t="shared" si="223"/>
        <v>40998.760597816559</v>
      </c>
      <c r="H3003" s="8">
        <f t="shared" si="224"/>
        <v>43927.243497660602</v>
      </c>
      <c r="I3003" s="9">
        <f t="shared" si="225"/>
        <v>46855.726397504652</v>
      </c>
    </row>
    <row r="3004" spans="1:9" ht="18" x14ac:dyDescent="0.4">
      <c r="A3004" s="24"/>
      <c r="B3004" s="19" t="s">
        <v>6471</v>
      </c>
      <c r="D3004" s="11">
        <v>0</v>
      </c>
      <c r="E3004" s="27">
        <f t="shared" si="226"/>
        <v>0</v>
      </c>
      <c r="F3004" s="6">
        <f t="shared" si="222"/>
        <v>0</v>
      </c>
      <c r="G3004" s="7">
        <f t="shared" si="223"/>
        <v>0</v>
      </c>
      <c r="H3004" s="8">
        <f t="shared" si="224"/>
        <v>0</v>
      </c>
      <c r="I3004" s="9">
        <f t="shared" si="225"/>
        <v>0</v>
      </c>
    </row>
    <row r="3005" spans="1:9" x14ac:dyDescent="0.35">
      <c r="A3005" s="24" t="s">
        <v>6058</v>
      </c>
      <c r="B3005" s="24" t="s">
        <v>6500</v>
      </c>
      <c r="C3005" s="20">
        <v>45524</v>
      </c>
      <c r="D3005" s="11">
        <v>0</v>
      </c>
      <c r="E3005" s="27">
        <f t="shared" si="226"/>
        <v>0</v>
      </c>
      <c r="F3005" s="6">
        <f t="shared" si="222"/>
        <v>0</v>
      </c>
      <c r="G3005" s="7">
        <f t="shared" si="223"/>
        <v>0</v>
      </c>
      <c r="H3005" s="8">
        <f t="shared" si="224"/>
        <v>0</v>
      </c>
      <c r="I3005" s="9">
        <f t="shared" si="225"/>
        <v>0</v>
      </c>
    </row>
    <row r="3006" spans="1:9" x14ac:dyDescent="0.35">
      <c r="A3006" s="24" t="s">
        <v>6059</v>
      </c>
      <c r="B3006" s="18" t="s">
        <v>6056</v>
      </c>
      <c r="C3006" s="20">
        <v>45524</v>
      </c>
      <c r="D3006" s="11">
        <v>76277.268000000011</v>
      </c>
      <c r="E3006" s="27">
        <f t="shared" si="226"/>
        <v>84911.854737600021</v>
      </c>
      <c r="F3006" s="6">
        <f t="shared" si="222"/>
        <v>110385.41115888003</v>
      </c>
      <c r="G3006" s="7">
        <f t="shared" si="223"/>
        <v>118876.59663264002</v>
      </c>
      <c r="H3006" s="8">
        <f t="shared" si="224"/>
        <v>127367.78210640003</v>
      </c>
      <c r="I3006" s="9">
        <f t="shared" si="225"/>
        <v>135858.96758016004</v>
      </c>
    </row>
    <row r="3007" spans="1:9" x14ac:dyDescent="0.35">
      <c r="A3007" s="24" t="s">
        <v>6060</v>
      </c>
      <c r="B3007" s="18" t="s">
        <v>6501</v>
      </c>
      <c r="C3007" s="20">
        <v>45524</v>
      </c>
      <c r="D3007" s="11">
        <v>0</v>
      </c>
      <c r="E3007" s="27">
        <f t="shared" si="226"/>
        <v>0</v>
      </c>
      <c r="F3007" s="6">
        <f t="shared" si="222"/>
        <v>0</v>
      </c>
      <c r="G3007" s="7">
        <f t="shared" si="223"/>
        <v>0</v>
      </c>
      <c r="H3007" s="8">
        <f t="shared" si="224"/>
        <v>0</v>
      </c>
      <c r="I3007" s="9">
        <f t="shared" si="225"/>
        <v>0</v>
      </c>
    </row>
    <row r="3008" spans="1:9" x14ac:dyDescent="0.35">
      <c r="A3008" s="24" t="s">
        <v>6061</v>
      </c>
      <c r="B3008" s="18" t="s">
        <v>6502</v>
      </c>
      <c r="C3008" s="20">
        <v>45524</v>
      </c>
      <c r="D3008" s="11">
        <v>0</v>
      </c>
      <c r="E3008" s="27">
        <f t="shared" si="226"/>
        <v>0</v>
      </c>
      <c r="F3008" s="6">
        <f t="shared" si="222"/>
        <v>0</v>
      </c>
      <c r="G3008" s="7">
        <f t="shared" si="223"/>
        <v>0</v>
      </c>
      <c r="H3008" s="8">
        <f t="shared" si="224"/>
        <v>0</v>
      </c>
      <c r="I3008" s="9">
        <f t="shared" si="225"/>
        <v>0</v>
      </c>
    </row>
    <row r="3009" spans="1:9" x14ac:dyDescent="0.35">
      <c r="A3009" s="24" t="s">
        <v>6062</v>
      </c>
      <c r="B3009" s="18" t="s">
        <v>6057</v>
      </c>
      <c r="C3009" s="20">
        <v>45524</v>
      </c>
      <c r="D3009" s="11">
        <v>67579.229340786245</v>
      </c>
      <c r="E3009" s="27">
        <f t="shared" si="226"/>
        <v>75229.198102163238</v>
      </c>
      <c r="F3009" s="6">
        <f t="shared" si="222"/>
        <v>97797.957532812216</v>
      </c>
      <c r="G3009" s="7">
        <f t="shared" si="223"/>
        <v>105320.87734302852</v>
      </c>
      <c r="H3009" s="8">
        <f t="shared" si="224"/>
        <v>112843.79715324486</v>
      </c>
      <c r="I3009" s="9">
        <f t="shared" si="225"/>
        <v>120366.71696346119</v>
      </c>
    </row>
    <row r="3010" spans="1:9" x14ac:dyDescent="0.35">
      <c r="A3010" s="24" t="s">
        <v>6063</v>
      </c>
      <c r="B3010" s="18" t="s">
        <v>6072</v>
      </c>
      <c r="C3010" s="20">
        <v>45524</v>
      </c>
      <c r="D3010" s="11">
        <v>67579.229340786245</v>
      </c>
      <c r="E3010" s="27">
        <f t="shared" si="226"/>
        <v>75229.198102163238</v>
      </c>
      <c r="F3010" s="6">
        <f t="shared" si="222"/>
        <v>97797.957532812216</v>
      </c>
      <c r="G3010" s="7">
        <f t="shared" si="223"/>
        <v>105320.87734302852</v>
      </c>
      <c r="H3010" s="8">
        <f t="shared" si="224"/>
        <v>112843.79715324486</v>
      </c>
      <c r="I3010" s="9">
        <f t="shared" si="225"/>
        <v>120366.71696346119</v>
      </c>
    </row>
    <row r="3011" spans="1:9" x14ac:dyDescent="0.35">
      <c r="A3011" s="24" t="s">
        <v>6064</v>
      </c>
      <c r="B3011" s="18" t="s">
        <v>6503</v>
      </c>
      <c r="C3011" s="20">
        <v>45524</v>
      </c>
      <c r="D3011" s="11">
        <v>0</v>
      </c>
      <c r="E3011" s="27">
        <f t="shared" si="226"/>
        <v>0</v>
      </c>
      <c r="F3011" s="6">
        <f t="shared" si="222"/>
        <v>0</v>
      </c>
      <c r="G3011" s="7">
        <f t="shared" si="223"/>
        <v>0</v>
      </c>
      <c r="H3011" s="8">
        <f t="shared" si="224"/>
        <v>0</v>
      </c>
      <c r="I3011" s="9">
        <f t="shared" si="225"/>
        <v>0</v>
      </c>
    </row>
    <row r="3012" spans="1:9" ht="18" x14ac:dyDescent="0.4">
      <c r="B3012" s="19" t="s">
        <v>5059</v>
      </c>
      <c r="D3012" s="11">
        <v>0</v>
      </c>
      <c r="E3012" s="27">
        <f t="shared" si="226"/>
        <v>0</v>
      </c>
      <c r="F3012" s="6">
        <f t="shared" si="222"/>
        <v>0</v>
      </c>
      <c r="G3012" s="7">
        <f t="shared" si="223"/>
        <v>0</v>
      </c>
      <c r="H3012" s="8">
        <f t="shared" si="224"/>
        <v>0</v>
      </c>
      <c r="I3012" s="9">
        <f t="shared" si="225"/>
        <v>0</v>
      </c>
    </row>
    <row r="3013" spans="1:9" x14ac:dyDescent="0.35">
      <c r="A3013" s="24" t="s">
        <v>4997</v>
      </c>
      <c r="B3013" s="18" t="s">
        <v>5060</v>
      </c>
      <c r="C3013" s="20">
        <v>45726</v>
      </c>
      <c r="D3013" s="11">
        <v>66127.63</v>
      </c>
      <c r="E3013" s="27">
        <f t="shared" si="226"/>
        <v>73613.277715999997</v>
      </c>
      <c r="F3013" s="6">
        <f t="shared" si="222"/>
        <v>95697.2610308</v>
      </c>
      <c r="G3013" s="7">
        <f t="shared" si="223"/>
        <v>103058.58880239999</v>
      </c>
      <c r="H3013" s="8">
        <f t="shared" si="224"/>
        <v>110419.916574</v>
      </c>
      <c r="I3013" s="9">
        <f t="shared" si="225"/>
        <v>117781.2443456</v>
      </c>
    </row>
    <row r="3014" spans="1:9" x14ac:dyDescent="0.35">
      <c r="A3014" s="24" t="s">
        <v>5058</v>
      </c>
      <c r="B3014" s="18" t="s">
        <v>5061</v>
      </c>
      <c r="C3014" s="20">
        <v>45726</v>
      </c>
      <c r="D3014" s="11">
        <v>70535</v>
      </c>
      <c r="E3014" s="27">
        <f t="shared" si="226"/>
        <v>78519.561999999991</v>
      </c>
      <c r="F3014" s="6">
        <f t="shared" si="222"/>
        <v>102075.43059999999</v>
      </c>
      <c r="G3014" s="7">
        <f t="shared" si="223"/>
        <v>109927.38679999998</v>
      </c>
      <c r="H3014" s="8">
        <f t="shared" si="224"/>
        <v>117779.34299999999</v>
      </c>
      <c r="I3014" s="9">
        <f t="shared" si="225"/>
        <v>125631.29919999999</v>
      </c>
    </row>
    <row r="3015" spans="1:9" x14ac:dyDescent="0.35">
      <c r="A3015" s="24" t="s">
        <v>5124</v>
      </c>
      <c r="B3015" s="18" t="s">
        <v>5126</v>
      </c>
      <c r="C3015" s="20">
        <v>45726</v>
      </c>
      <c r="D3015" s="11">
        <v>26538.25</v>
      </c>
      <c r="E3015" s="27">
        <f t="shared" si="226"/>
        <v>29542.3799</v>
      </c>
      <c r="F3015" s="6">
        <f t="shared" si="222"/>
        <v>38405.093870000004</v>
      </c>
      <c r="G3015" s="7">
        <f t="shared" si="223"/>
        <v>41359.331859999998</v>
      </c>
      <c r="H3015" s="8">
        <f t="shared" si="224"/>
        <v>44313.56985</v>
      </c>
      <c r="I3015" s="9">
        <f t="shared" si="225"/>
        <v>47267.807840000001</v>
      </c>
    </row>
    <row r="3016" spans="1:9" x14ac:dyDescent="0.35">
      <c r="A3016" s="24" t="s">
        <v>5125</v>
      </c>
      <c r="B3016" s="18" t="s">
        <v>5128</v>
      </c>
      <c r="C3016" s="20">
        <v>45726</v>
      </c>
      <c r="D3016" s="11">
        <v>39862.5</v>
      </c>
      <c r="E3016" s="27">
        <f t="shared" si="226"/>
        <v>44374.935000000005</v>
      </c>
      <c r="F3016" s="6">
        <f t="shared" si="222"/>
        <v>57687.41550000001</v>
      </c>
      <c r="G3016" s="7">
        <f t="shared" si="223"/>
        <v>62124.909</v>
      </c>
      <c r="H3016" s="8">
        <f t="shared" si="224"/>
        <v>66562.402500000011</v>
      </c>
      <c r="I3016" s="9">
        <f t="shared" si="225"/>
        <v>70999.896000000008</v>
      </c>
    </row>
    <row r="3017" spans="1:9" x14ac:dyDescent="0.35">
      <c r="A3017" s="24" t="s">
        <v>5127</v>
      </c>
      <c r="B3017" s="18" t="s">
        <v>5129</v>
      </c>
      <c r="C3017" s="20">
        <v>45726</v>
      </c>
      <c r="D3017" s="11">
        <v>39862.5</v>
      </c>
      <c r="E3017" s="27">
        <f t="shared" si="226"/>
        <v>44374.935000000005</v>
      </c>
      <c r="F3017" s="6">
        <f t="shared" si="222"/>
        <v>57687.41550000001</v>
      </c>
      <c r="G3017" s="7">
        <f t="shared" si="223"/>
        <v>62124.909</v>
      </c>
      <c r="H3017" s="8">
        <f t="shared" si="224"/>
        <v>66562.402500000011</v>
      </c>
      <c r="I3017" s="9">
        <f t="shared" si="225"/>
        <v>70999.896000000008</v>
      </c>
    </row>
    <row r="3018" spans="1:9" x14ac:dyDescent="0.35">
      <c r="A3018" s="24" t="s">
        <v>5434</v>
      </c>
      <c r="B3018" s="18" t="s">
        <v>6700</v>
      </c>
      <c r="C3018" s="20">
        <v>45726</v>
      </c>
      <c r="D3018" s="11">
        <v>62958.75</v>
      </c>
      <c r="E3018" s="27">
        <f t="shared" si="226"/>
        <v>70085.680500000002</v>
      </c>
      <c r="F3018" s="6">
        <f t="shared" si="222"/>
        <v>91111.384650000007</v>
      </c>
      <c r="G3018" s="7">
        <f t="shared" si="223"/>
        <v>98119.952699999994</v>
      </c>
      <c r="H3018" s="8">
        <f t="shared" si="224"/>
        <v>105128.52075</v>
      </c>
      <c r="I3018" s="9">
        <f t="shared" si="225"/>
        <v>112137.08880000001</v>
      </c>
    </row>
    <row r="3019" spans="1:9" x14ac:dyDescent="0.35">
      <c r="A3019" s="24" t="s">
        <v>6474</v>
      </c>
      <c r="B3019" s="18" t="s">
        <v>6476</v>
      </c>
      <c r="C3019" s="20">
        <v>45726</v>
      </c>
      <c r="D3019" s="11">
        <v>111449.75</v>
      </c>
      <c r="E3019" s="27">
        <f t="shared" si="226"/>
        <v>124065.86170000001</v>
      </c>
      <c r="F3019" s="6">
        <f t="shared" si="222"/>
        <v>161285.62021000002</v>
      </c>
      <c r="G3019" s="7">
        <f t="shared" si="223"/>
        <v>173692.20637999999</v>
      </c>
      <c r="H3019" s="8">
        <f t="shared" si="224"/>
        <v>186098.79255000001</v>
      </c>
      <c r="I3019" s="9">
        <f t="shared" si="225"/>
        <v>198505.37872000004</v>
      </c>
    </row>
    <row r="3020" spans="1:9" x14ac:dyDescent="0.35">
      <c r="A3020" s="24" t="s">
        <v>6475</v>
      </c>
      <c r="B3020" s="18" t="s">
        <v>6477</v>
      </c>
      <c r="C3020" s="20">
        <v>45726</v>
      </c>
      <c r="D3020" s="11">
        <v>71945</v>
      </c>
      <c r="E3020" s="27">
        <f t="shared" si="226"/>
        <v>80089.173999999999</v>
      </c>
      <c r="F3020" s="6">
        <f t="shared" si="222"/>
        <v>104115.9262</v>
      </c>
      <c r="G3020" s="7">
        <f t="shared" si="223"/>
        <v>112124.84359999999</v>
      </c>
      <c r="H3020" s="8">
        <f t="shared" si="224"/>
        <v>120133.761</v>
      </c>
      <c r="I3020" s="9">
        <f t="shared" si="225"/>
        <v>128142.6784</v>
      </c>
    </row>
    <row r="3021" spans="1:9" x14ac:dyDescent="0.35">
      <c r="A3021" s="24" t="s">
        <v>6553</v>
      </c>
      <c r="B3021" s="18" t="s">
        <v>6701</v>
      </c>
      <c r="C3021" s="20">
        <v>45726</v>
      </c>
      <c r="D3021" s="11">
        <v>72400.38</v>
      </c>
      <c r="E3021" s="27">
        <f t="shared" si="226"/>
        <v>80596.103015999994</v>
      </c>
      <c r="F3021" s="6">
        <f t="shared" si="222"/>
        <v>104774.9339208</v>
      </c>
      <c r="G3021" s="7">
        <f t="shared" si="223"/>
        <v>112834.54422239999</v>
      </c>
      <c r="H3021" s="8">
        <f t="shared" si="224"/>
        <v>120894.15452399998</v>
      </c>
      <c r="I3021" s="9">
        <f t="shared" si="225"/>
        <v>128953.7648256</v>
      </c>
    </row>
    <row r="3022" spans="1:9" ht="15.75" customHeight="1" x14ac:dyDescent="0.4">
      <c r="B3022" s="19" t="s">
        <v>656</v>
      </c>
      <c r="D3022" s="11">
        <v>0</v>
      </c>
      <c r="E3022" s="27">
        <f t="shared" si="226"/>
        <v>0</v>
      </c>
      <c r="F3022" s="6">
        <f t="shared" si="222"/>
        <v>0</v>
      </c>
      <c r="G3022" s="7">
        <f t="shared" si="223"/>
        <v>0</v>
      </c>
      <c r="H3022" s="8">
        <f t="shared" si="224"/>
        <v>0</v>
      </c>
      <c r="I3022" s="9">
        <f t="shared" si="225"/>
        <v>0</v>
      </c>
    </row>
    <row r="3023" spans="1:9" x14ac:dyDescent="0.35">
      <c r="A3023" s="24" t="s">
        <v>3052</v>
      </c>
      <c r="B3023" s="18" t="s">
        <v>5767</v>
      </c>
      <c r="C3023" s="20">
        <v>45677</v>
      </c>
      <c r="D3023" s="11">
        <v>30358.38</v>
      </c>
      <c r="E3023" s="27">
        <f t="shared" si="226"/>
        <v>33794.948616000001</v>
      </c>
      <c r="F3023" s="6">
        <f t="shared" si="222"/>
        <v>43933.433200800006</v>
      </c>
      <c r="G3023" s="7">
        <f t="shared" si="223"/>
        <v>47312.928062400002</v>
      </c>
      <c r="H3023" s="8">
        <f t="shared" si="224"/>
        <v>50692.422923999999</v>
      </c>
      <c r="I3023" s="9">
        <f t="shared" si="225"/>
        <v>54071.917785600002</v>
      </c>
    </row>
    <row r="3024" spans="1:9" x14ac:dyDescent="0.35">
      <c r="A3024" s="24" t="s">
        <v>5026</v>
      </c>
      <c r="B3024" s="18" t="s">
        <v>6770</v>
      </c>
      <c r="C3024" s="20">
        <v>45677</v>
      </c>
      <c r="D3024" s="11">
        <v>58817.85</v>
      </c>
      <c r="E3024" s="27">
        <f t="shared" ref="E3024:E3087" si="227">D3024*1.21*0.92</f>
        <v>65476.030619999998</v>
      </c>
      <c r="F3024" s="6">
        <f t="shared" si="222"/>
        <v>85118.839806000004</v>
      </c>
      <c r="G3024" s="7">
        <f t="shared" si="223"/>
        <v>91666.442867999998</v>
      </c>
      <c r="H3024" s="8">
        <f t="shared" si="224"/>
        <v>98214.045929999993</v>
      </c>
      <c r="I3024" s="9">
        <f t="shared" si="225"/>
        <v>104761.648992</v>
      </c>
    </row>
    <row r="3025" spans="1:9" ht="18" x14ac:dyDescent="0.4">
      <c r="B3025" s="19" t="s">
        <v>657</v>
      </c>
      <c r="D3025" s="11">
        <v>0</v>
      </c>
      <c r="E3025" s="27">
        <f t="shared" si="227"/>
        <v>0</v>
      </c>
      <c r="F3025" s="6">
        <f t="shared" si="222"/>
        <v>0</v>
      </c>
      <c r="G3025" s="7">
        <f t="shared" si="223"/>
        <v>0</v>
      </c>
      <c r="H3025" s="8">
        <f t="shared" si="224"/>
        <v>0</v>
      </c>
      <c r="I3025" s="9">
        <f t="shared" si="225"/>
        <v>0</v>
      </c>
    </row>
    <row r="3026" spans="1:9" x14ac:dyDescent="0.35">
      <c r="A3026" s="24" t="s">
        <v>3053</v>
      </c>
      <c r="B3026" s="18" t="s">
        <v>5442</v>
      </c>
      <c r="C3026" s="20">
        <v>45655</v>
      </c>
      <c r="D3026" s="11">
        <v>6986.25</v>
      </c>
      <c r="E3026" s="27">
        <f t="shared" si="227"/>
        <v>7777.0934999999999</v>
      </c>
      <c r="F3026" s="6">
        <f t="shared" si="222"/>
        <v>10110.22155</v>
      </c>
      <c r="G3026" s="7">
        <f t="shared" si="223"/>
        <v>10887.930899999999</v>
      </c>
      <c r="H3026" s="8">
        <f t="shared" si="224"/>
        <v>11665.64025</v>
      </c>
      <c r="I3026" s="9">
        <f t="shared" si="225"/>
        <v>12443.349600000001</v>
      </c>
    </row>
    <row r="3027" spans="1:9" x14ac:dyDescent="0.35">
      <c r="A3027" s="24" t="s">
        <v>3054</v>
      </c>
      <c r="B3027" s="18" t="s">
        <v>5447</v>
      </c>
      <c r="C3027" s="20">
        <v>45655</v>
      </c>
      <c r="D3027" s="11">
        <v>13972.5</v>
      </c>
      <c r="E3027" s="27">
        <f t="shared" si="227"/>
        <v>15554.187</v>
      </c>
      <c r="F3027" s="6">
        <f t="shared" ref="F3027:F3093" si="228">E3027*1.3</f>
        <v>20220.4431</v>
      </c>
      <c r="G3027" s="7">
        <f t="shared" ref="G3027:G3093" si="229">E3027*1.4</f>
        <v>21775.861799999999</v>
      </c>
      <c r="H3027" s="8">
        <f t="shared" ref="H3027:H3093" si="230">E3027*1.5</f>
        <v>23331.280500000001</v>
      </c>
      <c r="I3027" s="9">
        <f t="shared" ref="I3027:I3093" si="231">E3027*1.6</f>
        <v>24886.699200000003</v>
      </c>
    </row>
    <row r="3028" spans="1:9" x14ac:dyDescent="0.35">
      <c r="A3028" s="24" t="s">
        <v>3055</v>
      </c>
      <c r="B3028" s="18" t="s">
        <v>307</v>
      </c>
      <c r="C3028" s="20">
        <v>45655</v>
      </c>
      <c r="D3028" s="11">
        <v>20958.75</v>
      </c>
      <c r="E3028" s="27">
        <f t="shared" si="227"/>
        <v>23331.280500000001</v>
      </c>
      <c r="F3028" s="6">
        <f t="shared" si="228"/>
        <v>30330.664650000002</v>
      </c>
      <c r="G3028" s="7">
        <f t="shared" si="229"/>
        <v>32663.792699999998</v>
      </c>
      <c r="H3028" s="8">
        <f t="shared" si="230"/>
        <v>34996.920750000005</v>
      </c>
      <c r="I3028" s="9">
        <f t="shared" si="231"/>
        <v>37330.048800000004</v>
      </c>
    </row>
    <row r="3029" spans="1:9" x14ac:dyDescent="0.35">
      <c r="A3029" s="24" t="s">
        <v>6274</v>
      </c>
      <c r="B3029" s="18" t="s">
        <v>6275</v>
      </c>
      <c r="C3029" s="20">
        <v>45655</v>
      </c>
      <c r="D3029" s="11">
        <v>9859.0499999999993</v>
      </c>
      <c r="E3029" s="27">
        <f t="shared" si="227"/>
        <v>10975.09446</v>
      </c>
      <c r="F3029" s="6">
        <f t="shared" si="228"/>
        <v>14267.622798</v>
      </c>
      <c r="G3029" s="7">
        <f t="shared" si="229"/>
        <v>15365.132243999999</v>
      </c>
      <c r="H3029" s="8">
        <f t="shared" si="230"/>
        <v>16462.64169</v>
      </c>
      <c r="I3029" s="9">
        <f t="shared" si="231"/>
        <v>17560.151136</v>
      </c>
    </row>
    <row r="3030" spans="1:9" x14ac:dyDescent="0.35">
      <c r="A3030" s="24" t="s">
        <v>3056</v>
      </c>
      <c r="B3030" s="18" t="s">
        <v>6276</v>
      </c>
      <c r="C3030" s="20">
        <v>45655</v>
      </c>
      <c r="D3030" s="11">
        <v>20110.95</v>
      </c>
      <c r="E3030" s="27">
        <f t="shared" si="227"/>
        <v>22387.509540000003</v>
      </c>
      <c r="F3030" s="6">
        <f t="shared" si="228"/>
        <v>29103.762402000004</v>
      </c>
      <c r="G3030" s="7">
        <f t="shared" si="229"/>
        <v>31342.513356000003</v>
      </c>
      <c r="H3030" s="8">
        <f t="shared" si="230"/>
        <v>33581.264310000006</v>
      </c>
      <c r="I3030" s="9">
        <f t="shared" si="231"/>
        <v>35820.015264000009</v>
      </c>
    </row>
    <row r="3031" spans="1:9" ht="15.75" customHeight="1" x14ac:dyDescent="0.4">
      <c r="A3031" s="28"/>
      <c r="B3031" s="34" t="s">
        <v>658</v>
      </c>
      <c r="C3031" s="29"/>
      <c r="D3031" s="11">
        <v>0</v>
      </c>
      <c r="E3031" s="27">
        <f t="shared" si="227"/>
        <v>0</v>
      </c>
      <c r="F3031" s="6">
        <f t="shared" si="228"/>
        <v>0</v>
      </c>
      <c r="G3031" s="7">
        <f t="shared" si="229"/>
        <v>0</v>
      </c>
      <c r="H3031" s="8">
        <f t="shared" si="230"/>
        <v>0</v>
      </c>
      <c r="I3031" s="9">
        <f t="shared" si="231"/>
        <v>0</v>
      </c>
    </row>
    <row r="3032" spans="1:9" x14ac:dyDescent="0.35">
      <c r="A3032" s="28" t="s">
        <v>3057</v>
      </c>
      <c r="B3032" s="28" t="s">
        <v>349</v>
      </c>
      <c r="C3032" s="29">
        <v>45731</v>
      </c>
      <c r="D3032" s="11">
        <v>2667.1084650000007</v>
      </c>
      <c r="E3032" s="27">
        <f t="shared" si="227"/>
        <v>2969.025143238001</v>
      </c>
      <c r="F3032" s="6">
        <f t="shared" si="228"/>
        <v>3859.7326862094014</v>
      </c>
      <c r="G3032" s="7">
        <f t="shared" si="229"/>
        <v>4156.635200533201</v>
      </c>
      <c r="H3032" s="8">
        <f t="shared" si="230"/>
        <v>4453.5377148570014</v>
      </c>
      <c r="I3032" s="9">
        <f t="shared" si="231"/>
        <v>4750.4402291808019</v>
      </c>
    </row>
    <row r="3033" spans="1:9" x14ac:dyDescent="0.35">
      <c r="A3033" s="28" t="s">
        <v>3058</v>
      </c>
      <c r="B3033" s="28" t="s">
        <v>350</v>
      </c>
      <c r="C3033" s="29">
        <v>45731</v>
      </c>
      <c r="D3033" s="11">
        <v>3063.767844375001</v>
      </c>
      <c r="E3033" s="27">
        <f t="shared" si="227"/>
        <v>3410.5863643582511</v>
      </c>
      <c r="F3033" s="6">
        <f t="shared" si="228"/>
        <v>4433.7622736657268</v>
      </c>
      <c r="G3033" s="7">
        <f t="shared" si="229"/>
        <v>4774.8209101015509</v>
      </c>
      <c r="H3033" s="8">
        <f t="shared" si="230"/>
        <v>5115.8795465373769</v>
      </c>
      <c r="I3033" s="9">
        <f t="shared" si="231"/>
        <v>5456.9381829732019</v>
      </c>
    </row>
    <row r="3034" spans="1:9" x14ac:dyDescent="0.35">
      <c r="A3034" s="28" t="s">
        <v>3059</v>
      </c>
      <c r="B3034" s="28" t="s">
        <v>351</v>
      </c>
      <c r="C3034" s="29">
        <v>45731</v>
      </c>
      <c r="D3034" s="11">
        <v>3393.5061628125004</v>
      </c>
      <c r="E3034" s="27">
        <f t="shared" si="227"/>
        <v>3777.651060442875</v>
      </c>
      <c r="F3034" s="6">
        <f t="shared" si="228"/>
        <v>4910.946378575738</v>
      </c>
      <c r="G3034" s="7">
        <f t="shared" si="229"/>
        <v>5288.7114846200247</v>
      </c>
      <c r="H3034" s="8">
        <f t="shared" si="230"/>
        <v>5666.4765906643124</v>
      </c>
      <c r="I3034" s="9">
        <f t="shared" si="231"/>
        <v>6044.2416967086001</v>
      </c>
    </row>
    <row r="3035" spans="1:9" x14ac:dyDescent="0.35">
      <c r="A3035" s="28" t="s">
        <v>3060</v>
      </c>
      <c r="B3035" s="28" t="s">
        <v>679</v>
      </c>
      <c r="C3035" s="29">
        <v>45731</v>
      </c>
      <c r="D3035" s="11">
        <v>3589.4023593750007</v>
      </c>
      <c r="E3035" s="27">
        <f t="shared" si="227"/>
        <v>3995.7227064562503</v>
      </c>
      <c r="F3035" s="6">
        <f t="shared" si="228"/>
        <v>5194.4395183931256</v>
      </c>
      <c r="G3035" s="7">
        <f t="shared" si="229"/>
        <v>5594.0117890387501</v>
      </c>
      <c r="H3035" s="8">
        <f t="shared" si="230"/>
        <v>5993.5840596843755</v>
      </c>
      <c r="I3035" s="9">
        <f t="shared" si="231"/>
        <v>6393.1563303300009</v>
      </c>
    </row>
    <row r="3036" spans="1:9" x14ac:dyDescent="0.35">
      <c r="A3036" s="28" t="s">
        <v>3061</v>
      </c>
      <c r="B3036" s="28" t="s">
        <v>1245</v>
      </c>
      <c r="C3036" s="29">
        <v>45731</v>
      </c>
      <c r="D3036" s="11">
        <v>4368.1201593750011</v>
      </c>
      <c r="E3036" s="27">
        <f t="shared" si="227"/>
        <v>4862.5913614162509</v>
      </c>
      <c r="F3036" s="6">
        <f t="shared" si="228"/>
        <v>6321.3687698411268</v>
      </c>
      <c r="G3036" s="7">
        <f t="shared" si="229"/>
        <v>6807.6279059827511</v>
      </c>
      <c r="H3036" s="8">
        <f t="shared" si="230"/>
        <v>7293.8870421243764</v>
      </c>
      <c r="I3036" s="9">
        <f t="shared" si="231"/>
        <v>7780.1461782660017</v>
      </c>
    </row>
    <row r="3037" spans="1:9" x14ac:dyDescent="0.35">
      <c r="A3037" s="28" t="s">
        <v>798</v>
      </c>
      <c r="B3037" s="28" t="s">
        <v>1246</v>
      </c>
      <c r="C3037" s="29">
        <v>45731</v>
      </c>
      <c r="D3037" s="11">
        <v>5093.3011106250015</v>
      </c>
      <c r="E3037" s="27">
        <f t="shared" si="227"/>
        <v>5669.862796347752</v>
      </c>
      <c r="F3037" s="6">
        <f t="shared" si="228"/>
        <v>7370.8216352520776</v>
      </c>
      <c r="G3037" s="7">
        <f t="shared" si="229"/>
        <v>7937.8079148868519</v>
      </c>
      <c r="H3037" s="8">
        <f t="shared" si="230"/>
        <v>8504.794194521628</v>
      </c>
      <c r="I3037" s="9">
        <f t="shared" si="231"/>
        <v>9071.7804741564032</v>
      </c>
    </row>
    <row r="3038" spans="1:9" ht="15.75" customHeight="1" x14ac:dyDescent="0.4">
      <c r="B3038" s="19" t="s">
        <v>660</v>
      </c>
      <c r="D3038" s="11">
        <v>0</v>
      </c>
      <c r="E3038" s="27">
        <f t="shared" si="227"/>
        <v>0</v>
      </c>
      <c r="F3038" s="6">
        <f t="shared" si="228"/>
        <v>0</v>
      </c>
      <c r="G3038" s="7">
        <f t="shared" si="229"/>
        <v>0</v>
      </c>
      <c r="H3038" s="8">
        <f t="shared" si="230"/>
        <v>0</v>
      </c>
      <c r="I3038" s="9">
        <f t="shared" si="231"/>
        <v>0</v>
      </c>
    </row>
    <row r="3039" spans="1:9" x14ac:dyDescent="0.35">
      <c r="A3039" s="18" t="s">
        <v>799</v>
      </c>
      <c r="B3039" s="18" t="s">
        <v>1247</v>
      </c>
      <c r="C3039" s="20">
        <v>45677</v>
      </c>
      <c r="D3039" s="11">
        <v>1305.0922500000001</v>
      </c>
      <c r="E3039" s="27">
        <f t="shared" si="227"/>
        <v>1452.8286927000001</v>
      </c>
      <c r="F3039" s="6">
        <f t="shared" si="228"/>
        <v>1888.6773005100004</v>
      </c>
      <c r="G3039" s="7">
        <f t="shared" si="229"/>
        <v>2033.9601697800001</v>
      </c>
      <c r="H3039" s="8">
        <f t="shared" si="230"/>
        <v>2179.2430390500003</v>
      </c>
      <c r="I3039" s="9">
        <f t="shared" si="231"/>
        <v>2324.5259083200003</v>
      </c>
    </row>
    <row r="3040" spans="1:9" x14ac:dyDescent="0.35">
      <c r="A3040" s="18" t="s">
        <v>800</v>
      </c>
      <c r="B3040" s="18" t="s">
        <v>1249</v>
      </c>
      <c r="C3040" s="20">
        <v>45677</v>
      </c>
      <c r="D3040" s="11">
        <v>1655.2856250000002</v>
      </c>
      <c r="E3040" s="27">
        <f t="shared" si="227"/>
        <v>1842.6639577500002</v>
      </c>
      <c r="F3040" s="6">
        <f t="shared" si="228"/>
        <v>2395.4631450750003</v>
      </c>
      <c r="G3040" s="7">
        <f t="shared" si="229"/>
        <v>2579.7295408500004</v>
      </c>
      <c r="H3040" s="8">
        <f t="shared" si="230"/>
        <v>2763.9959366250005</v>
      </c>
      <c r="I3040" s="9">
        <f t="shared" si="231"/>
        <v>2948.2623324000006</v>
      </c>
    </row>
    <row r="3041" spans="1:9" x14ac:dyDescent="0.35">
      <c r="A3041" s="18" t="s">
        <v>801</v>
      </c>
      <c r="B3041" s="18" t="s">
        <v>1248</v>
      </c>
      <c r="C3041" s="20">
        <v>45677</v>
      </c>
      <c r="D3041" s="11">
        <v>2078.1967500000005</v>
      </c>
      <c r="E3041" s="27">
        <f t="shared" si="227"/>
        <v>2313.4486221000006</v>
      </c>
      <c r="F3041" s="6">
        <f t="shared" si="228"/>
        <v>3007.483208730001</v>
      </c>
      <c r="G3041" s="7">
        <f t="shared" si="229"/>
        <v>3238.8280709400005</v>
      </c>
      <c r="H3041" s="8">
        <f t="shared" si="230"/>
        <v>3470.172933150001</v>
      </c>
      <c r="I3041" s="9">
        <f t="shared" si="231"/>
        <v>3701.5177953600014</v>
      </c>
    </row>
    <row r="3042" spans="1:9" ht="15.75" customHeight="1" x14ac:dyDescent="0.4">
      <c r="B3042" s="19" t="s">
        <v>659</v>
      </c>
      <c r="D3042" s="11">
        <v>0</v>
      </c>
      <c r="E3042" s="27">
        <f t="shared" si="227"/>
        <v>0</v>
      </c>
      <c r="F3042" s="6">
        <f t="shared" si="228"/>
        <v>0</v>
      </c>
      <c r="G3042" s="7">
        <f t="shared" si="229"/>
        <v>0</v>
      </c>
      <c r="H3042" s="8">
        <f t="shared" si="230"/>
        <v>0</v>
      </c>
      <c r="I3042" s="9">
        <f t="shared" si="231"/>
        <v>0</v>
      </c>
    </row>
    <row r="3043" spans="1:9" x14ac:dyDescent="0.35">
      <c r="A3043" s="24" t="s">
        <v>802</v>
      </c>
      <c r="B3043" s="18" t="s">
        <v>1640</v>
      </c>
      <c r="C3043" s="20">
        <v>45726</v>
      </c>
      <c r="D3043" s="11">
        <v>14750.61</v>
      </c>
      <c r="E3043" s="27">
        <f t="shared" si="227"/>
        <v>16420.379052</v>
      </c>
      <c r="F3043" s="6">
        <f t="shared" si="228"/>
        <v>21346.492767600001</v>
      </c>
      <c r="G3043" s="7">
        <f t="shared" si="229"/>
        <v>22988.5306728</v>
      </c>
      <c r="H3043" s="8">
        <f t="shared" si="230"/>
        <v>24630.568577999999</v>
      </c>
      <c r="I3043" s="9">
        <f t="shared" si="231"/>
        <v>26272.606483200001</v>
      </c>
    </row>
    <row r="3044" spans="1:9" ht="15.75" customHeight="1" x14ac:dyDescent="0.4">
      <c r="A3044" s="10"/>
      <c r="B3044" s="30" t="s">
        <v>6346</v>
      </c>
      <c r="C3044" s="31"/>
      <c r="D3044" s="11">
        <v>0</v>
      </c>
      <c r="E3044" s="27">
        <f t="shared" si="227"/>
        <v>0</v>
      </c>
      <c r="F3044" s="6">
        <f t="shared" si="228"/>
        <v>0</v>
      </c>
      <c r="G3044" s="7">
        <f t="shared" si="229"/>
        <v>0</v>
      </c>
      <c r="H3044" s="8">
        <f t="shared" si="230"/>
        <v>0</v>
      </c>
      <c r="I3044" s="9">
        <f t="shared" si="231"/>
        <v>0</v>
      </c>
    </row>
    <row r="3045" spans="1:9" x14ac:dyDescent="0.35">
      <c r="A3045" s="10" t="s">
        <v>3062</v>
      </c>
      <c r="B3045" s="10" t="s">
        <v>752</v>
      </c>
      <c r="C3045" s="31">
        <v>45567</v>
      </c>
      <c r="D3045" s="11">
        <v>1152.82035</v>
      </c>
      <c r="E3045" s="27">
        <f t="shared" si="227"/>
        <v>1283.3196136199999</v>
      </c>
      <c r="F3045" s="6">
        <f t="shared" si="228"/>
        <v>1668.3154977059999</v>
      </c>
      <c r="G3045" s="7">
        <f t="shared" si="229"/>
        <v>1796.6474590679998</v>
      </c>
      <c r="H3045" s="8">
        <f t="shared" si="230"/>
        <v>1924.9794204299999</v>
      </c>
      <c r="I3045" s="9">
        <f t="shared" si="231"/>
        <v>2053.3113817919998</v>
      </c>
    </row>
    <row r="3046" spans="1:9" x14ac:dyDescent="0.35">
      <c r="A3046" s="10" t="s">
        <v>3063</v>
      </c>
      <c r="B3046" s="10" t="s">
        <v>157</v>
      </c>
      <c r="C3046" s="31">
        <v>45567</v>
      </c>
      <c r="D3046" s="11">
        <v>1152.82035</v>
      </c>
      <c r="E3046" s="27">
        <f t="shared" si="227"/>
        <v>1283.3196136199999</v>
      </c>
      <c r="F3046" s="6">
        <f t="shared" si="228"/>
        <v>1668.3154977059999</v>
      </c>
      <c r="G3046" s="7">
        <f t="shared" si="229"/>
        <v>1796.6474590679998</v>
      </c>
      <c r="H3046" s="8">
        <f t="shared" si="230"/>
        <v>1924.9794204299999</v>
      </c>
      <c r="I3046" s="9">
        <f t="shared" si="231"/>
        <v>2053.3113817919998</v>
      </c>
    </row>
    <row r="3047" spans="1:9" x14ac:dyDescent="0.35">
      <c r="A3047" s="10" t="s">
        <v>3064</v>
      </c>
      <c r="B3047" s="10" t="s">
        <v>158</v>
      </c>
      <c r="C3047" s="31">
        <v>45567</v>
      </c>
      <c r="D3047" s="11">
        <v>1152.82035</v>
      </c>
      <c r="E3047" s="27">
        <f t="shared" si="227"/>
        <v>1283.3196136199999</v>
      </c>
      <c r="F3047" s="6">
        <f t="shared" si="228"/>
        <v>1668.3154977059999</v>
      </c>
      <c r="G3047" s="7">
        <f t="shared" si="229"/>
        <v>1796.6474590679998</v>
      </c>
      <c r="H3047" s="8">
        <f t="shared" si="230"/>
        <v>1924.9794204299999</v>
      </c>
      <c r="I3047" s="9">
        <f t="shared" si="231"/>
        <v>2053.3113817919998</v>
      </c>
    </row>
    <row r="3048" spans="1:9" x14ac:dyDescent="0.35">
      <c r="A3048" s="10" t="s">
        <v>3065</v>
      </c>
      <c r="B3048" s="10" t="s">
        <v>159</v>
      </c>
      <c r="C3048" s="31">
        <v>45567</v>
      </c>
      <c r="D3048" s="11">
        <v>1152.82035</v>
      </c>
      <c r="E3048" s="27">
        <f t="shared" si="227"/>
        <v>1283.3196136199999</v>
      </c>
      <c r="F3048" s="6">
        <f t="shared" si="228"/>
        <v>1668.3154977059999</v>
      </c>
      <c r="G3048" s="7">
        <f t="shared" si="229"/>
        <v>1796.6474590679998</v>
      </c>
      <c r="H3048" s="8">
        <f t="shared" si="230"/>
        <v>1924.9794204299999</v>
      </c>
      <c r="I3048" s="9">
        <f t="shared" si="231"/>
        <v>2053.3113817919998</v>
      </c>
    </row>
    <row r="3049" spans="1:9" x14ac:dyDescent="0.35">
      <c r="A3049" s="10" t="s">
        <v>3066</v>
      </c>
      <c r="B3049" s="10" t="s">
        <v>160</v>
      </c>
      <c r="C3049" s="31">
        <v>45567</v>
      </c>
      <c r="D3049" s="11">
        <v>1152.82035</v>
      </c>
      <c r="E3049" s="27">
        <f t="shared" si="227"/>
        <v>1283.3196136199999</v>
      </c>
      <c r="F3049" s="6">
        <f t="shared" si="228"/>
        <v>1668.3154977059999</v>
      </c>
      <c r="G3049" s="7">
        <f t="shared" si="229"/>
        <v>1796.6474590679998</v>
      </c>
      <c r="H3049" s="8">
        <f t="shared" si="230"/>
        <v>1924.9794204299999</v>
      </c>
      <c r="I3049" s="9">
        <f t="shared" si="231"/>
        <v>2053.3113817919998</v>
      </c>
    </row>
    <row r="3050" spans="1:9" x14ac:dyDescent="0.35">
      <c r="A3050" s="10" t="s">
        <v>3067</v>
      </c>
      <c r="B3050" s="10" t="s">
        <v>161</v>
      </c>
      <c r="C3050" s="31">
        <v>45567</v>
      </c>
      <c r="D3050" s="11">
        <v>1152.82035</v>
      </c>
      <c r="E3050" s="27">
        <f t="shared" si="227"/>
        <v>1283.3196136199999</v>
      </c>
      <c r="F3050" s="6">
        <f t="shared" si="228"/>
        <v>1668.3154977059999</v>
      </c>
      <c r="G3050" s="7">
        <f t="shared" si="229"/>
        <v>1796.6474590679998</v>
      </c>
      <c r="H3050" s="8">
        <f t="shared" si="230"/>
        <v>1924.9794204299999</v>
      </c>
      <c r="I3050" s="9">
        <f t="shared" si="231"/>
        <v>2053.3113817919998</v>
      </c>
    </row>
    <row r="3051" spans="1:9" ht="18" x14ac:dyDescent="0.4">
      <c r="B3051" s="19" t="s">
        <v>6347</v>
      </c>
      <c r="D3051" s="11">
        <v>0</v>
      </c>
      <c r="E3051" s="27">
        <f t="shared" si="227"/>
        <v>0</v>
      </c>
      <c r="F3051" s="6">
        <f t="shared" si="228"/>
        <v>0</v>
      </c>
      <c r="G3051" s="7">
        <f t="shared" si="229"/>
        <v>0</v>
      </c>
      <c r="H3051" s="8">
        <f t="shared" si="230"/>
        <v>0</v>
      </c>
      <c r="I3051" s="9">
        <f t="shared" si="231"/>
        <v>0</v>
      </c>
    </row>
    <row r="3052" spans="1:9" x14ac:dyDescent="0.35">
      <c r="A3052" s="18" t="s">
        <v>6348</v>
      </c>
      <c r="B3052" s="18" t="s">
        <v>6350</v>
      </c>
      <c r="C3052" s="20">
        <v>45392</v>
      </c>
      <c r="D3052" s="11">
        <v>1870</v>
      </c>
      <c r="E3052" s="27">
        <f t="shared" si="227"/>
        <v>2081.6839999999997</v>
      </c>
      <c r="F3052" s="6">
        <f t="shared" si="228"/>
        <v>2706.1891999999998</v>
      </c>
      <c r="G3052" s="7">
        <f t="shared" si="229"/>
        <v>2914.3575999999994</v>
      </c>
      <c r="H3052" s="8">
        <f t="shared" si="230"/>
        <v>3122.5259999999998</v>
      </c>
      <c r="I3052" s="9">
        <f t="shared" si="231"/>
        <v>3330.6943999999999</v>
      </c>
    </row>
    <row r="3053" spans="1:9" x14ac:dyDescent="0.35">
      <c r="A3053" s="18" t="s">
        <v>6349</v>
      </c>
      <c r="B3053" s="18" t="s">
        <v>6351</v>
      </c>
      <c r="C3053" s="20">
        <v>45392</v>
      </c>
      <c r="D3053" s="11">
        <v>4354</v>
      </c>
      <c r="E3053" s="27">
        <f t="shared" si="227"/>
        <v>4846.8728000000001</v>
      </c>
      <c r="F3053" s="6">
        <f t="shared" si="228"/>
        <v>6300.9346400000004</v>
      </c>
      <c r="G3053" s="7">
        <f t="shared" si="229"/>
        <v>6785.6219199999996</v>
      </c>
      <c r="H3053" s="8">
        <f t="shared" si="230"/>
        <v>7270.3091999999997</v>
      </c>
      <c r="I3053" s="9">
        <f t="shared" si="231"/>
        <v>7754.9964800000007</v>
      </c>
    </row>
    <row r="3054" spans="1:9" ht="18" x14ac:dyDescent="0.4">
      <c r="B3054" s="19" t="s">
        <v>4581</v>
      </c>
      <c r="D3054" s="11">
        <v>0</v>
      </c>
      <c r="E3054" s="27">
        <f t="shared" si="227"/>
        <v>0</v>
      </c>
      <c r="F3054" s="6">
        <f t="shared" si="228"/>
        <v>0</v>
      </c>
      <c r="G3054" s="7">
        <f t="shared" si="229"/>
        <v>0</v>
      </c>
      <c r="H3054" s="8">
        <f t="shared" si="230"/>
        <v>0</v>
      </c>
      <c r="I3054" s="9">
        <f t="shared" si="231"/>
        <v>0</v>
      </c>
    </row>
    <row r="3055" spans="1:9" x14ac:dyDescent="0.35">
      <c r="A3055" s="18" t="s">
        <v>4582</v>
      </c>
      <c r="B3055" s="18" t="s">
        <v>4585</v>
      </c>
      <c r="C3055" s="20">
        <v>45629</v>
      </c>
      <c r="D3055" s="11">
        <v>103551.88512509956</v>
      </c>
      <c r="E3055" s="27">
        <f t="shared" si="227"/>
        <v>115273.95852126084</v>
      </c>
      <c r="F3055" s="6">
        <f t="shared" si="228"/>
        <v>149856.1460776391</v>
      </c>
      <c r="G3055" s="7">
        <f t="shared" si="229"/>
        <v>161383.54192976517</v>
      </c>
      <c r="H3055" s="8">
        <f t="shared" si="230"/>
        <v>172910.93778189126</v>
      </c>
      <c r="I3055" s="9">
        <f t="shared" si="231"/>
        <v>184438.33363401736</v>
      </c>
    </row>
    <row r="3056" spans="1:9" x14ac:dyDescent="0.35">
      <c r="A3056" s="18" t="s">
        <v>4583</v>
      </c>
      <c r="B3056" s="18" t="s">
        <v>4586</v>
      </c>
      <c r="C3056" s="20">
        <v>45629</v>
      </c>
      <c r="D3056" s="11">
        <v>111877.64082432262</v>
      </c>
      <c r="E3056" s="27">
        <f t="shared" si="227"/>
        <v>124542.18976563594</v>
      </c>
      <c r="F3056" s="6">
        <f t="shared" si="228"/>
        <v>161904.84669532673</v>
      </c>
      <c r="G3056" s="7">
        <f t="shared" si="229"/>
        <v>174359.0656718903</v>
      </c>
      <c r="H3056" s="8">
        <f t="shared" si="230"/>
        <v>186813.2846484539</v>
      </c>
      <c r="I3056" s="9">
        <f t="shared" si="231"/>
        <v>199267.5036250175</v>
      </c>
    </row>
    <row r="3057" spans="1:9" x14ac:dyDescent="0.35">
      <c r="A3057" s="18" t="s">
        <v>4584</v>
      </c>
      <c r="B3057" s="18" t="s">
        <v>4587</v>
      </c>
      <c r="C3057" s="20">
        <v>45629</v>
      </c>
      <c r="D3057" s="11">
        <v>122649.10432396462</v>
      </c>
      <c r="E3057" s="27">
        <f t="shared" si="227"/>
        <v>136532.98293343742</v>
      </c>
      <c r="F3057" s="6">
        <f t="shared" si="228"/>
        <v>177492.87781346866</v>
      </c>
      <c r="G3057" s="7">
        <f t="shared" si="229"/>
        <v>191146.17610681237</v>
      </c>
      <c r="H3057" s="8">
        <f t="shared" si="230"/>
        <v>204799.47440015612</v>
      </c>
      <c r="I3057" s="9">
        <f t="shared" si="231"/>
        <v>218452.77269349989</v>
      </c>
    </row>
    <row r="3058" spans="1:9" x14ac:dyDescent="0.35">
      <c r="A3058" s="18" t="s">
        <v>4698</v>
      </c>
      <c r="B3058" s="18" t="s">
        <v>4699</v>
      </c>
      <c r="C3058" s="20">
        <v>45629</v>
      </c>
      <c r="D3058" s="11">
        <v>126648.55389597063</v>
      </c>
      <c r="E3058" s="27">
        <f t="shared" si="227"/>
        <v>140985.1701969945</v>
      </c>
      <c r="F3058" s="6">
        <f t="shared" si="228"/>
        <v>183280.72125609286</v>
      </c>
      <c r="G3058" s="7">
        <f t="shared" si="229"/>
        <v>197379.23827579228</v>
      </c>
      <c r="H3058" s="8">
        <f t="shared" si="230"/>
        <v>211477.75529549175</v>
      </c>
      <c r="I3058" s="9">
        <f t="shared" si="231"/>
        <v>225576.27231519122</v>
      </c>
    </row>
    <row r="3059" spans="1:9" ht="18" x14ac:dyDescent="0.4">
      <c r="A3059" s="28"/>
      <c r="B3059" s="34" t="s">
        <v>4518</v>
      </c>
      <c r="C3059" s="29"/>
      <c r="D3059" s="11">
        <v>0</v>
      </c>
      <c r="E3059" s="27">
        <f t="shared" si="227"/>
        <v>0</v>
      </c>
      <c r="F3059" s="6">
        <f t="shared" si="228"/>
        <v>0</v>
      </c>
      <c r="G3059" s="7">
        <f t="shared" si="229"/>
        <v>0</v>
      </c>
      <c r="H3059" s="8">
        <f t="shared" si="230"/>
        <v>0</v>
      </c>
      <c r="I3059" s="9">
        <f t="shared" si="231"/>
        <v>0</v>
      </c>
    </row>
    <row r="3060" spans="1:9" x14ac:dyDescent="0.35">
      <c r="A3060" s="35" t="s">
        <v>4519</v>
      </c>
      <c r="B3060" s="35" t="s">
        <v>4522</v>
      </c>
      <c r="C3060" s="29">
        <v>45730</v>
      </c>
      <c r="D3060" s="11">
        <v>6870.433640411763</v>
      </c>
      <c r="E3060" s="27">
        <f t="shared" si="227"/>
        <v>7648.166728506375</v>
      </c>
      <c r="F3060" s="6">
        <f t="shared" si="228"/>
        <v>9942.6167470582877</v>
      </c>
      <c r="G3060" s="7">
        <f t="shared" si="229"/>
        <v>10707.433419908924</v>
      </c>
      <c r="H3060" s="8">
        <f t="shared" si="230"/>
        <v>11472.250092759563</v>
      </c>
      <c r="I3060" s="9">
        <f t="shared" si="231"/>
        <v>12237.066765610201</v>
      </c>
    </row>
    <row r="3061" spans="1:9" x14ac:dyDescent="0.35">
      <c r="A3061" s="35" t="s">
        <v>4520</v>
      </c>
      <c r="B3061" s="35" t="s">
        <v>4523</v>
      </c>
      <c r="C3061" s="29">
        <v>45730</v>
      </c>
      <c r="D3061" s="11">
        <v>7357.0893566075929</v>
      </c>
      <c r="E3061" s="27">
        <f t="shared" si="227"/>
        <v>8189.9118717755728</v>
      </c>
      <c r="F3061" s="6">
        <f t="shared" si="228"/>
        <v>10646.885433308245</v>
      </c>
      <c r="G3061" s="7">
        <f t="shared" si="229"/>
        <v>11465.8766204858</v>
      </c>
      <c r="H3061" s="8">
        <f t="shared" si="230"/>
        <v>12284.867807663359</v>
      </c>
      <c r="I3061" s="9">
        <f t="shared" si="231"/>
        <v>13103.858994840917</v>
      </c>
    </row>
    <row r="3062" spans="1:9" x14ac:dyDescent="0.35">
      <c r="A3062" s="28" t="s">
        <v>4521</v>
      </c>
      <c r="B3062" s="35" t="s">
        <v>4524</v>
      </c>
      <c r="C3062" s="29">
        <v>45730</v>
      </c>
      <c r="D3062" s="11">
        <v>7357.0893566075929</v>
      </c>
      <c r="E3062" s="27">
        <f t="shared" si="227"/>
        <v>8189.9118717755728</v>
      </c>
      <c r="F3062" s="6">
        <f t="shared" si="228"/>
        <v>10646.885433308245</v>
      </c>
      <c r="G3062" s="7">
        <f t="shared" si="229"/>
        <v>11465.8766204858</v>
      </c>
      <c r="H3062" s="8">
        <f t="shared" si="230"/>
        <v>12284.867807663359</v>
      </c>
      <c r="I3062" s="9">
        <f t="shared" si="231"/>
        <v>13103.858994840917</v>
      </c>
    </row>
    <row r="3063" spans="1:9" x14ac:dyDescent="0.35">
      <c r="A3063" s="28" t="s">
        <v>4534</v>
      </c>
      <c r="B3063" s="35" t="s">
        <v>4525</v>
      </c>
      <c r="C3063" s="29">
        <v>45730</v>
      </c>
      <c r="D3063" s="11">
        <v>8444.9080163394574</v>
      </c>
      <c r="E3063" s="27">
        <f t="shared" si="227"/>
        <v>9400.8716037890845</v>
      </c>
      <c r="F3063" s="6">
        <f t="shared" si="228"/>
        <v>12221.13308492581</v>
      </c>
      <c r="G3063" s="7">
        <f t="shared" si="229"/>
        <v>13161.220245304718</v>
      </c>
      <c r="H3063" s="8">
        <f t="shared" si="230"/>
        <v>14101.307405683627</v>
      </c>
      <c r="I3063" s="9">
        <f t="shared" si="231"/>
        <v>15041.394566062536</v>
      </c>
    </row>
    <row r="3064" spans="1:9" x14ac:dyDescent="0.35">
      <c r="A3064" s="28" t="s">
        <v>4535</v>
      </c>
      <c r="B3064" s="35" t="s">
        <v>4526</v>
      </c>
      <c r="C3064" s="29">
        <v>45730</v>
      </c>
      <c r="D3064" s="11">
        <v>8645.2956641847941</v>
      </c>
      <c r="E3064" s="27">
        <f t="shared" si="227"/>
        <v>9623.9431333705143</v>
      </c>
      <c r="F3064" s="6">
        <f t="shared" si="228"/>
        <v>12511.126073381669</v>
      </c>
      <c r="G3064" s="7">
        <f t="shared" si="229"/>
        <v>13473.520386718719</v>
      </c>
      <c r="H3064" s="8">
        <f t="shared" si="230"/>
        <v>14435.914700055771</v>
      </c>
      <c r="I3064" s="9">
        <f t="shared" si="231"/>
        <v>15398.309013392824</v>
      </c>
    </row>
    <row r="3065" spans="1:9" x14ac:dyDescent="0.35">
      <c r="A3065" s="28" t="s">
        <v>4536</v>
      </c>
      <c r="B3065" s="35" t="s">
        <v>4527</v>
      </c>
      <c r="C3065" s="29">
        <v>45730</v>
      </c>
      <c r="D3065" s="11">
        <v>11679.73718869999</v>
      </c>
      <c r="E3065" s="27">
        <f t="shared" si="227"/>
        <v>13001.883438460829</v>
      </c>
      <c r="F3065" s="6">
        <f t="shared" si="228"/>
        <v>16902.448469999079</v>
      </c>
      <c r="G3065" s="7">
        <f t="shared" si="229"/>
        <v>18202.636813845158</v>
      </c>
      <c r="H3065" s="8">
        <f t="shared" si="230"/>
        <v>19502.825157691244</v>
      </c>
      <c r="I3065" s="9">
        <f t="shared" si="231"/>
        <v>20803.013501537327</v>
      </c>
    </row>
    <row r="3066" spans="1:9" x14ac:dyDescent="0.35">
      <c r="A3066" s="28" t="s">
        <v>4537</v>
      </c>
      <c r="B3066" s="35" t="s">
        <v>4528</v>
      </c>
      <c r="C3066" s="29">
        <v>45730</v>
      </c>
      <c r="D3066" s="11">
        <v>19179.960579482835</v>
      </c>
      <c r="E3066" s="27">
        <f t="shared" si="227"/>
        <v>21351.132117080291</v>
      </c>
      <c r="F3066" s="6">
        <f t="shared" si="228"/>
        <v>27756.471752204379</v>
      </c>
      <c r="G3066" s="7">
        <f t="shared" si="229"/>
        <v>29891.584963912406</v>
      </c>
      <c r="H3066" s="8">
        <f t="shared" si="230"/>
        <v>32026.698175620437</v>
      </c>
      <c r="I3066" s="9">
        <f t="shared" si="231"/>
        <v>34161.811387328467</v>
      </c>
    </row>
    <row r="3067" spans="1:9" x14ac:dyDescent="0.35">
      <c r="A3067" s="28" t="s">
        <v>4538</v>
      </c>
      <c r="B3067" s="35" t="s">
        <v>4529</v>
      </c>
      <c r="C3067" s="29">
        <v>45730</v>
      </c>
      <c r="D3067" s="11">
        <v>25048.455980667877</v>
      </c>
      <c r="E3067" s="27">
        <f t="shared" si="227"/>
        <v>27883.941197679484</v>
      </c>
      <c r="F3067" s="6">
        <f t="shared" si="228"/>
        <v>36249.12355698333</v>
      </c>
      <c r="G3067" s="7">
        <f t="shared" si="229"/>
        <v>39037.517676751275</v>
      </c>
      <c r="H3067" s="8">
        <f t="shared" si="230"/>
        <v>41825.911796519227</v>
      </c>
      <c r="I3067" s="9">
        <f t="shared" si="231"/>
        <v>44614.30591628718</v>
      </c>
    </row>
    <row r="3068" spans="1:9" x14ac:dyDescent="0.35">
      <c r="A3068" s="28" t="s">
        <v>4539</v>
      </c>
      <c r="B3068" s="35" t="s">
        <v>4530</v>
      </c>
      <c r="C3068" s="29">
        <v>45730</v>
      </c>
      <c r="D3068" s="11">
        <v>29628.745074275714</v>
      </c>
      <c r="E3068" s="27">
        <f t="shared" si="227"/>
        <v>32982.719016683724</v>
      </c>
      <c r="F3068" s="6">
        <f t="shared" si="228"/>
        <v>42877.53472168884</v>
      </c>
      <c r="G3068" s="7">
        <f t="shared" si="229"/>
        <v>46175.80662335721</v>
      </c>
      <c r="H3068" s="8">
        <f t="shared" si="230"/>
        <v>49474.078525025587</v>
      </c>
      <c r="I3068" s="9">
        <f t="shared" si="231"/>
        <v>52772.350426693964</v>
      </c>
    </row>
    <row r="3069" spans="1:9" x14ac:dyDescent="0.35">
      <c r="A3069" s="28" t="s">
        <v>4540</v>
      </c>
      <c r="B3069" s="35" t="s">
        <v>4531</v>
      </c>
      <c r="C3069" s="29">
        <v>45730</v>
      </c>
      <c r="D3069" s="11">
        <v>59686.892251077159</v>
      </c>
      <c r="E3069" s="27">
        <f t="shared" si="227"/>
        <v>66443.448453899095</v>
      </c>
      <c r="F3069" s="6">
        <f t="shared" si="228"/>
        <v>86376.48299006882</v>
      </c>
      <c r="G3069" s="7">
        <f t="shared" si="229"/>
        <v>93020.827835458724</v>
      </c>
      <c r="H3069" s="8">
        <f t="shared" si="230"/>
        <v>99665.172680848642</v>
      </c>
      <c r="I3069" s="9">
        <f t="shared" si="231"/>
        <v>106309.51752623856</v>
      </c>
    </row>
    <row r="3070" spans="1:9" x14ac:dyDescent="0.35">
      <c r="A3070" s="28" t="s">
        <v>4541</v>
      </c>
      <c r="B3070" s="35" t="s">
        <v>4532</v>
      </c>
      <c r="C3070" s="29">
        <v>45730</v>
      </c>
      <c r="D3070" s="11">
        <v>64410.31537886025</v>
      </c>
      <c r="E3070" s="27">
        <f t="shared" si="227"/>
        <v>71701.563079747226</v>
      </c>
      <c r="F3070" s="6">
        <f t="shared" si="228"/>
        <v>93212.032003671397</v>
      </c>
      <c r="G3070" s="7">
        <f t="shared" si="229"/>
        <v>100382.18831164611</v>
      </c>
      <c r="H3070" s="8">
        <f t="shared" si="230"/>
        <v>107552.34461962084</v>
      </c>
      <c r="I3070" s="9">
        <f t="shared" si="231"/>
        <v>114722.50092759557</v>
      </c>
    </row>
    <row r="3071" spans="1:9" x14ac:dyDescent="0.35">
      <c r="A3071" s="28" t="s">
        <v>4542</v>
      </c>
      <c r="B3071" s="35" t="s">
        <v>4533</v>
      </c>
      <c r="C3071" s="29">
        <v>45730</v>
      </c>
      <c r="D3071" s="11">
        <v>77635.879734997463</v>
      </c>
      <c r="E3071" s="27">
        <f t="shared" si="227"/>
        <v>86424.261320999183</v>
      </c>
      <c r="F3071" s="6">
        <f t="shared" si="228"/>
        <v>112351.53971729895</v>
      </c>
      <c r="G3071" s="7">
        <f t="shared" si="229"/>
        <v>120993.96584939885</v>
      </c>
      <c r="H3071" s="8">
        <f t="shared" si="230"/>
        <v>129636.39198149877</v>
      </c>
      <c r="I3071" s="9">
        <f t="shared" si="231"/>
        <v>138278.81811359871</v>
      </c>
    </row>
    <row r="3072" spans="1:9" ht="15.75" customHeight="1" x14ac:dyDescent="0.4">
      <c r="B3072" s="19" t="s">
        <v>2785</v>
      </c>
      <c r="D3072" s="11">
        <v>0</v>
      </c>
      <c r="E3072" s="27">
        <f t="shared" si="227"/>
        <v>0</v>
      </c>
      <c r="F3072" s="6">
        <f t="shared" si="228"/>
        <v>0</v>
      </c>
      <c r="G3072" s="7">
        <f t="shared" si="229"/>
        <v>0</v>
      </c>
      <c r="H3072" s="8">
        <f t="shared" si="230"/>
        <v>0</v>
      </c>
      <c r="I3072" s="9">
        <f t="shared" si="231"/>
        <v>0</v>
      </c>
    </row>
    <row r="3073" spans="1:9" x14ac:dyDescent="0.35">
      <c r="A3073" s="18" t="s">
        <v>821</v>
      </c>
      <c r="B3073" s="18" t="s">
        <v>1250</v>
      </c>
      <c r="C3073" s="20">
        <v>45544</v>
      </c>
      <c r="D3073" s="11">
        <v>44480.173920000001</v>
      </c>
      <c r="E3073" s="27">
        <f t="shared" si="227"/>
        <v>49515.329607744003</v>
      </c>
      <c r="F3073" s="6">
        <f t="shared" si="228"/>
        <v>64369.928490067206</v>
      </c>
      <c r="G3073" s="7">
        <f t="shared" si="229"/>
        <v>69321.461450841598</v>
      </c>
      <c r="H3073" s="8">
        <f t="shared" si="230"/>
        <v>74272.994411616004</v>
      </c>
      <c r="I3073" s="9">
        <f t="shared" si="231"/>
        <v>79224.52737239041</v>
      </c>
    </row>
    <row r="3074" spans="1:9" x14ac:dyDescent="0.35">
      <c r="A3074" s="18" t="s">
        <v>822</v>
      </c>
      <c r="B3074" s="18" t="s">
        <v>1251</v>
      </c>
      <c r="C3074" s="20">
        <v>45544</v>
      </c>
      <c r="D3074" s="11">
        <v>48758.6008</v>
      </c>
      <c r="E3074" s="27">
        <f t="shared" si="227"/>
        <v>54278.074410559995</v>
      </c>
      <c r="F3074" s="6">
        <f t="shared" si="228"/>
        <v>70561.496733727996</v>
      </c>
      <c r="G3074" s="7">
        <f t="shared" si="229"/>
        <v>75989.304174783989</v>
      </c>
      <c r="H3074" s="8">
        <f t="shared" si="230"/>
        <v>81417.111615839996</v>
      </c>
      <c r="I3074" s="9">
        <f t="shared" si="231"/>
        <v>86844.919056896004</v>
      </c>
    </row>
    <row r="3075" spans="1:9" x14ac:dyDescent="0.35">
      <c r="A3075" s="18" t="s">
        <v>823</v>
      </c>
      <c r="B3075" s="18" t="s">
        <v>1252</v>
      </c>
      <c r="C3075" s="20">
        <v>45544</v>
      </c>
      <c r="D3075" s="11">
        <v>51523.23</v>
      </c>
      <c r="E3075" s="27">
        <f t="shared" si="227"/>
        <v>57355.659636000004</v>
      </c>
      <c r="F3075" s="6">
        <f t="shared" si="228"/>
        <v>74562.357526800013</v>
      </c>
      <c r="G3075" s="7">
        <f t="shared" si="229"/>
        <v>80297.923490400004</v>
      </c>
      <c r="H3075" s="8">
        <f t="shared" si="230"/>
        <v>86033.48945400001</v>
      </c>
      <c r="I3075" s="9">
        <f t="shared" si="231"/>
        <v>91769.055417600015</v>
      </c>
    </row>
    <row r="3076" spans="1:9" x14ac:dyDescent="0.35">
      <c r="A3076" s="18" t="s">
        <v>824</v>
      </c>
      <c r="B3076" s="18" t="s">
        <v>1253</v>
      </c>
      <c r="C3076" s="20">
        <v>45544</v>
      </c>
      <c r="D3076" s="11">
        <v>43660.962844322479</v>
      </c>
      <c r="E3076" s="27">
        <f t="shared" si="227"/>
        <v>48603.383838299786</v>
      </c>
      <c r="F3076" s="6">
        <f t="shared" si="228"/>
        <v>63184.398989789726</v>
      </c>
      <c r="G3076" s="7">
        <f t="shared" si="229"/>
        <v>68044.73737361969</v>
      </c>
      <c r="H3076" s="8">
        <f t="shared" si="230"/>
        <v>72905.075757449682</v>
      </c>
      <c r="I3076" s="9">
        <f t="shared" si="231"/>
        <v>77765.41414127966</v>
      </c>
    </row>
    <row r="3077" spans="1:9" ht="15.75" customHeight="1" x14ac:dyDescent="0.4">
      <c r="B3077" s="19" t="s">
        <v>4677</v>
      </c>
      <c r="D3077" s="11">
        <v>0</v>
      </c>
      <c r="E3077" s="27">
        <f t="shared" si="227"/>
        <v>0</v>
      </c>
      <c r="F3077" s="6">
        <f t="shared" si="228"/>
        <v>0</v>
      </c>
      <c r="G3077" s="7">
        <f t="shared" si="229"/>
        <v>0</v>
      </c>
      <c r="H3077" s="8">
        <f t="shared" si="230"/>
        <v>0</v>
      </c>
      <c r="I3077" s="9">
        <f t="shared" si="231"/>
        <v>0</v>
      </c>
    </row>
    <row r="3078" spans="1:9" x14ac:dyDescent="0.35">
      <c r="A3078" s="18" t="s">
        <v>3068</v>
      </c>
      <c r="B3078" s="18" t="s">
        <v>23</v>
      </c>
      <c r="C3078" s="20">
        <v>45726</v>
      </c>
      <c r="D3078" s="11">
        <v>1378.9878917406472</v>
      </c>
      <c r="E3078" s="27">
        <f t="shared" si="227"/>
        <v>1535.0893210856887</v>
      </c>
      <c r="F3078" s="6">
        <f t="shared" si="228"/>
        <v>1995.6161174113954</v>
      </c>
      <c r="G3078" s="7">
        <f t="shared" si="229"/>
        <v>2149.1250495199638</v>
      </c>
      <c r="H3078" s="8">
        <f t="shared" si="230"/>
        <v>2302.6339816285331</v>
      </c>
      <c r="I3078" s="9">
        <f t="shared" si="231"/>
        <v>2456.1429137371019</v>
      </c>
    </row>
    <row r="3079" spans="1:9" x14ac:dyDescent="0.35">
      <c r="A3079" s="18" t="s">
        <v>3069</v>
      </c>
      <c r="B3079" s="18" t="s">
        <v>24</v>
      </c>
      <c r="C3079" s="20">
        <v>45726</v>
      </c>
      <c r="D3079" s="11">
        <v>2104.2333755449868</v>
      </c>
      <c r="E3079" s="27">
        <f t="shared" si="227"/>
        <v>2342.4325936566793</v>
      </c>
      <c r="F3079" s="6">
        <f t="shared" si="228"/>
        <v>3045.1623717536831</v>
      </c>
      <c r="G3079" s="7">
        <f t="shared" si="229"/>
        <v>3279.4056311193508</v>
      </c>
      <c r="H3079" s="8">
        <f t="shared" si="230"/>
        <v>3513.6488904850189</v>
      </c>
      <c r="I3079" s="9">
        <f t="shared" si="231"/>
        <v>3747.892149850687</v>
      </c>
    </row>
    <row r="3080" spans="1:9" x14ac:dyDescent="0.35">
      <c r="A3080" s="18" t="s">
        <v>3070</v>
      </c>
      <c r="B3080" s="18" t="s">
        <v>25</v>
      </c>
      <c r="C3080" s="20">
        <v>45726</v>
      </c>
      <c r="D3080" s="11">
        <v>2474.5171612901595</v>
      </c>
      <c r="E3080" s="27">
        <f t="shared" si="227"/>
        <v>2754.6325039482058</v>
      </c>
      <c r="F3080" s="6">
        <f t="shared" si="228"/>
        <v>3581.0222551326679</v>
      </c>
      <c r="G3080" s="7">
        <f t="shared" si="229"/>
        <v>3856.4855055274879</v>
      </c>
      <c r="H3080" s="8">
        <f t="shared" si="230"/>
        <v>4131.9487559223089</v>
      </c>
      <c r="I3080" s="9">
        <f t="shared" si="231"/>
        <v>4407.4120063171295</v>
      </c>
    </row>
    <row r="3081" spans="1:9" x14ac:dyDescent="0.35">
      <c r="A3081" s="18" t="s">
        <v>3071</v>
      </c>
      <c r="B3081" s="18" t="s">
        <v>26</v>
      </c>
      <c r="C3081" s="20">
        <v>45726</v>
      </c>
      <c r="D3081" s="11">
        <v>3255.9436332765267</v>
      </c>
      <c r="E3081" s="27">
        <f t="shared" si="227"/>
        <v>3624.5164525634295</v>
      </c>
      <c r="F3081" s="6">
        <f t="shared" si="228"/>
        <v>4711.871388332459</v>
      </c>
      <c r="G3081" s="7">
        <f t="shared" si="229"/>
        <v>5074.3230335888011</v>
      </c>
      <c r="H3081" s="8">
        <f t="shared" si="230"/>
        <v>5436.7746788451441</v>
      </c>
      <c r="I3081" s="9">
        <f t="shared" si="231"/>
        <v>5799.226324101488</v>
      </c>
    </row>
    <row r="3082" spans="1:9" x14ac:dyDescent="0.35">
      <c r="A3082" s="18" t="s">
        <v>3072</v>
      </c>
      <c r="B3082" s="18" t="s">
        <v>27</v>
      </c>
      <c r="C3082" s="20">
        <v>45726</v>
      </c>
      <c r="D3082" s="11">
        <v>3746.2504392287574</v>
      </c>
      <c r="E3082" s="27">
        <f t="shared" si="227"/>
        <v>4170.3259889494529</v>
      </c>
      <c r="F3082" s="6">
        <f t="shared" si="228"/>
        <v>5421.4237856342888</v>
      </c>
      <c r="G3082" s="7">
        <f t="shared" si="229"/>
        <v>5838.4563845292341</v>
      </c>
      <c r="H3082" s="8">
        <f t="shared" si="230"/>
        <v>6255.4889834241794</v>
      </c>
      <c r="I3082" s="9">
        <f t="shared" si="231"/>
        <v>6672.5215823191247</v>
      </c>
    </row>
    <row r="3083" spans="1:9" x14ac:dyDescent="0.35">
      <c r="A3083" s="18" t="s">
        <v>1781</v>
      </c>
      <c r="B3083" s="18" t="s">
        <v>2966</v>
      </c>
      <c r="C3083" s="20">
        <v>45726</v>
      </c>
      <c r="D3083" s="11">
        <v>1833.5431597588597</v>
      </c>
      <c r="E3083" s="27">
        <f t="shared" si="227"/>
        <v>2041.1002454435625</v>
      </c>
      <c r="F3083" s="6">
        <f t="shared" si="228"/>
        <v>2653.4303190766313</v>
      </c>
      <c r="G3083" s="7">
        <f t="shared" si="229"/>
        <v>2857.5403436209872</v>
      </c>
      <c r="H3083" s="8">
        <f t="shared" si="230"/>
        <v>3061.6503681653439</v>
      </c>
      <c r="I3083" s="9">
        <f t="shared" si="231"/>
        <v>3265.7603927097002</v>
      </c>
    </row>
    <row r="3084" spans="1:9" x14ac:dyDescent="0.35">
      <c r="A3084" s="18" t="s">
        <v>1782</v>
      </c>
      <c r="B3084" s="18" t="s">
        <v>2967</v>
      </c>
      <c r="C3084" s="20">
        <v>45726</v>
      </c>
      <c r="D3084" s="11">
        <v>2883.1061662503512</v>
      </c>
      <c r="E3084" s="27">
        <f t="shared" si="227"/>
        <v>3209.473784269891</v>
      </c>
      <c r="F3084" s="6">
        <f t="shared" si="228"/>
        <v>4172.3159195508588</v>
      </c>
      <c r="G3084" s="7">
        <f t="shared" si="229"/>
        <v>4493.2632979778473</v>
      </c>
      <c r="H3084" s="8">
        <f t="shared" si="230"/>
        <v>4814.2106764048367</v>
      </c>
      <c r="I3084" s="9">
        <f t="shared" si="231"/>
        <v>5135.1580548318261</v>
      </c>
    </row>
    <row r="3085" spans="1:9" x14ac:dyDescent="0.35">
      <c r="A3085" s="18" t="s">
        <v>1783</v>
      </c>
      <c r="B3085" s="18" t="s">
        <v>2968</v>
      </c>
      <c r="C3085" s="20">
        <v>45726</v>
      </c>
      <c r="D3085" s="11">
        <v>3473.0065421616282</v>
      </c>
      <c r="E3085" s="27">
        <f t="shared" si="227"/>
        <v>3866.1508827343246</v>
      </c>
      <c r="F3085" s="6">
        <f t="shared" si="228"/>
        <v>5025.9961475546224</v>
      </c>
      <c r="G3085" s="7">
        <f t="shared" si="229"/>
        <v>5412.6112358280543</v>
      </c>
      <c r="H3085" s="8">
        <f t="shared" si="230"/>
        <v>5799.2263241014871</v>
      </c>
      <c r="I3085" s="9">
        <f t="shared" si="231"/>
        <v>6185.8414123749199</v>
      </c>
    </row>
    <row r="3086" spans="1:9" x14ac:dyDescent="0.35">
      <c r="A3086" s="18" t="s">
        <v>1784</v>
      </c>
      <c r="B3086" s="18" t="s">
        <v>2969</v>
      </c>
      <c r="C3086" s="20">
        <v>45726</v>
      </c>
      <c r="D3086" s="11">
        <v>4673.2367442321911</v>
      </c>
      <c r="E3086" s="27">
        <f t="shared" si="227"/>
        <v>5202.2471436792757</v>
      </c>
      <c r="F3086" s="6">
        <f t="shared" si="228"/>
        <v>6762.9212867830583</v>
      </c>
      <c r="G3086" s="7">
        <f t="shared" si="229"/>
        <v>7283.1460011509853</v>
      </c>
      <c r="H3086" s="8">
        <f t="shared" si="230"/>
        <v>7803.3707155189131</v>
      </c>
      <c r="I3086" s="9">
        <f t="shared" si="231"/>
        <v>8323.5954298868419</v>
      </c>
    </row>
    <row r="3087" spans="1:9" x14ac:dyDescent="0.35">
      <c r="A3087" s="18" t="s">
        <v>1785</v>
      </c>
      <c r="B3087" s="18" t="s">
        <v>2970</v>
      </c>
      <c r="C3087" s="20">
        <v>45726</v>
      </c>
      <c r="D3087" s="11">
        <v>5293.7812955154832</v>
      </c>
      <c r="E3087" s="27">
        <f t="shared" si="227"/>
        <v>5893.0373381678364</v>
      </c>
      <c r="F3087" s="6">
        <f t="shared" si="228"/>
        <v>7660.9485396181872</v>
      </c>
      <c r="G3087" s="7">
        <f t="shared" si="229"/>
        <v>8250.2522734349714</v>
      </c>
      <c r="H3087" s="8">
        <f t="shared" si="230"/>
        <v>8839.5560072517546</v>
      </c>
      <c r="I3087" s="9">
        <f t="shared" si="231"/>
        <v>9428.8597410685379</v>
      </c>
    </row>
    <row r="3088" spans="1:9" x14ac:dyDescent="0.35">
      <c r="A3088" s="18" t="s">
        <v>1786</v>
      </c>
      <c r="B3088" s="18" t="s">
        <v>114</v>
      </c>
      <c r="C3088" s="20">
        <v>45726</v>
      </c>
      <c r="D3088" s="11">
        <v>3047.2968753976215</v>
      </c>
      <c r="E3088" s="27">
        <f t="shared" ref="E3088:E3151" si="232">D3088*1.21*0.92</f>
        <v>3392.2508816926324</v>
      </c>
      <c r="F3088" s="6">
        <f t="shared" si="228"/>
        <v>4409.9261462004224</v>
      </c>
      <c r="G3088" s="7">
        <f t="shared" si="229"/>
        <v>4749.151234369685</v>
      </c>
      <c r="H3088" s="8">
        <f t="shared" si="230"/>
        <v>5088.3763225389484</v>
      </c>
      <c r="I3088" s="9">
        <f t="shared" si="231"/>
        <v>5427.6014107082119</v>
      </c>
    </row>
    <row r="3089" spans="1:9" x14ac:dyDescent="0.35">
      <c r="A3089" s="18" t="s">
        <v>1787</v>
      </c>
      <c r="B3089" s="18" t="s">
        <v>115</v>
      </c>
      <c r="C3089" s="20">
        <v>45726</v>
      </c>
      <c r="D3089" s="11">
        <v>5418.7341325163943</v>
      </c>
      <c r="E3089" s="27">
        <f t="shared" si="232"/>
        <v>6032.1348363172501</v>
      </c>
      <c r="F3089" s="6">
        <f t="shared" si="228"/>
        <v>7841.7752872124256</v>
      </c>
      <c r="G3089" s="7">
        <f t="shared" si="229"/>
        <v>8444.9887708441493</v>
      </c>
      <c r="H3089" s="8">
        <f t="shared" si="230"/>
        <v>9048.2022544758747</v>
      </c>
      <c r="I3089" s="9">
        <f t="shared" si="231"/>
        <v>9651.4157381076002</v>
      </c>
    </row>
    <row r="3090" spans="1:9" x14ac:dyDescent="0.35">
      <c r="A3090" s="18" t="s">
        <v>1788</v>
      </c>
      <c r="B3090" s="18" t="s">
        <v>116</v>
      </c>
      <c r="C3090" s="20">
        <v>45726</v>
      </c>
      <c r="D3090" s="11">
        <v>6675.5958787893396</v>
      </c>
      <c r="E3090" s="27">
        <f t="shared" si="232"/>
        <v>7431.2733322682934</v>
      </c>
      <c r="F3090" s="6">
        <f t="shared" si="228"/>
        <v>9660.6553319487812</v>
      </c>
      <c r="G3090" s="7">
        <f t="shared" si="229"/>
        <v>10403.78266517561</v>
      </c>
      <c r="H3090" s="8">
        <f t="shared" si="230"/>
        <v>11146.90999840244</v>
      </c>
      <c r="I3090" s="9">
        <f t="shared" si="231"/>
        <v>11890.03733162927</v>
      </c>
    </row>
    <row r="3091" spans="1:9" x14ac:dyDescent="0.35">
      <c r="A3091" s="18" t="s">
        <v>1789</v>
      </c>
      <c r="B3091" s="18" t="s">
        <v>117</v>
      </c>
      <c r="C3091" s="20">
        <v>45726</v>
      </c>
      <c r="D3091" s="11">
        <v>8128.3675174268119</v>
      </c>
      <c r="E3091" s="27">
        <f t="shared" si="232"/>
        <v>9048.4987203995261</v>
      </c>
      <c r="F3091" s="6">
        <f t="shared" si="228"/>
        <v>11763.048336519385</v>
      </c>
      <c r="G3091" s="7">
        <f t="shared" si="229"/>
        <v>12667.898208559336</v>
      </c>
      <c r="H3091" s="8">
        <f t="shared" si="230"/>
        <v>13572.748080599289</v>
      </c>
      <c r="I3091" s="9">
        <f t="shared" si="231"/>
        <v>14477.597952639242</v>
      </c>
    </row>
    <row r="3092" spans="1:9" x14ac:dyDescent="0.35">
      <c r="A3092" s="18" t="s">
        <v>1790</v>
      </c>
      <c r="B3092" s="18" t="s">
        <v>118</v>
      </c>
      <c r="C3092" s="20">
        <v>45726</v>
      </c>
      <c r="D3092" s="11">
        <v>8508.8660282959881</v>
      </c>
      <c r="E3092" s="27">
        <f t="shared" si="232"/>
        <v>9472.0696626990939</v>
      </c>
      <c r="F3092" s="6">
        <f t="shared" si="228"/>
        <v>12313.690561508822</v>
      </c>
      <c r="G3092" s="7">
        <f t="shared" si="229"/>
        <v>13260.89752777873</v>
      </c>
      <c r="H3092" s="8">
        <f t="shared" si="230"/>
        <v>14208.104494048641</v>
      </c>
      <c r="I3092" s="9">
        <f t="shared" si="231"/>
        <v>15155.311460318551</v>
      </c>
    </row>
    <row r="3093" spans="1:9" ht="18" x14ac:dyDescent="0.4">
      <c r="A3093" s="36"/>
      <c r="B3093" s="37" t="s">
        <v>6140</v>
      </c>
      <c r="C3093" s="38"/>
      <c r="D3093" s="11">
        <v>0</v>
      </c>
      <c r="E3093" s="27">
        <f t="shared" si="232"/>
        <v>0</v>
      </c>
      <c r="F3093" s="6">
        <f t="shared" si="228"/>
        <v>0</v>
      </c>
      <c r="G3093" s="7">
        <f t="shared" si="229"/>
        <v>0</v>
      </c>
      <c r="H3093" s="8">
        <f t="shared" si="230"/>
        <v>0</v>
      </c>
      <c r="I3093" s="9">
        <f t="shared" si="231"/>
        <v>0</v>
      </c>
    </row>
    <row r="3094" spans="1:9" x14ac:dyDescent="0.35">
      <c r="A3094" s="36" t="s">
        <v>6141</v>
      </c>
      <c r="B3094" s="39" t="s">
        <v>6167</v>
      </c>
      <c r="C3094" s="38">
        <v>45730</v>
      </c>
      <c r="D3094" s="11">
        <v>402.47565119999996</v>
      </c>
      <c r="E3094" s="27">
        <f t="shared" si="232"/>
        <v>448.03589491583995</v>
      </c>
      <c r="F3094" s="6">
        <f t="shared" ref="F3094:F3157" si="233">E3094*1.3</f>
        <v>582.44666339059199</v>
      </c>
      <c r="G3094" s="7">
        <f t="shared" ref="G3094:G3157" si="234">E3094*1.4</f>
        <v>627.25025288217591</v>
      </c>
      <c r="H3094" s="8">
        <f t="shared" ref="H3094:H3157" si="235">E3094*1.5</f>
        <v>672.05384237375995</v>
      </c>
      <c r="I3094" s="9">
        <f t="shared" ref="I3094:I3157" si="236">E3094*1.6</f>
        <v>716.85743186534398</v>
      </c>
    </row>
    <row r="3095" spans="1:9" x14ac:dyDescent="0.35">
      <c r="A3095" s="36" t="s">
        <v>6142</v>
      </c>
      <c r="B3095" s="39" t="s">
        <v>6168</v>
      </c>
      <c r="C3095" s="38">
        <v>45730</v>
      </c>
      <c r="D3095" s="11">
        <v>671.59290239999996</v>
      </c>
      <c r="E3095" s="27">
        <f t="shared" si="232"/>
        <v>747.61721895168</v>
      </c>
      <c r="F3095" s="6">
        <f t="shared" si="233"/>
        <v>971.90238463718401</v>
      </c>
      <c r="G3095" s="7">
        <f t="shared" si="234"/>
        <v>1046.664106532352</v>
      </c>
      <c r="H3095" s="8">
        <f t="shared" si="235"/>
        <v>1121.4258284275199</v>
      </c>
      <c r="I3095" s="9">
        <f t="shared" si="236"/>
        <v>1196.1875503226881</v>
      </c>
    </row>
    <row r="3096" spans="1:9" x14ac:dyDescent="0.35">
      <c r="A3096" s="36" t="s">
        <v>6143</v>
      </c>
      <c r="B3096" s="39" t="s">
        <v>6169</v>
      </c>
      <c r="C3096" s="38">
        <v>45730</v>
      </c>
      <c r="D3096" s="11">
        <v>813.21952319999991</v>
      </c>
      <c r="E3096" s="27">
        <f t="shared" si="232"/>
        <v>905.2759732262399</v>
      </c>
      <c r="F3096" s="6">
        <f t="shared" si="233"/>
        <v>1176.8587651941118</v>
      </c>
      <c r="G3096" s="7">
        <f t="shared" si="234"/>
        <v>1267.3863625167357</v>
      </c>
      <c r="H3096" s="8">
        <f t="shared" si="235"/>
        <v>1357.9139598393599</v>
      </c>
      <c r="I3096" s="9">
        <f t="shared" si="236"/>
        <v>1448.4415571619838</v>
      </c>
    </row>
    <row r="3097" spans="1:9" x14ac:dyDescent="0.35">
      <c r="A3097" s="36" t="s">
        <v>6144</v>
      </c>
      <c r="B3097" s="39" t="s">
        <v>6170</v>
      </c>
      <c r="C3097" s="38">
        <v>45730</v>
      </c>
      <c r="D3097" s="11">
        <v>1026.2500416</v>
      </c>
      <c r="E3097" s="27">
        <f t="shared" si="232"/>
        <v>1142.42154630912</v>
      </c>
      <c r="F3097" s="6">
        <f t="shared" si="233"/>
        <v>1485.1480102018561</v>
      </c>
      <c r="G3097" s="7">
        <f t="shared" si="234"/>
        <v>1599.3901648327678</v>
      </c>
      <c r="H3097" s="8">
        <f t="shared" si="235"/>
        <v>1713.63231946368</v>
      </c>
      <c r="I3097" s="9">
        <f t="shared" si="236"/>
        <v>1827.8744740945922</v>
      </c>
    </row>
    <row r="3098" spans="1:9" x14ac:dyDescent="0.35">
      <c r="A3098" s="36" t="s">
        <v>6145</v>
      </c>
      <c r="B3098" s="39" t="s">
        <v>6171</v>
      </c>
      <c r="C3098" s="38">
        <v>45730</v>
      </c>
      <c r="D3098" s="11">
        <v>1258.0269407999999</v>
      </c>
      <c r="E3098" s="27">
        <f t="shared" si="232"/>
        <v>1400.4355904985598</v>
      </c>
      <c r="F3098" s="6">
        <f t="shared" si="233"/>
        <v>1820.5662676481279</v>
      </c>
      <c r="G3098" s="7">
        <f t="shared" si="234"/>
        <v>1960.6098266979836</v>
      </c>
      <c r="H3098" s="8">
        <f t="shared" si="235"/>
        <v>2100.6533857478398</v>
      </c>
      <c r="I3098" s="9">
        <f t="shared" si="236"/>
        <v>2240.6969447976958</v>
      </c>
    </row>
    <row r="3099" spans="1:9" x14ac:dyDescent="0.35">
      <c r="A3099" s="36" t="s">
        <v>6146</v>
      </c>
      <c r="B3099" s="39" t="s">
        <v>6172</v>
      </c>
      <c r="C3099" s="38">
        <v>45730</v>
      </c>
      <c r="D3099" s="11">
        <v>1477.5729696000001</v>
      </c>
      <c r="E3099" s="27">
        <f t="shared" si="232"/>
        <v>1644.8342297587201</v>
      </c>
      <c r="F3099" s="6">
        <f t="shared" si="233"/>
        <v>2138.2844986863361</v>
      </c>
      <c r="G3099" s="7">
        <f t="shared" si="234"/>
        <v>2302.7679216622078</v>
      </c>
      <c r="H3099" s="8">
        <f t="shared" si="235"/>
        <v>2467.2513446380799</v>
      </c>
      <c r="I3099" s="9">
        <f t="shared" si="236"/>
        <v>2631.7347676139525</v>
      </c>
    </row>
    <row r="3100" spans="1:9" x14ac:dyDescent="0.35">
      <c r="A3100" s="36" t="s">
        <v>6147</v>
      </c>
      <c r="B3100" s="39" t="s">
        <v>6173</v>
      </c>
      <c r="C3100" s="38">
        <v>45730</v>
      </c>
      <c r="D3100" s="11">
        <v>1659.0547007999999</v>
      </c>
      <c r="E3100" s="27">
        <f t="shared" si="232"/>
        <v>1846.85969293056</v>
      </c>
      <c r="F3100" s="6">
        <f t="shared" si="233"/>
        <v>2400.9176008097279</v>
      </c>
      <c r="G3100" s="7">
        <f t="shared" si="234"/>
        <v>2585.6035701027836</v>
      </c>
      <c r="H3100" s="8">
        <f t="shared" si="235"/>
        <v>2770.2895393958397</v>
      </c>
      <c r="I3100" s="9">
        <f t="shared" si="236"/>
        <v>2954.9755086888963</v>
      </c>
    </row>
    <row r="3101" spans="1:9" x14ac:dyDescent="0.35">
      <c r="A3101" s="36" t="s">
        <v>6148</v>
      </c>
      <c r="B3101" s="39" t="s">
        <v>6174</v>
      </c>
      <c r="C3101" s="38">
        <v>45730</v>
      </c>
      <c r="D3101" s="11">
        <v>2049.9853248000004</v>
      </c>
      <c r="E3101" s="27">
        <f t="shared" si="232"/>
        <v>2282.0436635673605</v>
      </c>
      <c r="F3101" s="6">
        <f t="shared" si="233"/>
        <v>2966.6567626375686</v>
      </c>
      <c r="G3101" s="7">
        <f t="shared" si="234"/>
        <v>3194.8611289943046</v>
      </c>
      <c r="H3101" s="8">
        <f t="shared" si="235"/>
        <v>3423.0654953510407</v>
      </c>
      <c r="I3101" s="9">
        <f t="shared" si="236"/>
        <v>3651.2698617077767</v>
      </c>
    </row>
    <row r="3102" spans="1:9" x14ac:dyDescent="0.35">
      <c r="A3102" s="36" t="s">
        <v>6149</v>
      </c>
      <c r="B3102" s="39" t="s">
        <v>6175</v>
      </c>
      <c r="C3102" s="38">
        <v>45730</v>
      </c>
      <c r="D3102" s="11">
        <v>2391.3066240000007</v>
      </c>
      <c r="E3102" s="27">
        <f t="shared" si="232"/>
        <v>2662.0025338368009</v>
      </c>
      <c r="F3102" s="6">
        <f t="shared" si="233"/>
        <v>3460.6032939878414</v>
      </c>
      <c r="G3102" s="7">
        <f t="shared" si="234"/>
        <v>3726.8035473715208</v>
      </c>
      <c r="H3102" s="8">
        <f t="shared" si="235"/>
        <v>3993.0038007552012</v>
      </c>
      <c r="I3102" s="9">
        <f t="shared" si="236"/>
        <v>4259.2040541388815</v>
      </c>
    </row>
    <row r="3103" spans="1:9" x14ac:dyDescent="0.35">
      <c r="A3103" s="36" t="s">
        <v>6150</v>
      </c>
      <c r="B3103" s="39" t="s">
        <v>6176</v>
      </c>
      <c r="C3103" s="38">
        <v>45730</v>
      </c>
      <c r="D3103" s="11">
        <v>538.92034560000002</v>
      </c>
      <c r="E3103" s="27">
        <f t="shared" si="232"/>
        <v>599.92612872192001</v>
      </c>
      <c r="F3103" s="6">
        <f t="shared" si="233"/>
        <v>779.90396733849605</v>
      </c>
      <c r="G3103" s="7">
        <f t="shared" si="234"/>
        <v>839.89658021068794</v>
      </c>
      <c r="H3103" s="8">
        <f t="shared" si="235"/>
        <v>899.88919308287996</v>
      </c>
      <c r="I3103" s="9">
        <f t="shared" si="236"/>
        <v>959.88180595507208</v>
      </c>
    </row>
    <row r="3104" spans="1:9" x14ac:dyDescent="0.35">
      <c r="A3104" s="36" t="s">
        <v>6151</v>
      </c>
      <c r="B3104" s="39" t="s">
        <v>6177</v>
      </c>
      <c r="C3104" s="38">
        <v>45730</v>
      </c>
      <c r="D3104" s="11">
        <v>837.6431616000001</v>
      </c>
      <c r="E3104" s="27">
        <f t="shared" si="232"/>
        <v>932.46436749312011</v>
      </c>
      <c r="F3104" s="6">
        <f t="shared" si="233"/>
        <v>1212.2036777410563</v>
      </c>
      <c r="G3104" s="7">
        <f t="shared" si="234"/>
        <v>1305.4501144903682</v>
      </c>
      <c r="H3104" s="8">
        <f t="shared" si="235"/>
        <v>1398.69655123968</v>
      </c>
      <c r="I3104" s="9">
        <f t="shared" si="236"/>
        <v>1491.9429879889922</v>
      </c>
    </row>
    <row r="3105" spans="1:9" x14ac:dyDescent="0.35">
      <c r="A3105" s="36" t="s">
        <v>6152</v>
      </c>
      <c r="B3105" s="39" t="s">
        <v>6178</v>
      </c>
      <c r="C3105" s="38">
        <v>45730</v>
      </c>
      <c r="D3105" s="11">
        <v>1050.0259392</v>
      </c>
      <c r="E3105" s="27">
        <f t="shared" si="232"/>
        <v>1168.8888755174401</v>
      </c>
      <c r="F3105" s="6">
        <f t="shared" si="233"/>
        <v>1519.5555381726722</v>
      </c>
      <c r="G3105" s="7">
        <f t="shared" si="234"/>
        <v>1636.4444257244161</v>
      </c>
      <c r="H3105" s="8">
        <f t="shared" si="235"/>
        <v>1753.33331327616</v>
      </c>
      <c r="I3105" s="9">
        <f t="shared" si="236"/>
        <v>1870.2222008279041</v>
      </c>
    </row>
    <row r="3106" spans="1:9" x14ac:dyDescent="0.35">
      <c r="A3106" s="36" t="s">
        <v>6153</v>
      </c>
      <c r="B3106" s="39" t="s">
        <v>6179</v>
      </c>
      <c r="C3106" s="38">
        <v>45730</v>
      </c>
      <c r="D3106" s="11">
        <v>1270.3721184000001</v>
      </c>
      <c r="E3106" s="27">
        <f t="shared" si="232"/>
        <v>1414.1782422028803</v>
      </c>
      <c r="F3106" s="6">
        <f t="shared" si="233"/>
        <v>1838.4317148637444</v>
      </c>
      <c r="G3106" s="7">
        <f t="shared" si="234"/>
        <v>1979.8495390840321</v>
      </c>
      <c r="H3106" s="8">
        <f t="shared" si="235"/>
        <v>2121.2673633043205</v>
      </c>
      <c r="I3106" s="9">
        <f t="shared" si="236"/>
        <v>2262.6851875246084</v>
      </c>
    </row>
    <row r="3107" spans="1:9" x14ac:dyDescent="0.35">
      <c r="A3107" s="36" t="s">
        <v>6154</v>
      </c>
      <c r="B3107" s="39" t="s">
        <v>6180</v>
      </c>
      <c r="C3107" s="38">
        <v>45730</v>
      </c>
      <c r="D3107" s="11">
        <v>1518.7616640000001</v>
      </c>
      <c r="E3107" s="27">
        <f t="shared" si="232"/>
        <v>1690.6854843648002</v>
      </c>
      <c r="F3107" s="6">
        <f t="shared" si="233"/>
        <v>2197.8911296742403</v>
      </c>
      <c r="G3107" s="7">
        <f t="shared" si="234"/>
        <v>2366.9596781107202</v>
      </c>
      <c r="H3107" s="8">
        <f t="shared" si="235"/>
        <v>2536.0282265472006</v>
      </c>
      <c r="I3107" s="9">
        <f t="shared" si="236"/>
        <v>2705.0967749836805</v>
      </c>
    </row>
    <row r="3108" spans="1:9" x14ac:dyDescent="0.35">
      <c r="A3108" s="36" t="s">
        <v>6155</v>
      </c>
      <c r="B3108" s="39" t="s">
        <v>6181</v>
      </c>
      <c r="C3108" s="38">
        <v>45730</v>
      </c>
      <c r="D3108" s="11">
        <v>1780.0298207999999</v>
      </c>
      <c r="E3108" s="27">
        <f t="shared" si="232"/>
        <v>1981.5291965145598</v>
      </c>
      <c r="F3108" s="6">
        <f t="shared" si="233"/>
        <v>2575.9879554689278</v>
      </c>
      <c r="G3108" s="7">
        <f t="shared" si="234"/>
        <v>2774.1408751203835</v>
      </c>
      <c r="H3108" s="8">
        <f t="shared" si="235"/>
        <v>2972.2937947718397</v>
      </c>
      <c r="I3108" s="9">
        <f t="shared" si="236"/>
        <v>3170.4467144232958</v>
      </c>
    </row>
    <row r="3109" spans="1:9" x14ac:dyDescent="0.35">
      <c r="A3109" s="36" t="s">
        <v>6156</v>
      </c>
      <c r="B3109" s="39" t="s">
        <v>6182</v>
      </c>
      <c r="C3109" s="38">
        <v>45730</v>
      </c>
      <c r="D3109" s="11">
        <v>2016.9886464000001</v>
      </c>
      <c r="E3109" s="27">
        <f t="shared" si="232"/>
        <v>2245.3117611724801</v>
      </c>
      <c r="F3109" s="6">
        <f t="shared" si="233"/>
        <v>2918.9052895242244</v>
      </c>
      <c r="G3109" s="7">
        <f t="shared" si="234"/>
        <v>3143.4364656414718</v>
      </c>
      <c r="H3109" s="8">
        <f t="shared" si="235"/>
        <v>3367.9676417587202</v>
      </c>
      <c r="I3109" s="9">
        <f t="shared" si="236"/>
        <v>3592.4988178759686</v>
      </c>
    </row>
    <row r="3110" spans="1:9" x14ac:dyDescent="0.35">
      <c r="A3110" s="36" t="s">
        <v>6157</v>
      </c>
      <c r="B3110" s="39" t="s">
        <v>6183</v>
      </c>
      <c r="C3110" s="38">
        <v>45730</v>
      </c>
      <c r="D3110" s="11">
        <v>2391.3066240000007</v>
      </c>
      <c r="E3110" s="27">
        <f t="shared" si="232"/>
        <v>2662.0025338368009</v>
      </c>
      <c r="F3110" s="6">
        <f t="shared" si="233"/>
        <v>3460.6032939878414</v>
      </c>
      <c r="G3110" s="7">
        <f t="shared" si="234"/>
        <v>3726.8035473715208</v>
      </c>
      <c r="H3110" s="8">
        <f t="shared" si="235"/>
        <v>3993.0038007552012</v>
      </c>
      <c r="I3110" s="9">
        <f t="shared" si="236"/>
        <v>4259.2040541388815</v>
      </c>
    </row>
    <row r="3111" spans="1:9" x14ac:dyDescent="0.35">
      <c r="A3111" s="36" t="s">
        <v>6158</v>
      </c>
      <c r="B3111" s="39" t="s">
        <v>6184</v>
      </c>
      <c r="C3111" s="38">
        <v>45730</v>
      </c>
      <c r="D3111" s="11">
        <v>2951.411904</v>
      </c>
      <c r="E3111" s="27">
        <f t="shared" si="232"/>
        <v>3285.5117315327998</v>
      </c>
      <c r="F3111" s="6">
        <f t="shared" si="233"/>
        <v>4271.1652509926398</v>
      </c>
      <c r="G3111" s="7">
        <f t="shared" si="234"/>
        <v>4599.7164241459195</v>
      </c>
      <c r="H3111" s="8">
        <f t="shared" si="235"/>
        <v>4928.2675972992001</v>
      </c>
      <c r="I3111" s="9">
        <f t="shared" si="236"/>
        <v>5256.8187704524798</v>
      </c>
    </row>
    <row r="3112" spans="1:9" x14ac:dyDescent="0.35">
      <c r="A3112" s="36" t="s">
        <v>6159</v>
      </c>
      <c r="B3112" s="39" t="s">
        <v>6185</v>
      </c>
      <c r="C3112" s="38">
        <v>45730</v>
      </c>
      <c r="D3112" s="11">
        <v>773.85974400000009</v>
      </c>
      <c r="E3112" s="27">
        <f t="shared" si="232"/>
        <v>861.46066702080009</v>
      </c>
      <c r="F3112" s="6">
        <f t="shared" si="233"/>
        <v>1119.8988671270401</v>
      </c>
      <c r="G3112" s="7">
        <f t="shared" si="234"/>
        <v>1206.0449338291201</v>
      </c>
      <c r="H3112" s="8">
        <f t="shared" si="235"/>
        <v>1292.1910005312002</v>
      </c>
      <c r="I3112" s="9">
        <f t="shared" si="236"/>
        <v>1378.3370672332803</v>
      </c>
    </row>
    <row r="3113" spans="1:9" x14ac:dyDescent="0.35">
      <c r="A3113" s="36" t="s">
        <v>6160</v>
      </c>
      <c r="B3113" s="39" t="s">
        <v>6186</v>
      </c>
      <c r="C3113" s="38">
        <v>45730</v>
      </c>
      <c r="D3113" s="11">
        <v>837.6431616000001</v>
      </c>
      <c r="E3113" s="27">
        <f t="shared" si="232"/>
        <v>932.46436749312011</v>
      </c>
      <c r="F3113" s="6">
        <f t="shared" si="233"/>
        <v>1212.2036777410563</v>
      </c>
      <c r="G3113" s="7">
        <f t="shared" si="234"/>
        <v>1305.4501144903682</v>
      </c>
      <c r="H3113" s="8">
        <f t="shared" si="235"/>
        <v>1398.69655123968</v>
      </c>
      <c r="I3113" s="9">
        <f t="shared" si="236"/>
        <v>1491.9429879889922</v>
      </c>
    </row>
    <row r="3114" spans="1:9" x14ac:dyDescent="0.35">
      <c r="A3114" s="36" t="s">
        <v>6161</v>
      </c>
      <c r="B3114" s="39" t="s">
        <v>6187</v>
      </c>
      <c r="C3114" s="38">
        <v>45730</v>
      </c>
      <c r="D3114" s="11">
        <v>1635.0501888000001</v>
      </c>
      <c r="E3114" s="27">
        <f t="shared" si="232"/>
        <v>1820.1378701721601</v>
      </c>
      <c r="F3114" s="6">
        <f t="shared" si="233"/>
        <v>2366.1792312238081</v>
      </c>
      <c r="G3114" s="7">
        <f t="shared" si="234"/>
        <v>2548.1930182410238</v>
      </c>
      <c r="H3114" s="8">
        <f t="shared" si="235"/>
        <v>2730.2068052582399</v>
      </c>
      <c r="I3114" s="9">
        <f t="shared" si="236"/>
        <v>2912.2205922754565</v>
      </c>
    </row>
    <row r="3115" spans="1:9" x14ac:dyDescent="0.35">
      <c r="A3115" s="36" t="s">
        <v>6162</v>
      </c>
      <c r="B3115" s="39" t="s">
        <v>6188</v>
      </c>
      <c r="C3115" s="38">
        <v>45730</v>
      </c>
      <c r="D3115" s="11">
        <v>1953.8910720000001</v>
      </c>
      <c r="E3115" s="27">
        <f t="shared" si="232"/>
        <v>2175.0715413503999</v>
      </c>
      <c r="F3115" s="6">
        <f t="shared" si="233"/>
        <v>2827.5930037555199</v>
      </c>
      <c r="G3115" s="7">
        <f t="shared" si="234"/>
        <v>3045.1001578905598</v>
      </c>
      <c r="H3115" s="8">
        <f t="shared" si="235"/>
        <v>3262.6073120255996</v>
      </c>
      <c r="I3115" s="9">
        <f t="shared" si="236"/>
        <v>3480.1144661606399</v>
      </c>
    </row>
    <row r="3116" spans="1:9" x14ac:dyDescent="0.35">
      <c r="A3116" s="36" t="s">
        <v>6163</v>
      </c>
      <c r="B3116" s="39" t="s">
        <v>6189</v>
      </c>
      <c r="C3116" s="38">
        <v>45730</v>
      </c>
      <c r="D3116" s="11">
        <v>2348.5557312000001</v>
      </c>
      <c r="E3116" s="27">
        <f t="shared" si="232"/>
        <v>2614.4122399718403</v>
      </c>
      <c r="F3116" s="6">
        <f t="shared" si="233"/>
        <v>3398.7359119633925</v>
      </c>
      <c r="G3116" s="7">
        <f t="shared" si="234"/>
        <v>3660.1771359605764</v>
      </c>
      <c r="H3116" s="8">
        <f t="shared" si="235"/>
        <v>3921.6183599577607</v>
      </c>
      <c r="I3116" s="9">
        <f t="shared" si="236"/>
        <v>4183.0595839549451</v>
      </c>
    </row>
    <row r="3117" spans="1:9" x14ac:dyDescent="0.35">
      <c r="A3117" s="36" t="s">
        <v>6164</v>
      </c>
      <c r="B3117" s="39" t="s">
        <v>6190</v>
      </c>
      <c r="C3117" s="38">
        <v>45730</v>
      </c>
      <c r="D3117" s="11">
        <v>2752.0220448</v>
      </c>
      <c r="E3117" s="27">
        <f t="shared" si="232"/>
        <v>3063.5509402713601</v>
      </c>
      <c r="F3117" s="6">
        <f t="shared" si="233"/>
        <v>3982.6162223527681</v>
      </c>
      <c r="G3117" s="7">
        <f t="shared" si="234"/>
        <v>4288.9713163799042</v>
      </c>
      <c r="H3117" s="8">
        <f t="shared" si="235"/>
        <v>4595.3264104070404</v>
      </c>
      <c r="I3117" s="9">
        <f t="shared" si="236"/>
        <v>4901.6815044341765</v>
      </c>
    </row>
    <row r="3118" spans="1:9" x14ac:dyDescent="0.35">
      <c r="A3118" s="36" t="s">
        <v>6165</v>
      </c>
      <c r="B3118" s="39" t="s">
        <v>6191</v>
      </c>
      <c r="C3118" s="38">
        <v>45730</v>
      </c>
      <c r="D3118" s="11">
        <v>3107.2126175999997</v>
      </c>
      <c r="E3118" s="27">
        <f t="shared" si="232"/>
        <v>3458.9490859123193</v>
      </c>
      <c r="F3118" s="6">
        <f t="shared" si="233"/>
        <v>4496.6338116860152</v>
      </c>
      <c r="G3118" s="7">
        <f t="shared" si="234"/>
        <v>4842.528720277247</v>
      </c>
      <c r="H3118" s="8">
        <f t="shared" si="235"/>
        <v>5188.4236288684788</v>
      </c>
      <c r="I3118" s="9">
        <f t="shared" si="236"/>
        <v>5534.3185374597115</v>
      </c>
    </row>
    <row r="3119" spans="1:9" x14ac:dyDescent="0.35">
      <c r="A3119" s="36" t="s">
        <v>6166</v>
      </c>
      <c r="B3119" s="39" t="s">
        <v>6192</v>
      </c>
      <c r="C3119" s="38">
        <v>45730</v>
      </c>
      <c r="D3119" s="11">
        <v>3690.4460544000003</v>
      </c>
      <c r="E3119" s="27">
        <f t="shared" si="232"/>
        <v>4108.2045477580805</v>
      </c>
      <c r="F3119" s="6">
        <f t="shared" si="233"/>
        <v>5340.6659120855047</v>
      </c>
      <c r="G3119" s="7">
        <f t="shared" si="234"/>
        <v>5751.4863668613125</v>
      </c>
      <c r="H3119" s="8">
        <f t="shared" si="235"/>
        <v>6162.3068216371212</v>
      </c>
      <c r="I3119" s="9">
        <f t="shared" si="236"/>
        <v>6573.1272764129289</v>
      </c>
    </row>
    <row r="3120" spans="1:9" x14ac:dyDescent="0.35">
      <c r="A3120" s="36" t="s">
        <v>6193</v>
      </c>
      <c r="B3120" s="39" t="s">
        <v>6194</v>
      </c>
      <c r="C3120" s="38">
        <v>45730</v>
      </c>
      <c r="D3120" s="11">
        <v>4601.9316671999995</v>
      </c>
      <c r="E3120" s="27">
        <f t="shared" si="232"/>
        <v>5122.8703319270389</v>
      </c>
      <c r="F3120" s="6">
        <f t="shared" si="233"/>
        <v>6659.7314315051508</v>
      </c>
      <c r="G3120" s="7">
        <f t="shared" si="234"/>
        <v>7172.0184646978541</v>
      </c>
      <c r="H3120" s="8">
        <f t="shared" si="235"/>
        <v>7684.3054978905584</v>
      </c>
      <c r="I3120" s="9">
        <f t="shared" si="236"/>
        <v>8196.5925310832627</v>
      </c>
    </row>
    <row r="3121" spans="1:9" ht="15.75" customHeight="1" x14ac:dyDescent="0.4">
      <c r="A3121" s="28"/>
      <c r="B3121" s="34" t="s">
        <v>5802</v>
      </c>
      <c r="C3121" s="29"/>
      <c r="D3121" s="11">
        <v>0</v>
      </c>
      <c r="E3121" s="27">
        <f t="shared" si="232"/>
        <v>0</v>
      </c>
      <c r="F3121" s="6">
        <f t="shared" si="233"/>
        <v>0</v>
      </c>
      <c r="G3121" s="7">
        <f t="shared" si="234"/>
        <v>0</v>
      </c>
      <c r="H3121" s="8">
        <f t="shared" si="235"/>
        <v>0</v>
      </c>
      <c r="I3121" s="9">
        <f t="shared" si="236"/>
        <v>0</v>
      </c>
    </row>
    <row r="3122" spans="1:9" x14ac:dyDescent="0.35">
      <c r="A3122" s="28" t="s">
        <v>1791</v>
      </c>
      <c r="B3122" s="28" t="s">
        <v>1171</v>
      </c>
      <c r="C3122" s="29">
        <v>45730</v>
      </c>
      <c r="D3122" s="11">
        <v>113.66246146500002</v>
      </c>
      <c r="E3122" s="27">
        <f t="shared" si="232"/>
        <v>126.52905210283802</v>
      </c>
      <c r="F3122" s="6">
        <f t="shared" si="233"/>
        <v>164.48776773368942</v>
      </c>
      <c r="G3122" s="7">
        <f t="shared" si="234"/>
        <v>177.14067294397321</v>
      </c>
      <c r="H3122" s="8">
        <f t="shared" si="235"/>
        <v>189.79357815425703</v>
      </c>
      <c r="I3122" s="9">
        <f t="shared" si="236"/>
        <v>202.44648336454085</v>
      </c>
    </row>
    <row r="3123" spans="1:9" x14ac:dyDescent="0.35">
      <c r="A3123" s="28" t="s">
        <v>1792</v>
      </c>
      <c r="B3123" s="28" t="s">
        <v>1172</v>
      </c>
      <c r="C3123" s="29">
        <v>45730</v>
      </c>
      <c r="D3123" s="11">
        <v>153.48071527740004</v>
      </c>
      <c r="E3123" s="27">
        <f t="shared" si="232"/>
        <v>170.85473224680172</v>
      </c>
      <c r="F3123" s="6">
        <f t="shared" si="233"/>
        <v>222.11115192084225</v>
      </c>
      <c r="G3123" s="7">
        <f t="shared" si="234"/>
        <v>239.19662514552238</v>
      </c>
      <c r="H3123" s="8">
        <f t="shared" si="235"/>
        <v>256.28209837020256</v>
      </c>
      <c r="I3123" s="9">
        <f t="shared" si="236"/>
        <v>273.36757159488275</v>
      </c>
    </row>
    <row r="3124" spans="1:9" x14ac:dyDescent="0.35">
      <c r="A3124" s="28" t="s">
        <v>1793</v>
      </c>
      <c r="B3124" s="28" t="s">
        <v>1173</v>
      </c>
      <c r="C3124" s="29">
        <v>45730</v>
      </c>
      <c r="D3124" s="11">
        <v>175.96269313560003</v>
      </c>
      <c r="E3124" s="27">
        <f t="shared" si="232"/>
        <v>195.88166999854997</v>
      </c>
      <c r="F3124" s="6">
        <f t="shared" si="233"/>
        <v>254.64617099811497</v>
      </c>
      <c r="G3124" s="7">
        <f t="shared" si="234"/>
        <v>274.23433799796993</v>
      </c>
      <c r="H3124" s="8">
        <f t="shared" si="235"/>
        <v>293.82250499782492</v>
      </c>
      <c r="I3124" s="9">
        <f t="shared" si="236"/>
        <v>313.41067199767997</v>
      </c>
    </row>
    <row r="3125" spans="1:9" x14ac:dyDescent="0.35">
      <c r="A3125" s="28" t="s">
        <v>1794</v>
      </c>
      <c r="B3125" s="28" t="s">
        <v>1174</v>
      </c>
      <c r="C3125" s="29">
        <v>45730</v>
      </c>
      <c r="D3125" s="11">
        <v>205.85515880160003</v>
      </c>
      <c r="E3125" s="27">
        <f t="shared" si="232"/>
        <v>229.15796277794115</v>
      </c>
      <c r="F3125" s="6">
        <f t="shared" si="233"/>
        <v>297.90535161132351</v>
      </c>
      <c r="G3125" s="7">
        <f t="shared" si="234"/>
        <v>320.82114788911758</v>
      </c>
      <c r="H3125" s="8">
        <f t="shared" si="235"/>
        <v>343.73694416691171</v>
      </c>
      <c r="I3125" s="9">
        <f t="shared" si="236"/>
        <v>366.65274044470584</v>
      </c>
    </row>
    <row r="3126" spans="1:9" x14ac:dyDescent="0.35">
      <c r="A3126" s="28" t="s">
        <v>1795</v>
      </c>
      <c r="B3126" s="28" t="s">
        <v>1175</v>
      </c>
      <c r="C3126" s="29">
        <v>45730</v>
      </c>
      <c r="D3126" s="11">
        <v>254.82396014460011</v>
      </c>
      <c r="E3126" s="27">
        <f t="shared" si="232"/>
        <v>283.67003243296887</v>
      </c>
      <c r="F3126" s="6">
        <f t="shared" si="233"/>
        <v>368.77104216285954</v>
      </c>
      <c r="G3126" s="7">
        <f t="shared" si="234"/>
        <v>397.13804540615638</v>
      </c>
      <c r="H3126" s="8">
        <f t="shared" si="235"/>
        <v>425.50504864945333</v>
      </c>
      <c r="I3126" s="9">
        <f t="shared" si="236"/>
        <v>453.87205189275022</v>
      </c>
    </row>
    <row r="3127" spans="1:9" x14ac:dyDescent="0.35">
      <c r="A3127" s="28" t="s">
        <v>1796</v>
      </c>
      <c r="B3127" s="28" t="s">
        <v>1176</v>
      </c>
      <c r="C3127" s="29">
        <v>45730</v>
      </c>
      <c r="D3127" s="11">
        <v>398.20962076560011</v>
      </c>
      <c r="E3127" s="27">
        <f t="shared" si="232"/>
        <v>443.28694983626605</v>
      </c>
      <c r="F3127" s="6">
        <f t="shared" si="233"/>
        <v>576.27303478714589</v>
      </c>
      <c r="G3127" s="7">
        <f t="shared" si="234"/>
        <v>620.60172977077241</v>
      </c>
      <c r="H3127" s="8">
        <f t="shared" si="235"/>
        <v>664.93042475439904</v>
      </c>
      <c r="I3127" s="9">
        <f t="shared" si="236"/>
        <v>709.25911973802567</v>
      </c>
    </row>
    <row r="3128" spans="1:9" x14ac:dyDescent="0.35">
      <c r="A3128" s="28" t="s">
        <v>1797</v>
      </c>
      <c r="B3128" s="28" t="s">
        <v>1177</v>
      </c>
      <c r="C3128" s="29">
        <v>45730</v>
      </c>
      <c r="D3128" s="11">
        <v>486.40762846620015</v>
      </c>
      <c r="E3128" s="27">
        <f t="shared" si="232"/>
        <v>541.46897200857404</v>
      </c>
      <c r="F3128" s="6">
        <f t="shared" si="233"/>
        <v>703.90966361114624</v>
      </c>
      <c r="G3128" s="7">
        <f t="shared" si="234"/>
        <v>758.05656081200357</v>
      </c>
      <c r="H3128" s="8">
        <f t="shared" si="235"/>
        <v>812.20345801286112</v>
      </c>
      <c r="I3128" s="9">
        <f t="shared" si="236"/>
        <v>866.35035521371856</v>
      </c>
    </row>
    <row r="3129" spans="1:9" x14ac:dyDescent="0.35">
      <c r="A3129" s="28" t="s">
        <v>1798</v>
      </c>
      <c r="B3129" s="28" t="s">
        <v>1178</v>
      </c>
      <c r="C3129" s="29">
        <v>45730</v>
      </c>
      <c r="D3129" s="11">
        <v>538.65</v>
      </c>
      <c r="E3129" s="27">
        <f t="shared" si="232"/>
        <v>599.62518</v>
      </c>
      <c r="F3129" s="6">
        <f t="shared" si="233"/>
        <v>779.51273400000002</v>
      </c>
      <c r="G3129" s="7">
        <f t="shared" si="234"/>
        <v>839.47525199999995</v>
      </c>
      <c r="H3129" s="8">
        <f t="shared" si="235"/>
        <v>899.43777</v>
      </c>
      <c r="I3129" s="9">
        <f t="shared" si="236"/>
        <v>959.40028800000005</v>
      </c>
    </row>
    <row r="3130" spans="1:9" x14ac:dyDescent="0.35">
      <c r="A3130" s="28" t="s">
        <v>1799</v>
      </c>
      <c r="B3130" s="28" t="s">
        <v>1179</v>
      </c>
      <c r="C3130" s="29">
        <v>45730</v>
      </c>
      <c r="D3130" s="11">
        <v>143.31456868680002</v>
      </c>
      <c r="E3130" s="27">
        <f t="shared" si="232"/>
        <v>159.53777786214579</v>
      </c>
      <c r="F3130" s="6">
        <f t="shared" si="233"/>
        <v>207.39911122078954</v>
      </c>
      <c r="G3130" s="7">
        <f t="shared" si="234"/>
        <v>223.35288900700408</v>
      </c>
      <c r="H3130" s="8">
        <f t="shared" si="235"/>
        <v>239.30666679321868</v>
      </c>
      <c r="I3130" s="9">
        <f t="shared" si="236"/>
        <v>255.26044457943328</v>
      </c>
    </row>
    <row r="3131" spans="1:9" x14ac:dyDescent="0.35">
      <c r="A3131" s="28" t="s">
        <v>1800</v>
      </c>
      <c r="B3131" s="28" t="s">
        <v>1180</v>
      </c>
      <c r="C3131" s="29">
        <v>45730</v>
      </c>
      <c r="D3131" s="11">
        <v>195.20490999240005</v>
      </c>
      <c r="E3131" s="27">
        <f t="shared" si="232"/>
        <v>217.30210580353975</v>
      </c>
      <c r="F3131" s="6">
        <f t="shared" si="233"/>
        <v>282.49273754460165</v>
      </c>
      <c r="G3131" s="7">
        <f t="shared" si="234"/>
        <v>304.22294812495562</v>
      </c>
      <c r="H3131" s="8">
        <f t="shared" si="235"/>
        <v>325.95315870530965</v>
      </c>
      <c r="I3131" s="9">
        <f t="shared" si="236"/>
        <v>347.68336928566362</v>
      </c>
    </row>
    <row r="3132" spans="1:9" x14ac:dyDescent="0.35">
      <c r="A3132" s="28" t="s">
        <v>1801</v>
      </c>
      <c r="B3132" s="28" t="s">
        <v>2158</v>
      </c>
      <c r="C3132" s="29">
        <v>45730</v>
      </c>
      <c r="D3132" s="11">
        <v>232.47000000000003</v>
      </c>
      <c r="E3132" s="27">
        <f t="shared" si="232"/>
        <v>258.78560400000003</v>
      </c>
      <c r="F3132" s="6">
        <f t="shared" si="233"/>
        <v>336.42128520000006</v>
      </c>
      <c r="G3132" s="7">
        <f t="shared" si="234"/>
        <v>362.29984560000003</v>
      </c>
      <c r="H3132" s="8">
        <f t="shared" si="235"/>
        <v>388.17840600000005</v>
      </c>
      <c r="I3132" s="9">
        <f t="shared" si="236"/>
        <v>414.05696640000008</v>
      </c>
    </row>
    <row r="3133" spans="1:9" x14ac:dyDescent="0.35">
      <c r="A3133" s="28" t="s">
        <v>1802</v>
      </c>
      <c r="B3133" s="28" t="s">
        <v>2159</v>
      </c>
      <c r="C3133" s="29">
        <v>45730</v>
      </c>
      <c r="D3133" s="11">
        <v>290.9115800766001</v>
      </c>
      <c r="E3133" s="27">
        <f t="shared" si="232"/>
        <v>323.84277094127123</v>
      </c>
      <c r="F3133" s="6">
        <f t="shared" si="233"/>
        <v>420.99560222365261</v>
      </c>
      <c r="G3133" s="7">
        <f t="shared" si="234"/>
        <v>453.37987931777968</v>
      </c>
      <c r="H3133" s="8">
        <f t="shared" si="235"/>
        <v>485.76415641190681</v>
      </c>
      <c r="I3133" s="9">
        <f t="shared" si="236"/>
        <v>518.14843350603394</v>
      </c>
    </row>
    <row r="3134" spans="1:9" x14ac:dyDescent="0.35">
      <c r="A3134" s="28" t="s">
        <v>2183</v>
      </c>
      <c r="B3134" s="28" t="s">
        <v>2160</v>
      </c>
      <c r="C3134" s="29">
        <v>45730</v>
      </c>
      <c r="D3134" s="11">
        <v>345.05993662560002</v>
      </c>
      <c r="E3134" s="27">
        <f t="shared" si="232"/>
        <v>384.12072145161795</v>
      </c>
      <c r="F3134" s="6">
        <f t="shared" si="233"/>
        <v>499.35693788710336</v>
      </c>
      <c r="G3134" s="7">
        <f t="shared" si="234"/>
        <v>537.7690100322651</v>
      </c>
      <c r="H3134" s="8">
        <f t="shared" si="235"/>
        <v>576.1810821774269</v>
      </c>
      <c r="I3134" s="9">
        <f t="shared" si="236"/>
        <v>614.59315432258882</v>
      </c>
    </row>
    <row r="3135" spans="1:9" x14ac:dyDescent="0.35">
      <c r="A3135" s="28" t="s">
        <v>2184</v>
      </c>
      <c r="B3135" s="28" t="s">
        <v>2161</v>
      </c>
      <c r="C3135" s="29">
        <v>45730</v>
      </c>
      <c r="D3135" s="11">
        <v>499.43437907580011</v>
      </c>
      <c r="E3135" s="27">
        <f t="shared" si="232"/>
        <v>555.97035078718068</v>
      </c>
      <c r="F3135" s="6">
        <f t="shared" si="233"/>
        <v>722.76145602333486</v>
      </c>
      <c r="G3135" s="7">
        <f t="shared" si="234"/>
        <v>778.35849110205288</v>
      </c>
      <c r="H3135" s="8">
        <f t="shared" si="235"/>
        <v>833.95552618077102</v>
      </c>
      <c r="I3135" s="9">
        <f t="shared" si="236"/>
        <v>889.55256125948915</v>
      </c>
    </row>
    <row r="3136" spans="1:9" x14ac:dyDescent="0.35">
      <c r="A3136" s="28" t="s">
        <v>2185</v>
      </c>
      <c r="B3136" s="28" t="s">
        <v>2162</v>
      </c>
      <c r="C3136" s="29">
        <v>45730</v>
      </c>
      <c r="D3136" s="11">
        <v>602.5752342792</v>
      </c>
      <c r="E3136" s="27">
        <f t="shared" si="232"/>
        <v>670.78675079960544</v>
      </c>
      <c r="F3136" s="6">
        <f t="shared" si="233"/>
        <v>872.0227760394871</v>
      </c>
      <c r="G3136" s="7">
        <f t="shared" si="234"/>
        <v>939.10145111944757</v>
      </c>
      <c r="H3136" s="8">
        <f t="shared" si="235"/>
        <v>1006.1801261994082</v>
      </c>
      <c r="I3136" s="9">
        <f t="shared" si="236"/>
        <v>1073.2588012793688</v>
      </c>
    </row>
    <row r="3137" spans="1:9" x14ac:dyDescent="0.35">
      <c r="A3137" s="28" t="s">
        <v>2186</v>
      </c>
      <c r="B3137" s="28" t="s">
        <v>2163</v>
      </c>
      <c r="C3137" s="29">
        <v>45730</v>
      </c>
      <c r="D3137" s="11">
        <v>697.41000000000008</v>
      </c>
      <c r="E3137" s="27">
        <f t="shared" si="232"/>
        <v>776.3568120000001</v>
      </c>
      <c r="F3137" s="6">
        <f t="shared" si="233"/>
        <v>1009.2638556000002</v>
      </c>
      <c r="G3137" s="7">
        <f t="shared" si="234"/>
        <v>1086.8995368000001</v>
      </c>
      <c r="H3137" s="8">
        <f t="shared" si="235"/>
        <v>1164.5352180000002</v>
      </c>
      <c r="I3137" s="9">
        <f t="shared" si="236"/>
        <v>1242.1708992000003</v>
      </c>
    </row>
    <row r="3138" spans="1:9" x14ac:dyDescent="0.35">
      <c r="A3138" s="28" t="s">
        <v>1241</v>
      </c>
      <c r="B3138" s="28" t="s">
        <v>2164</v>
      </c>
      <c r="C3138" s="29">
        <v>45730</v>
      </c>
      <c r="D3138" s="11">
        <v>255.10155722100006</v>
      </c>
      <c r="E3138" s="27">
        <f t="shared" si="232"/>
        <v>283.97905349841727</v>
      </c>
      <c r="F3138" s="6">
        <f t="shared" si="233"/>
        <v>369.17276954794249</v>
      </c>
      <c r="G3138" s="7">
        <f t="shared" si="234"/>
        <v>397.57067489778416</v>
      </c>
      <c r="H3138" s="8">
        <f t="shared" si="235"/>
        <v>425.96858024762594</v>
      </c>
      <c r="I3138" s="9">
        <f t="shared" si="236"/>
        <v>454.36648559746766</v>
      </c>
    </row>
    <row r="3139" spans="1:9" x14ac:dyDescent="0.35">
      <c r="A3139" s="28" t="s">
        <v>1242</v>
      </c>
      <c r="B3139" s="28" t="s">
        <v>2165</v>
      </c>
      <c r="C3139" s="29">
        <v>45730</v>
      </c>
      <c r="D3139" s="11">
        <v>260.41991096520007</v>
      </c>
      <c r="E3139" s="27">
        <f t="shared" si="232"/>
        <v>289.89944488646069</v>
      </c>
      <c r="F3139" s="6">
        <f t="shared" si="233"/>
        <v>376.86927835239891</v>
      </c>
      <c r="G3139" s="7">
        <f t="shared" si="234"/>
        <v>405.85922284104493</v>
      </c>
      <c r="H3139" s="8">
        <f t="shared" si="235"/>
        <v>434.849167329691</v>
      </c>
      <c r="I3139" s="9">
        <f t="shared" si="236"/>
        <v>463.83911181833713</v>
      </c>
    </row>
    <row r="3140" spans="1:9" x14ac:dyDescent="0.35">
      <c r="A3140" s="28" t="s">
        <v>1243</v>
      </c>
      <c r="B3140" s="28" t="s">
        <v>2166</v>
      </c>
      <c r="C3140" s="29">
        <v>45730</v>
      </c>
      <c r="D3140" s="11">
        <v>281.19229707240009</v>
      </c>
      <c r="E3140" s="27">
        <f t="shared" si="232"/>
        <v>313.02326510099579</v>
      </c>
      <c r="F3140" s="6">
        <f t="shared" si="233"/>
        <v>406.93024463129456</v>
      </c>
      <c r="G3140" s="7">
        <f t="shared" si="234"/>
        <v>438.23257114139409</v>
      </c>
      <c r="H3140" s="8">
        <f t="shared" si="235"/>
        <v>469.53489765149368</v>
      </c>
      <c r="I3140" s="9">
        <f t="shared" si="236"/>
        <v>500.83722416159327</v>
      </c>
    </row>
    <row r="3141" spans="1:9" x14ac:dyDescent="0.35">
      <c r="A3141" s="28" t="s">
        <v>1244</v>
      </c>
      <c r="B3141" s="28" t="s">
        <v>2167</v>
      </c>
      <c r="C3141" s="29">
        <v>45730</v>
      </c>
      <c r="D3141" s="11">
        <v>451.27128632040012</v>
      </c>
      <c r="E3141" s="27">
        <f t="shared" si="232"/>
        <v>502.35519593186945</v>
      </c>
      <c r="F3141" s="6">
        <f t="shared" si="233"/>
        <v>653.06175471143035</v>
      </c>
      <c r="G3141" s="7">
        <f t="shared" si="234"/>
        <v>703.29727430461719</v>
      </c>
      <c r="H3141" s="8">
        <f t="shared" si="235"/>
        <v>753.53279389780414</v>
      </c>
      <c r="I3141" s="9">
        <f t="shared" si="236"/>
        <v>803.7683134909912</v>
      </c>
    </row>
    <row r="3142" spans="1:9" x14ac:dyDescent="0.35">
      <c r="A3142" s="28" t="s">
        <v>1543</v>
      </c>
      <c r="B3142" s="28" t="s">
        <v>2168</v>
      </c>
      <c r="C3142" s="29">
        <v>45730</v>
      </c>
      <c r="D3142" s="11">
        <v>518.80500000000006</v>
      </c>
      <c r="E3142" s="27">
        <f t="shared" si="232"/>
        <v>577.533726</v>
      </c>
      <c r="F3142" s="6">
        <f t="shared" si="233"/>
        <v>750.79384379999999</v>
      </c>
      <c r="G3142" s="7">
        <f t="shared" si="234"/>
        <v>808.54721639999991</v>
      </c>
      <c r="H3142" s="8">
        <f t="shared" si="235"/>
        <v>866.30058899999995</v>
      </c>
      <c r="I3142" s="9">
        <f t="shared" si="236"/>
        <v>924.05396160000009</v>
      </c>
    </row>
    <row r="3143" spans="1:9" x14ac:dyDescent="0.35">
      <c r="A3143" s="28" t="s">
        <v>1544</v>
      </c>
      <c r="B3143" s="28" t="s">
        <v>2169</v>
      </c>
      <c r="C3143" s="29">
        <v>45730</v>
      </c>
      <c r="D3143" s="11">
        <v>622.82289420540019</v>
      </c>
      <c r="E3143" s="27">
        <f t="shared" si="232"/>
        <v>693.32644582945147</v>
      </c>
      <c r="F3143" s="6">
        <f t="shared" si="233"/>
        <v>901.32437957828699</v>
      </c>
      <c r="G3143" s="7">
        <f t="shared" si="234"/>
        <v>970.65702416123202</v>
      </c>
      <c r="H3143" s="8">
        <f t="shared" si="235"/>
        <v>1039.9896687441772</v>
      </c>
      <c r="I3143" s="9">
        <f t="shared" si="236"/>
        <v>1109.3223133271224</v>
      </c>
    </row>
    <row r="3144" spans="1:9" x14ac:dyDescent="0.35">
      <c r="A3144" s="28" t="s">
        <v>1545</v>
      </c>
      <c r="B3144" s="28" t="s">
        <v>2170</v>
      </c>
      <c r="C3144" s="29">
        <v>45730</v>
      </c>
      <c r="D3144" s="11">
        <v>803.43364570560004</v>
      </c>
      <c r="E3144" s="27">
        <f t="shared" si="232"/>
        <v>894.38233439947396</v>
      </c>
      <c r="F3144" s="6">
        <f t="shared" si="233"/>
        <v>1162.6970347193162</v>
      </c>
      <c r="G3144" s="7">
        <f t="shared" si="234"/>
        <v>1252.1352681592634</v>
      </c>
      <c r="H3144" s="8">
        <f t="shared" si="235"/>
        <v>1341.5735015992109</v>
      </c>
      <c r="I3144" s="9">
        <f t="shared" si="236"/>
        <v>1431.0117350391583</v>
      </c>
    </row>
    <row r="3145" spans="1:9" x14ac:dyDescent="0.35">
      <c r="A3145" s="28" t="s">
        <v>1546</v>
      </c>
      <c r="B3145" s="28" t="s">
        <v>2171</v>
      </c>
      <c r="C3145" s="29">
        <v>45730</v>
      </c>
      <c r="D3145" s="11">
        <v>997.92000000000007</v>
      </c>
      <c r="E3145" s="27">
        <f t="shared" si="232"/>
        <v>1110.8845440000002</v>
      </c>
      <c r="F3145" s="6">
        <f t="shared" si="233"/>
        <v>1444.1499072000004</v>
      </c>
      <c r="G3145" s="7">
        <f t="shared" si="234"/>
        <v>1555.2383616000002</v>
      </c>
      <c r="H3145" s="8">
        <f t="shared" si="235"/>
        <v>1666.3268160000002</v>
      </c>
      <c r="I3145" s="9">
        <f t="shared" si="236"/>
        <v>1777.4152704000005</v>
      </c>
    </row>
    <row r="3146" spans="1:9" x14ac:dyDescent="0.35">
      <c r="A3146" s="28" t="s">
        <v>3144</v>
      </c>
      <c r="B3146" s="28" t="s">
        <v>3156</v>
      </c>
      <c r="C3146" s="29">
        <v>45730</v>
      </c>
      <c r="D3146" s="11">
        <v>562.74750000000006</v>
      </c>
      <c r="E3146" s="27">
        <f t="shared" si="232"/>
        <v>626.4505170000001</v>
      </c>
      <c r="F3146" s="6">
        <f t="shared" si="233"/>
        <v>814.38567210000019</v>
      </c>
      <c r="G3146" s="7">
        <f t="shared" si="234"/>
        <v>877.03072380000015</v>
      </c>
      <c r="H3146" s="8">
        <f t="shared" si="235"/>
        <v>939.6757755000001</v>
      </c>
      <c r="I3146" s="9">
        <f t="shared" si="236"/>
        <v>1002.3208272000002</v>
      </c>
    </row>
    <row r="3147" spans="1:9" x14ac:dyDescent="0.35">
      <c r="A3147" s="28" t="s">
        <v>3145</v>
      </c>
      <c r="B3147" s="28" t="s">
        <v>3157</v>
      </c>
      <c r="C3147" s="29">
        <v>45730</v>
      </c>
      <c r="D3147" s="11">
        <v>674.73</v>
      </c>
      <c r="E3147" s="27">
        <f t="shared" si="232"/>
        <v>751.10943600000007</v>
      </c>
      <c r="F3147" s="6">
        <f t="shared" si="233"/>
        <v>976.44226680000008</v>
      </c>
      <c r="G3147" s="7">
        <f t="shared" si="234"/>
        <v>1051.5532104000001</v>
      </c>
      <c r="H3147" s="8">
        <f t="shared" si="235"/>
        <v>1126.6641540000001</v>
      </c>
      <c r="I3147" s="9">
        <f t="shared" si="236"/>
        <v>1201.7750976000002</v>
      </c>
    </row>
    <row r="3148" spans="1:9" x14ac:dyDescent="0.35">
      <c r="A3148" s="28" t="s">
        <v>3146</v>
      </c>
      <c r="B3148" s="28" t="s">
        <v>3158</v>
      </c>
      <c r="C3148" s="29">
        <v>45730</v>
      </c>
      <c r="D3148" s="11">
        <v>843.41250000000002</v>
      </c>
      <c r="E3148" s="27">
        <f t="shared" si="232"/>
        <v>938.88679500000001</v>
      </c>
      <c r="F3148" s="6">
        <f t="shared" si="233"/>
        <v>1220.5528335000001</v>
      </c>
      <c r="G3148" s="7">
        <f t="shared" si="234"/>
        <v>1314.441513</v>
      </c>
      <c r="H3148" s="8">
        <f t="shared" si="235"/>
        <v>1408.3301925000001</v>
      </c>
      <c r="I3148" s="9">
        <f t="shared" si="236"/>
        <v>1502.2188720000001</v>
      </c>
    </row>
    <row r="3149" spans="1:9" x14ac:dyDescent="0.35">
      <c r="A3149" s="28" t="s">
        <v>3147</v>
      </c>
      <c r="B3149" s="28" t="s">
        <v>3159</v>
      </c>
      <c r="C3149" s="29">
        <v>45730</v>
      </c>
      <c r="D3149" s="11">
        <v>1124.0775000000001</v>
      </c>
      <c r="E3149" s="27">
        <f t="shared" si="232"/>
        <v>1251.323073</v>
      </c>
      <c r="F3149" s="6">
        <f t="shared" si="233"/>
        <v>1626.7199949000001</v>
      </c>
      <c r="G3149" s="7">
        <f t="shared" si="234"/>
        <v>1751.8523021999999</v>
      </c>
      <c r="H3149" s="8">
        <f t="shared" si="235"/>
        <v>1876.9846095</v>
      </c>
      <c r="I3149" s="9">
        <f t="shared" si="236"/>
        <v>2002.1169168000001</v>
      </c>
    </row>
    <row r="3150" spans="1:9" x14ac:dyDescent="0.35">
      <c r="A3150" s="28" t="s">
        <v>3148</v>
      </c>
      <c r="B3150" s="28" t="s">
        <v>3160</v>
      </c>
      <c r="C3150" s="29">
        <v>45730</v>
      </c>
      <c r="D3150" s="11">
        <v>731.43000000000006</v>
      </c>
      <c r="E3150" s="27">
        <f t="shared" si="232"/>
        <v>814.22787600000004</v>
      </c>
      <c r="F3150" s="6">
        <f t="shared" si="233"/>
        <v>1058.4962388000001</v>
      </c>
      <c r="G3150" s="7">
        <f t="shared" si="234"/>
        <v>1139.9190263999999</v>
      </c>
      <c r="H3150" s="8">
        <f t="shared" si="235"/>
        <v>1221.3418140000001</v>
      </c>
      <c r="I3150" s="9">
        <f t="shared" si="236"/>
        <v>1302.7646016000001</v>
      </c>
    </row>
    <row r="3151" spans="1:9" x14ac:dyDescent="0.35">
      <c r="A3151" s="28" t="s">
        <v>3149</v>
      </c>
      <c r="B3151" s="28" t="s">
        <v>3161</v>
      </c>
      <c r="C3151" s="29">
        <v>45730</v>
      </c>
      <c r="D3151" s="11">
        <v>878.85</v>
      </c>
      <c r="E3151" s="27">
        <f t="shared" si="232"/>
        <v>978.33582000000001</v>
      </c>
      <c r="F3151" s="6">
        <f t="shared" si="233"/>
        <v>1271.8365659999999</v>
      </c>
      <c r="G3151" s="7">
        <f t="shared" si="234"/>
        <v>1369.6701479999999</v>
      </c>
      <c r="H3151" s="8">
        <f t="shared" si="235"/>
        <v>1467.5037299999999</v>
      </c>
      <c r="I3151" s="9">
        <f t="shared" si="236"/>
        <v>1565.3373120000001</v>
      </c>
    </row>
    <row r="3152" spans="1:9" x14ac:dyDescent="0.35">
      <c r="A3152" s="28" t="s">
        <v>3150</v>
      </c>
      <c r="B3152" s="28" t="s">
        <v>3162</v>
      </c>
      <c r="C3152" s="29">
        <v>45730</v>
      </c>
      <c r="D3152" s="11">
        <v>1097.1450000000002</v>
      </c>
      <c r="E3152" s="27">
        <f t="shared" ref="E3152:E3215" si="237">D3152*1.21*0.92</f>
        <v>1221.3418140000003</v>
      </c>
      <c r="F3152" s="6">
        <f t="shared" si="233"/>
        <v>1587.7443582000005</v>
      </c>
      <c r="G3152" s="7">
        <f t="shared" si="234"/>
        <v>1709.8785396000003</v>
      </c>
      <c r="H3152" s="8">
        <f t="shared" si="235"/>
        <v>1832.0127210000005</v>
      </c>
      <c r="I3152" s="9">
        <f t="shared" si="236"/>
        <v>1954.1469024000007</v>
      </c>
    </row>
    <row r="3153" spans="1:9" x14ac:dyDescent="0.35">
      <c r="A3153" s="28" t="s">
        <v>3151</v>
      </c>
      <c r="B3153" s="28" t="s">
        <v>3163</v>
      </c>
      <c r="C3153" s="29">
        <v>45730</v>
      </c>
      <c r="D3153" s="11">
        <v>1462.8600000000001</v>
      </c>
      <c r="E3153" s="27">
        <f t="shared" si="237"/>
        <v>1628.4557520000001</v>
      </c>
      <c r="F3153" s="6">
        <f t="shared" si="233"/>
        <v>2116.9924776000003</v>
      </c>
      <c r="G3153" s="7">
        <f t="shared" si="234"/>
        <v>2279.8380527999998</v>
      </c>
      <c r="H3153" s="8">
        <f t="shared" si="235"/>
        <v>2442.6836280000002</v>
      </c>
      <c r="I3153" s="9">
        <f t="shared" si="236"/>
        <v>2605.5292032000002</v>
      </c>
    </row>
    <row r="3154" spans="1:9" x14ac:dyDescent="0.35">
      <c r="A3154" s="28" t="s">
        <v>3152</v>
      </c>
      <c r="B3154" s="28" t="s">
        <v>3164</v>
      </c>
      <c r="C3154" s="29">
        <v>45730</v>
      </c>
      <c r="D3154" s="11">
        <v>1056.0375000000001</v>
      </c>
      <c r="E3154" s="27">
        <f t="shared" si="237"/>
        <v>1175.5809450000002</v>
      </c>
      <c r="F3154" s="6">
        <f t="shared" si="233"/>
        <v>1528.2552285000002</v>
      </c>
      <c r="G3154" s="7">
        <f t="shared" si="234"/>
        <v>1645.8133230000001</v>
      </c>
      <c r="H3154" s="8">
        <f t="shared" si="235"/>
        <v>1763.3714175000002</v>
      </c>
      <c r="I3154" s="9">
        <f t="shared" si="236"/>
        <v>1880.9295120000004</v>
      </c>
    </row>
    <row r="3155" spans="1:9" x14ac:dyDescent="0.35">
      <c r="A3155" s="28" t="s">
        <v>3153</v>
      </c>
      <c r="B3155" s="28" t="s">
        <v>3165</v>
      </c>
      <c r="C3155" s="29">
        <v>45730</v>
      </c>
      <c r="D3155" s="11">
        <v>1264.4100000000001</v>
      </c>
      <c r="E3155" s="27">
        <f t="shared" si="237"/>
        <v>1407.5412120000001</v>
      </c>
      <c r="F3155" s="6">
        <f t="shared" si="233"/>
        <v>1829.8035756000002</v>
      </c>
      <c r="G3155" s="7">
        <f t="shared" si="234"/>
        <v>1970.5576968</v>
      </c>
      <c r="H3155" s="8">
        <f t="shared" si="235"/>
        <v>2111.3118180000001</v>
      </c>
      <c r="I3155" s="9">
        <f t="shared" si="236"/>
        <v>2252.0659392000002</v>
      </c>
    </row>
    <row r="3156" spans="1:9" x14ac:dyDescent="0.35">
      <c r="A3156" s="28" t="s">
        <v>3154</v>
      </c>
      <c r="B3156" s="28" t="s">
        <v>3166</v>
      </c>
      <c r="C3156" s="29">
        <v>45730</v>
      </c>
      <c r="D3156" s="11">
        <v>1580.5125</v>
      </c>
      <c r="E3156" s="27">
        <f t="shared" si="237"/>
        <v>1759.4265150000001</v>
      </c>
      <c r="F3156" s="6">
        <f t="shared" si="233"/>
        <v>2287.2544695000001</v>
      </c>
      <c r="G3156" s="7">
        <f t="shared" si="234"/>
        <v>2463.1971210000002</v>
      </c>
      <c r="H3156" s="8">
        <f t="shared" si="235"/>
        <v>2639.1397725000002</v>
      </c>
      <c r="I3156" s="9">
        <f t="shared" si="236"/>
        <v>2815.0824240000002</v>
      </c>
    </row>
    <row r="3157" spans="1:9" x14ac:dyDescent="0.35">
      <c r="A3157" s="28" t="s">
        <v>3155</v>
      </c>
      <c r="B3157" s="28" t="s">
        <v>3167</v>
      </c>
      <c r="C3157" s="29">
        <v>45730</v>
      </c>
      <c r="D3157" s="11">
        <v>2107.8225000000002</v>
      </c>
      <c r="E3157" s="27">
        <f t="shared" si="237"/>
        <v>2346.4280070000004</v>
      </c>
      <c r="F3157" s="6">
        <f t="shared" si="233"/>
        <v>3050.3564091000007</v>
      </c>
      <c r="G3157" s="7">
        <f t="shared" si="234"/>
        <v>3284.9992098000002</v>
      </c>
      <c r="H3157" s="8">
        <f t="shared" si="235"/>
        <v>3519.6420105000007</v>
      </c>
      <c r="I3157" s="9">
        <f t="shared" si="236"/>
        <v>3754.2848112000011</v>
      </c>
    </row>
    <row r="3158" spans="1:9" ht="15.75" customHeight="1" x14ac:dyDescent="0.4">
      <c r="B3158" s="19" t="s">
        <v>2384</v>
      </c>
      <c r="D3158" s="11">
        <v>0</v>
      </c>
      <c r="E3158" s="27">
        <f t="shared" si="237"/>
        <v>0</v>
      </c>
      <c r="F3158" s="6">
        <f t="shared" ref="F3158:F3221" si="238">E3158*1.3</f>
        <v>0</v>
      </c>
      <c r="G3158" s="7">
        <f t="shared" ref="G3158:G3221" si="239">E3158*1.4</f>
        <v>0</v>
      </c>
      <c r="H3158" s="8">
        <f t="shared" ref="H3158:H3221" si="240">E3158*1.5</f>
        <v>0</v>
      </c>
      <c r="I3158" s="9">
        <f t="shared" ref="I3158:I3221" si="241">E3158*1.6</f>
        <v>0</v>
      </c>
    </row>
    <row r="3159" spans="1:9" x14ac:dyDescent="0.35">
      <c r="A3159" s="18" t="s">
        <v>1547</v>
      </c>
      <c r="B3159" s="18" t="s">
        <v>2172</v>
      </c>
      <c r="C3159" s="20">
        <v>45588</v>
      </c>
      <c r="D3159" s="11">
        <v>435</v>
      </c>
      <c r="E3159" s="27">
        <f t="shared" si="237"/>
        <v>484.24200000000002</v>
      </c>
      <c r="F3159" s="6">
        <f t="shared" si="238"/>
        <v>629.51460000000009</v>
      </c>
      <c r="G3159" s="7">
        <f t="shared" si="239"/>
        <v>677.93880000000001</v>
      </c>
      <c r="H3159" s="8">
        <f t="shared" si="240"/>
        <v>726.36300000000006</v>
      </c>
      <c r="I3159" s="9">
        <f t="shared" si="241"/>
        <v>774.7872000000001</v>
      </c>
    </row>
    <row r="3160" spans="1:9" x14ac:dyDescent="0.35">
      <c r="A3160" s="18" t="s">
        <v>1548</v>
      </c>
      <c r="B3160" s="18" t="s">
        <v>2173</v>
      </c>
      <c r="C3160" s="20">
        <v>45588</v>
      </c>
      <c r="D3160" s="11">
        <v>593.49628636974478</v>
      </c>
      <c r="E3160" s="27">
        <f t="shared" si="237"/>
        <v>660.68006598679983</v>
      </c>
      <c r="F3160" s="6">
        <f t="shared" si="238"/>
        <v>858.88408578283986</v>
      </c>
      <c r="G3160" s="7">
        <f t="shared" si="239"/>
        <v>924.95209238151972</v>
      </c>
      <c r="H3160" s="8">
        <f t="shared" si="240"/>
        <v>991.02009898019969</v>
      </c>
      <c r="I3160" s="9">
        <f t="shared" si="241"/>
        <v>1057.0881055788798</v>
      </c>
    </row>
    <row r="3161" spans="1:9" x14ac:dyDescent="0.35">
      <c r="A3161" s="18" t="s">
        <v>1549</v>
      </c>
      <c r="B3161" s="18" t="s">
        <v>2174</v>
      </c>
      <c r="C3161" s="20">
        <v>45588</v>
      </c>
      <c r="D3161" s="11">
        <v>720.74243789116338</v>
      </c>
      <c r="E3161" s="27">
        <f t="shared" si="237"/>
        <v>802.33048186044311</v>
      </c>
      <c r="F3161" s="6">
        <f t="shared" si="238"/>
        <v>1043.0296264185761</v>
      </c>
      <c r="G3161" s="7">
        <f t="shared" si="239"/>
        <v>1123.2626746046203</v>
      </c>
      <c r="H3161" s="8">
        <f t="shared" si="240"/>
        <v>1203.4957227906648</v>
      </c>
      <c r="I3161" s="9">
        <f t="shared" si="241"/>
        <v>1283.728770976709</v>
      </c>
    </row>
    <row r="3162" spans="1:9" x14ac:dyDescent="0.35">
      <c r="A3162" s="18" t="s">
        <v>1550</v>
      </c>
      <c r="B3162" s="18" t="s">
        <v>2175</v>
      </c>
      <c r="C3162" s="20">
        <v>45588</v>
      </c>
      <c r="D3162" s="11">
        <v>820.59340535719355</v>
      </c>
      <c r="E3162" s="27">
        <f t="shared" si="237"/>
        <v>913.4845788436279</v>
      </c>
      <c r="F3162" s="6">
        <f t="shared" si="238"/>
        <v>1187.5299524967163</v>
      </c>
      <c r="G3162" s="7">
        <f t="shared" si="239"/>
        <v>1278.878410381079</v>
      </c>
      <c r="H3162" s="8">
        <f t="shared" si="240"/>
        <v>1370.2268682654419</v>
      </c>
      <c r="I3162" s="9">
        <f t="shared" si="241"/>
        <v>1461.5753261498048</v>
      </c>
    </row>
    <row r="3163" spans="1:9" x14ac:dyDescent="0.35">
      <c r="A3163" s="18" t="s">
        <v>1551</v>
      </c>
      <c r="B3163" s="18" t="s">
        <v>2176</v>
      </c>
      <c r="C3163" s="20">
        <v>45588</v>
      </c>
      <c r="D3163" s="11">
        <v>1098.703868982007</v>
      </c>
      <c r="E3163" s="27">
        <f t="shared" si="237"/>
        <v>1223.0771469507702</v>
      </c>
      <c r="F3163" s="6">
        <f t="shared" si="238"/>
        <v>1590.0002910360013</v>
      </c>
      <c r="G3163" s="7">
        <f t="shared" si="239"/>
        <v>1712.3080057310781</v>
      </c>
      <c r="H3163" s="8">
        <f t="shared" si="240"/>
        <v>1834.6157204261553</v>
      </c>
      <c r="I3163" s="9">
        <f t="shared" si="241"/>
        <v>1956.9234351212324</v>
      </c>
    </row>
    <row r="3164" spans="1:9" x14ac:dyDescent="0.35">
      <c r="A3164" s="18" t="s">
        <v>1552</v>
      </c>
      <c r="B3164" s="18" t="s">
        <v>2177</v>
      </c>
      <c r="C3164" s="20">
        <v>45588</v>
      </c>
      <c r="D3164" s="11">
        <v>1198.2116095923618</v>
      </c>
      <c r="E3164" s="27">
        <f t="shared" si="237"/>
        <v>1333.8491637982172</v>
      </c>
      <c r="F3164" s="6">
        <f t="shared" si="238"/>
        <v>1734.0039129376823</v>
      </c>
      <c r="G3164" s="7">
        <f t="shared" si="239"/>
        <v>1867.3888293175039</v>
      </c>
      <c r="H3164" s="8">
        <f t="shared" si="240"/>
        <v>2000.7737456973259</v>
      </c>
      <c r="I3164" s="9">
        <f t="shared" si="241"/>
        <v>2134.1586620771477</v>
      </c>
    </row>
    <row r="3165" spans="1:9" x14ac:dyDescent="0.35">
      <c r="A3165" s="18" t="s">
        <v>1553</v>
      </c>
      <c r="B3165" s="18" t="s">
        <v>2178</v>
      </c>
      <c r="C3165" s="20">
        <v>45588</v>
      </c>
      <c r="D3165" s="11">
        <v>1441.0678424415787</v>
      </c>
      <c r="E3165" s="27">
        <f t="shared" si="237"/>
        <v>1604.1967222059654</v>
      </c>
      <c r="F3165" s="6">
        <f t="shared" si="238"/>
        <v>2085.4557388677554</v>
      </c>
      <c r="G3165" s="7">
        <f t="shared" si="239"/>
        <v>2245.8754110883515</v>
      </c>
      <c r="H3165" s="8">
        <f t="shared" si="240"/>
        <v>2406.2950833089481</v>
      </c>
      <c r="I3165" s="9">
        <f t="shared" si="241"/>
        <v>2566.7147555295451</v>
      </c>
    </row>
    <row r="3166" spans="1:9" x14ac:dyDescent="0.35">
      <c r="A3166" s="18" t="s">
        <v>1554</v>
      </c>
      <c r="B3166" s="18" t="s">
        <v>2179</v>
      </c>
      <c r="C3166" s="20">
        <v>45588</v>
      </c>
      <c r="D3166" s="11">
        <v>1770.0853323523543</v>
      </c>
      <c r="E3166" s="27">
        <f t="shared" si="237"/>
        <v>1970.4589919746409</v>
      </c>
      <c r="F3166" s="6">
        <f t="shared" si="238"/>
        <v>2561.5966895670331</v>
      </c>
      <c r="G3166" s="7">
        <f t="shared" si="239"/>
        <v>2758.6425887644968</v>
      </c>
      <c r="H3166" s="8">
        <f t="shared" si="240"/>
        <v>2955.6884879619611</v>
      </c>
      <c r="I3166" s="9">
        <f t="shared" si="241"/>
        <v>3152.7343871594258</v>
      </c>
    </row>
    <row r="3167" spans="1:9" x14ac:dyDescent="0.35">
      <c r="A3167" s="18" t="s">
        <v>1555</v>
      </c>
      <c r="B3167" s="18" t="s">
        <v>2180</v>
      </c>
      <c r="C3167" s="20">
        <v>45588</v>
      </c>
      <c r="D3167" s="11">
        <v>2107.763149601109</v>
      </c>
      <c r="E3167" s="27">
        <f t="shared" si="237"/>
        <v>2346.3619381359545</v>
      </c>
      <c r="F3167" s="6">
        <f t="shared" si="238"/>
        <v>3050.2705195767408</v>
      </c>
      <c r="G3167" s="7">
        <f t="shared" si="239"/>
        <v>3284.9067133903359</v>
      </c>
      <c r="H3167" s="8">
        <f t="shared" si="240"/>
        <v>3519.5429072039315</v>
      </c>
      <c r="I3167" s="9">
        <f t="shared" si="241"/>
        <v>3754.1791010175275</v>
      </c>
    </row>
    <row r="3168" spans="1:9" x14ac:dyDescent="0.35">
      <c r="A3168" s="18" t="s">
        <v>1556</v>
      </c>
      <c r="B3168" s="18" t="s">
        <v>2443</v>
      </c>
      <c r="C3168" s="20">
        <v>45588</v>
      </c>
      <c r="D3168" s="11">
        <v>1082.5176066264685</v>
      </c>
      <c r="E3168" s="27">
        <f t="shared" si="237"/>
        <v>1205.0585996965847</v>
      </c>
      <c r="F3168" s="6">
        <f t="shared" si="238"/>
        <v>1566.5761796055601</v>
      </c>
      <c r="G3168" s="7">
        <f t="shared" si="239"/>
        <v>1687.0820395752185</v>
      </c>
      <c r="H3168" s="8">
        <f t="shared" si="240"/>
        <v>1807.587899544877</v>
      </c>
      <c r="I3168" s="9">
        <f t="shared" si="241"/>
        <v>1928.0937595145356</v>
      </c>
    </row>
    <row r="3169" spans="1:9" x14ac:dyDescent="0.35">
      <c r="A3169" s="18" t="s">
        <v>1557</v>
      </c>
      <c r="B3169" s="18" t="s">
        <v>2444</v>
      </c>
      <c r="C3169" s="20">
        <v>45588</v>
      </c>
      <c r="D3169" s="11">
        <v>759.95663602327704</v>
      </c>
      <c r="E3169" s="27">
        <f t="shared" si="237"/>
        <v>845.98372722111196</v>
      </c>
      <c r="F3169" s="6">
        <f t="shared" si="238"/>
        <v>1099.7788453874457</v>
      </c>
      <c r="G3169" s="7">
        <f t="shared" si="239"/>
        <v>1184.3772181095567</v>
      </c>
      <c r="H3169" s="8">
        <f t="shared" si="240"/>
        <v>1268.9755908316679</v>
      </c>
      <c r="I3169" s="9">
        <f t="shared" si="241"/>
        <v>1353.5739635537793</v>
      </c>
    </row>
    <row r="3170" spans="1:9" x14ac:dyDescent="0.35">
      <c r="A3170" s="18" t="s">
        <v>1558</v>
      </c>
      <c r="B3170" s="18" t="s">
        <v>2445</v>
      </c>
      <c r="C3170" s="20">
        <v>45588</v>
      </c>
      <c r="D3170" s="11">
        <v>933.15267777344582</v>
      </c>
      <c r="E3170" s="27">
        <f t="shared" si="237"/>
        <v>1038.7855608974</v>
      </c>
      <c r="F3170" s="6">
        <f t="shared" si="238"/>
        <v>1350.4212291666202</v>
      </c>
      <c r="G3170" s="7">
        <f t="shared" si="239"/>
        <v>1454.2997852563599</v>
      </c>
      <c r="H3170" s="8">
        <f t="shared" si="240"/>
        <v>1558.1783413461001</v>
      </c>
      <c r="I3170" s="9">
        <f t="shared" si="241"/>
        <v>1662.0568974358403</v>
      </c>
    </row>
    <row r="3171" spans="1:9" x14ac:dyDescent="0.35">
      <c r="A3171" s="18" t="s">
        <v>1559</v>
      </c>
      <c r="B3171" s="18" t="s">
        <v>2446</v>
      </c>
      <c r="C3171" s="20">
        <v>45588</v>
      </c>
      <c r="D3171" s="11">
        <v>1158.2712226059502</v>
      </c>
      <c r="E3171" s="27">
        <f t="shared" si="237"/>
        <v>1289.3875250049439</v>
      </c>
      <c r="F3171" s="6">
        <f t="shared" si="238"/>
        <v>1676.2037825064272</v>
      </c>
      <c r="G3171" s="7">
        <f t="shared" si="239"/>
        <v>1805.1425350069212</v>
      </c>
      <c r="H3171" s="8">
        <f t="shared" si="240"/>
        <v>1934.0812875074157</v>
      </c>
      <c r="I3171" s="9">
        <f t="shared" si="241"/>
        <v>2063.0200400079102</v>
      </c>
    </row>
    <row r="3172" spans="1:9" x14ac:dyDescent="0.35">
      <c r="A3172" s="18" t="s">
        <v>1560</v>
      </c>
      <c r="B3172" s="18" t="s">
        <v>2447</v>
      </c>
      <c r="C3172" s="20">
        <v>45588</v>
      </c>
      <c r="D3172" s="11">
        <v>1296.2471049226472</v>
      </c>
      <c r="E3172" s="27">
        <f t="shared" si="237"/>
        <v>1442.9822771998909</v>
      </c>
      <c r="F3172" s="6">
        <f t="shared" si="238"/>
        <v>1875.8769603598582</v>
      </c>
      <c r="G3172" s="7">
        <f t="shared" si="239"/>
        <v>2020.175188079847</v>
      </c>
      <c r="H3172" s="8">
        <f t="shared" si="240"/>
        <v>2164.4734157998364</v>
      </c>
      <c r="I3172" s="9">
        <f t="shared" si="241"/>
        <v>2308.7716435198254</v>
      </c>
    </row>
    <row r="3173" spans="1:9" x14ac:dyDescent="0.35">
      <c r="A3173" s="18" t="s">
        <v>1561</v>
      </c>
      <c r="B3173" s="18" t="s">
        <v>2448</v>
      </c>
      <c r="C3173" s="20">
        <v>45588</v>
      </c>
      <c r="D3173" s="11">
        <v>1666.6034206148311</v>
      </c>
      <c r="E3173" s="27">
        <f t="shared" si="237"/>
        <v>1855.2629278284298</v>
      </c>
      <c r="F3173" s="6">
        <f t="shared" si="238"/>
        <v>2411.8418061769589</v>
      </c>
      <c r="G3173" s="7">
        <f t="shared" si="239"/>
        <v>2597.3680989598015</v>
      </c>
      <c r="H3173" s="8">
        <f t="shared" si="240"/>
        <v>2782.894391742645</v>
      </c>
      <c r="I3173" s="9">
        <f t="shared" si="241"/>
        <v>2968.420684525488</v>
      </c>
    </row>
    <row r="3174" spans="1:9" x14ac:dyDescent="0.35">
      <c r="A3174" s="18" t="s">
        <v>1562</v>
      </c>
      <c r="B3174" s="18" t="s">
        <v>2449</v>
      </c>
      <c r="C3174" s="20">
        <v>45588</v>
      </c>
      <c r="D3174" s="11">
        <v>1900.7993261260658</v>
      </c>
      <c r="E3174" s="27">
        <f t="shared" si="237"/>
        <v>2115.9698098435365</v>
      </c>
      <c r="F3174" s="6">
        <f t="shared" si="238"/>
        <v>2750.7607527965974</v>
      </c>
      <c r="G3174" s="7">
        <f t="shared" si="239"/>
        <v>2962.3577337809511</v>
      </c>
      <c r="H3174" s="8">
        <f t="shared" si="240"/>
        <v>3173.9547147653047</v>
      </c>
      <c r="I3174" s="9">
        <f t="shared" si="241"/>
        <v>3385.5516957496584</v>
      </c>
    </row>
    <row r="3175" spans="1:9" x14ac:dyDescent="0.35">
      <c r="A3175" s="18" t="s">
        <v>1563</v>
      </c>
      <c r="B3175" s="18" t="s">
        <v>2450</v>
      </c>
      <c r="C3175" s="20">
        <v>45588</v>
      </c>
      <c r="D3175" s="11">
        <v>2341.9590551123447</v>
      </c>
      <c r="E3175" s="27">
        <f t="shared" si="237"/>
        <v>2607.068820151062</v>
      </c>
      <c r="F3175" s="6">
        <f t="shared" si="238"/>
        <v>3389.1894661963806</v>
      </c>
      <c r="G3175" s="7">
        <f t="shared" si="239"/>
        <v>3649.8963482114864</v>
      </c>
      <c r="H3175" s="8">
        <f t="shared" si="240"/>
        <v>3910.603230226593</v>
      </c>
      <c r="I3175" s="9">
        <f t="shared" si="241"/>
        <v>4171.3101122416992</v>
      </c>
    </row>
    <row r="3176" spans="1:9" x14ac:dyDescent="0.35">
      <c r="A3176" s="18" t="s">
        <v>1564</v>
      </c>
      <c r="B3176" s="18" t="s">
        <v>2451</v>
      </c>
      <c r="C3176" s="20">
        <v>45588</v>
      </c>
      <c r="D3176" s="11">
        <v>2777.6723676913844</v>
      </c>
      <c r="E3176" s="27">
        <f t="shared" si="237"/>
        <v>3092.1048797140488</v>
      </c>
      <c r="F3176" s="6">
        <f t="shared" si="238"/>
        <v>4019.7363436282635</v>
      </c>
      <c r="G3176" s="7">
        <f t="shared" si="239"/>
        <v>4328.9468315996683</v>
      </c>
      <c r="H3176" s="8">
        <f t="shared" si="240"/>
        <v>4638.1573195710735</v>
      </c>
      <c r="I3176" s="9">
        <f t="shared" si="241"/>
        <v>4947.3678075424787</v>
      </c>
    </row>
    <row r="3177" spans="1:9" x14ac:dyDescent="0.35">
      <c r="A3177" s="18" t="s">
        <v>1565</v>
      </c>
      <c r="B3177" s="18" t="s">
        <v>2452</v>
      </c>
      <c r="C3177" s="20">
        <v>45588</v>
      </c>
      <c r="D3177" s="11">
        <v>1161.9021668774424</v>
      </c>
      <c r="E3177" s="27">
        <f t="shared" si="237"/>
        <v>1293.4294921679689</v>
      </c>
      <c r="F3177" s="6">
        <f t="shared" si="238"/>
        <v>1681.4583398183595</v>
      </c>
      <c r="G3177" s="7">
        <f t="shared" si="239"/>
        <v>1810.8012890351563</v>
      </c>
      <c r="H3177" s="8">
        <f t="shared" si="240"/>
        <v>1940.1442382519533</v>
      </c>
      <c r="I3177" s="9">
        <f t="shared" si="241"/>
        <v>2069.4871874687501</v>
      </c>
    </row>
    <row r="3178" spans="1:9" x14ac:dyDescent="0.35">
      <c r="A3178" s="18" t="s">
        <v>1566</v>
      </c>
      <c r="B3178" s="18" t="s">
        <v>2453</v>
      </c>
      <c r="C3178" s="20">
        <v>45588</v>
      </c>
      <c r="D3178" s="11">
        <v>1064.2297659743074</v>
      </c>
      <c r="E3178" s="27">
        <f t="shared" si="237"/>
        <v>1184.7005754825991</v>
      </c>
      <c r="F3178" s="6">
        <f t="shared" si="238"/>
        <v>1540.1107481273789</v>
      </c>
      <c r="G3178" s="7">
        <f t="shared" si="239"/>
        <v>1658.5808056756387</v>
      </c>
      <c r="H3178" s="8">
        <f t="shared" si="240"/>
        <v>1777.0508632238987</v>
      </c>
      <c r="I3178" s="9">
        <f t="shared" si="241"/>
        <v>1895.5209207721587</v>
      </c>
    </row>
    <row r="3179" spans="1:9" x14ac:dyDescent="0.35">
      <c r="A3179" s="18" t="s">
        <v>1567</v>
      </c>
      <c r="B3179" s="18" t="s">
        <v>2454</v>
      </c>
      <c r="C3179" s="20">
        <v>45588</v>
      </c>
      <c r="D3179" s="11">
        <v>1316.2172984158526</v>
      </c>
      <c r="E3179" s="27">
        <f t="shared" si="237"/>
        <v>1465.2130965965271</v>
      </c>
      <c r="F3179" s="6">
        <f t="shared" si="238"/>
        <v>1904.7770255754851</v>
      </c>
      <c r="G3179" s="7">
        <f t="shared" si="239"/>
        <v>2051.298335235138</v>
      </c>
      <c r="H3179" s="8">
        <f t="shared" si="240"/>
        <v>2197.8196448947906</v>
      </c>
      <c r="I3179" s="9">
        <f t="shared" si="241"/>
        <v>2344.3409545544432</v>
      </c>
    </row>
    <row r="3180" spans="1:9" x14ac:dyDescent="0.35">
      <c r="A3180" s="18" t="s">
        <v>1568</v>
      </c>
      <c r="B3180" s="18" t="s">
        <v>2455</v>
      </c>
      <c r="C3180" s="20">
        <v>45588</v>
      </c>
      <c r="D3180" s="11">
        <v>1592.1690630492453</v>
      </c>
      <c r="E3180" s="27">
        <f t="shared" si="237"/>
        <v>1772.4026009864199</v>
      </c>
      <c r="F3180" s="6">
        <f t="shared" si="238"/>
        <v>2304.1233812823461</v>
      </c>
      <c r="G3180" s="7">
        <f t="shared" si="239"/>
        <v>2481.3636413809877</v>
      </c>
      <c r="H3180" s="8">
        <f t="shared" si="240"/>
        <v>2658.6039014796297</v>
      </c>
      <c r="I3180" s="9">
        <f t="shared" si="241"/>
        <v>2835.8441615782722</v>
      </c>
    </row>
    <row r="3181" spans="1:9" x14ac:dyDescent="0.35">
      <c r="A3181" s="18" t="s">
        <v>1569</v>
      </c>
      <c r="B3181" s="18" t="s">
        <v>2456</v>
      </c>
      <c r="C3181" s="20">
        <v>45588</v>
      </c>
      <c r="D3181" s="11">
        <v>2073.269179021936</v>
      </c>
      <c r="E3181" s="27">
        <f t="shared" si="237"/>
        <v>2307.963250087219</v>
      </c>
      <c r="F3181" s="6">
        <f t="shared" si="238"/>
        <v>3000.352225113385</v>
      </c>
      <c r="G3181" s="7">
        <f t="shared" si="239"/>
        <v>3231.1485501221064</v>
      </c>
      <c r="H3181" s="8">
        <f t="shared" si="240"/>
        <v>3461.9448751308282</v>
      </c>
      <c r="I3181" s="9">
        <f t="shared" si="241"/>
        <v>3692.7412001395505</v>
      </c>
    </row>
    <row r="3182" spans="1:9" x14ac:dyDescent="0.35">
      <c r="A3182" s="18" t="s">
        <v>1570</v>
      </c>
      <c r="B3182" s="18" t="s">
        <v>2457</v>
      </c>
      <c r="C3182" s="20">
        <v>45588</v>
      </c>
      <c r="D3182" s="11">
        <v>2287.4948910399648</v>
      </c>
      <c r="E3182" s="27">
        <f t="shared" si="237"/>
        <v>2546.4393127056892</v>
      </c>
      <c r="F3182" s="6">
        <f t="shared" si="238"/>
        <v>3310.3711065173961</v>
      </c>
      <c r="G3182" s="7">
        <f t="shared" si="239"/>
        <v>3565.0150377879645</v>
      </c>
      <c r="H3182" s="8">
        <f t="shared" si="240"/>
        <v>3819.6589690585338</v>
      </c>
      <c r="I3182" s="9">
        <f t="shared" si="241"/>
        <v>4074.3029003291031</v>
      </c>
    </row>
    <row r="3183" spans="1:9" x14ac:dyDescent="0.35">
      <c r="A3183" s="18" t="s">
        <v>702</v>
      </c>
      <c r="B3183" s="18" t="s">
        <v>2458</v>
      </c>
      <c r="C3183" s="20">
        <v>45588</v>
      </c>
      <c r="D3183" s="11">
        <v>2666.9285674108796</v>
      </c>
      <c r="E3183" s="27">
        <f t="shared" si="237"/>
        <v>2968.8248812417914</v>
      </c>
      <c r="F3183" s="6">
        <f t="shared" si="238"/>
        <v>3859.4723456143288</v>
      </c>
      <c r="G3183" s="7">
        <f t="shared" si="239"/>
        <v>4156.3548337385082</v>
      </c>
      <c r="H3183" s="8">
        <f t="shared" si="240"/>
        <v>4453.2373218626872</v>
      </c>
      <c r="I3183" s="9">
        <f t="shared" si="241"/>
        <v>4750.1198099868661</v>
      </c>
    </row>
    <row r="3184" spans="1:9" x14ac:dyDescent="0.35">
      <c r="A3184" s="18" t="s">
        <v>703</v>
      </c>
      <c r="B3184" s="18" t="s">
        <v>2459</v>
      </c>
      <c r="C3184" s="20">
        <v>45588</v>
      </c>
      <c r="D3184" s="11">
        <v>3374.9627003518199</v>
      </c>
      <c r="E3184" s="27">
        <f t="shared" si="237"/>
        <v>3757.0084780316461</v>
      </c>
      <c r="F3184" s="6">
        <f t="shared" si="238"/>
        <v>4884.1110214411401</v>
      </c>
      <c r="G3184" s="7">
        <f t="shared" si="239"/>
        <v>5259.811869244304</v>
      </c>
      <c r="H3184" s="8">
        <f t="shared" si="240"/>
        <v>5635.5127170474689</v>
      </c>
      <c r="I3184" s="9">
        <f t="shared" si="241"/>
        <v>6011.2135648506337</v>
      </c>
    </row>
    <row r="3185" spans="1:9" x14ac:dyDescent="0.35">
      <c r="A3185" s="18" t="s">
        <v>704</v>
      </c>
      <c r="B3185" s="18" t="s">
        <v>2460</v>
      </c>
      <c r="C3185" s="20">
        <v>45588</v>
      </c>
      <c r="D3185" s="11">
        <v>3990.4077543697167</v>
      </c>
      <c r="E3185" s="27">
        <f t="shared" si="237"/>
        <v>4442.121912164369</v>
      </c>
      <c r="F3185" s="6">
        <f t="shared" si="238"/>
        <v>5774.7584858136797</v>
      </c>
      <c r="G3185" s="7">
        <f t="shared" si="239"/>
        <v>6218.9706770301163</v>
      </c>
      <c r="H3185" s="8">
        <f t="shared" si="240"/>
        <v>6663.182868246553</v>
      </c>
      <c r="I3185" s="9">
        <f t="shared" si="241"/>
        <v>7107.3950594629905</v>
      </c>
    </row>
    <row r="3186" spans="1:9" ht="15.75" customHeight="1" x14ac:dyDescent="0.4">
      <c r="B3186" s="19" t="s">
        <v>2385</v>
      </c>
      <c r="D3186" s="11">
        <v>0</v>
      </c>
      <c r="E3186" s="27">
        <f t="shared" si="237"/>
        <v>0</v>
      </c>
      <c r="F3186" s="6">
        <f t="shared" si="238"/>
        <v>0</v>
      </c>
      <c r="G3186" s="7">
        <f t="shared" si="239"/>
        <v>0</v>
      </c>
      <c r="H3186" s="8">
        <f t="shared" si="240"/>
        <v>0</v>
      </c>
      <c r="I3186" s="9">
        <f t="shared" si="241"/>
        <v>0</v>
      </c>
    </row>
    <row r="3187" spans="1:9" x14ac:dyDescent="0.35">
      <c r="A3187" s="18" t="s">
        <v>705</v>
      </c>
      <c r="B3187" s="18" t="s">
        <v>1520</v>
      </c>
      <c r="C3187" s="20">
        <v>45363</v>
      </c>
      <c r="D3187" s="11">
        <v>124.90483499999998</v>
      </c>
      <c r="E3187" s="27">
        <f t="shared" si="237"/>
        <v>139.04406232199997</v>
      </c>
      <c r="F3187" s="6">
        <f t="shared" si="238"/>
        <v>180.75728101859997</v>
      </c>
      <c r="G3187" s="7">
        <f t="shared" si="239"/>
        <v>194.66168725079996</v>
      </c>
      <c r="H3187" s="8">
        <f t="shared" si="240"/>
        <v>208.56609348299997</v>
      </c>
      <c r="I3187" s="9">
        <f t="shared" si="241"/>
        <v>222.47049971519996</v>
      </c>
    </row>
    <row r="3188" spans="1:9" x14ac:dyDescent="0.35">
      <c r="A3188" s="18" t="s">
        <v>706</v>
      </c>
      <c r="B3188" s="18" t="s">
        <v>1521</v>
      </c>
      <c r="C3188" s="20">
        <v>45363</v>
      </c>
      <c r="D3188" s="11">
        <v>189.24975000000001</v>
      </c>
      <c r="E3188" s="27">
        <f t="shared" si="237"/>
        <v>210.67282170000001</v>
      </c>
      <c r="F3188" s="6">
        <f t="shared" si="238"/>
        <v>273.87466821000004</v>
      </c>
      <c r="G3188" s="7">
        <f t="shared" si="239"/>
        <v>294.94195037999998</v>
      </c>
      <c r="H3188" s="8">
        <f t="shared" si="240"/>
        <v>316.00923255000004</v>
      </c>
      <c r="I3188" s="9">
        <f t="shared" si="241"/>
        <v>337.07651472000003</v>
      </c>
    </row>
    <row r="3189" spans="1:9" x14ac:dyDescent="0.35">
      <c r="A3189" s="18" t="s">
        <v>707</v>
      </c>
      <c r="B3189" s="18" t="s">
        <v>1522</v>
      </c>
      <c r="C3189" s="20">
        <v>45363</v>
      </c>
      <c r="D3189" s="11">
        <v>251.07133499999998</v>
      </c>
      <c r="E3189" s="27">
        <f t="shared" si="237"/>
        <v>279.49261012199997</v>
      </c>
      <c r="F3189" s="6">
        <f t="shared" si="238"/>
        <v>363.34039315859997</v>
      </c>
      <c r="G3189" s="7">
        <f t="shared" si="239"/>
        <v>391.28965417079996</v>
      </c>
      <c r="H3189" s="8">
        <f t="shared" si="240"/>
        <v>419.23891518299996</v>
      </c>
      <c r="I3189" s="9">
        <f t="shared" si="241"/>
        <v>447.18817619519996</v>
      </c>
    </row>
    <row r="3190" spans="1:9" x14ac:dyDescent="0.35">
      <c r="A3190" s="18" t="s">
        <v>708</v>
      </c>
      <c r="B3190" s="18" t="s">
        <v>1523</v>
      </c>
      <c r="C3190" s="20">
        <v>45363</v>
      </c>
      <c r="D3190" s="11">
        <v>0</v>
      </c>
      <c r="E3190" s="27">
        <f t="shared" si="237"/>
        <v>0</v>
      </c>
      <c r="F3190" s="6">
        <f t="shared" si="238"/>
        <v>0</v>
      </c>
      <c r="G3190" s="7">
        <f t="shared" si="239"/>
        <v>0</v>
      </c>
      <c r="H3190" s="8">
        <f t="shared" si="240"/>
        <v>0</v>
      </c>
      <c r="I3190" s="9">
        <f t="shared" si="241"/>
        <v>0</v>
      </c>
    </row>
    <row r="3191" spans="1:9" x14ac:dyDescent="0.35">
      <c r="A3191" s="18" t="s">
        <v>709</v>
      </c>
      <c r="B3191" s="18" t="s">
        <v>1524</v>
      </c>
      <c r="C3191" s="20">
        <v>45363</v>
      </c>
      <c r="D3191" s="11">
        <v>0</v>
      </c>
      <c r="E3191" s="27">
        <f t="shared" si="237"/>
        <v>0</v>
      </c>
      <c r="F3191" s="6">
        <f t="shared" si="238"/>
        <v>0</v>
      </c>
      <c r="G3191" s="7">
        <f t="shared" si="239"/>
        <v>0</v>
      </c>
      <c r="H3191" s="8">
        <f t="shared" si="240"/>
        <v>0</v>
      </c>
      <c r="I3191" s="9">
        <f t="shared" si="241"/>
        <v>0</v>
      </c>
    </row>
    <row r="3192" spans="1:9" x14ac:dyDescent="0.35">
      <c r="A3192" s="18" t="s">
        <v>710</v>
      </c>
      <c r="B3192" s="18" t="s">
        <v>1525</v>
      </c>
      <c r="C3192" s="20">
        <v>45363</v>
      </c>
      <c r="D3192" s="11">
        <v>176.63309999999998</v>
      </c>
      <c r="E3192" s="27">
        <f t="shared" si="237"/>
        <v>196.62796692000001</v>
      </c>
      <c r="F3192" s="6">
        <f t="shared" si="238"/>
        <v>255.61635699600001</v>
      </c>
      <c r="G3192" s="7">
        <f t="shared" si="239"/>
        <v>275.27915368800001</v>
      </c>
      <c r="H3192" s="8">
        <f t="shared" si="240"/>
        <v>294.94195037999998</v>
      </c>
      <c r="I3192" s="9">
        <f t="shared" si="241"/>
        <v>314.60474707200001</v>
      </c>
    </row>
    <row r="3193" spans="1:9" x14ac:dyDescent="0.35">
      <c r="A3193" s="18" t="s">
        <v>711</v>
      </c>
      <c r="B3193" s="18" t="s">
        <v>1526</v>
      </c>
      <c r="C3193" s="20">
        <v>45363</v>
      </c>
      <c r="D3193" s="11">
        <v>269.99630999999994</v>
      </c>
      <c r="E3193" s="27">
        <f t="shared" si="237"/>
        <v>300.55989229199992</v>
      </c>
      <c r="F3193" s="6">
        <f t="shared" si="238"/>
        <v>390.72785997959988</v>
      </c>
      <c r="G3193" s="7">
        <f t="shared" si="239"/>
        <v>420.78384920879984</v>
      </c>
      <c r="H3193" s="8">
        <f t="shared" si="240"/>
        <v>450.8398384379999</v>
      </c>
      <c r="I3193" s="9">
        <f t="shared" si="241"/>
        <v>480.89582766719991</v>
      </c>
    </row>
    <row r="3194" spans="1:9" x14ac:dyDescent="0.35">
      <c r="A3194" s="18" t="s">
        <v>712</v>
      </c>
      <c r="B3194" s="18" t="s">
        <v>1527</v>
      </c>
      <c r="C3194" s="20">
        <v>45363</v>
      </c>
      <c r="D3194" s="11">
        <v>382.28449500000005</v>
      </c>
      <c r="E3194" s="27">
        <f t="shared" si="237"/>
        <v>425.55909983400005</v>
      </c>
      <c r="F3194" s="6">
        <f t="shared" si="238"/>
        <v>553.22682978420005</v>
      </c>
      <c r="G3194" s="7">
        <f t="shared" si="239"/>
        <v>595.78273976759999</v>
      </c>
      <c r="H3194" s="8">
        <f t="shared" si="240"/>
        <v>638.33864975100005</v>
      </c>
      <c r="I3194" s="9">
        <f t="shared" si="241"/>
        <v>680.8945597344001</v>
      </c>
    </row>
    <row r="3195" spans="1:9" x14ac:dyDescent="0.35">
      <c r="A3195" s="18" t="s">
        <v>713</v>
      </c>
      <c r="B3195" s="18" t="s">
        <v>1528</v>
      </c>
      <c r="C3195" s="20">
        <v>45363</v>
      </c>
      <c r="D3195" s="11">
        <v>0</v>
      </c>
      <c r="E3195" s="27">
        <f t="shared" si="237"/>
        <v>0</v>
      </c>
      <c r="F3195" s="6">
        <f t="shared" si="238"/>
        <v>0</v>
      </c>
      <c r="G3195" s="7">
        <f t="shared" si="239"/>
        <v>0</v>
      </c>
      <c r="H3195" s="8">
        <f t="shared" si="240"/>
        <v>0</v>
      </c>
      <c r="I3195" s="9">
        <f t="shared" si="241"/>
        <v>0</v>
      </c>
    </row>
    <row r="3196" spans="1:9" x14ac:dyDescent="0.35">
      <c r="A3196" s="18" t="s">
        <v>714</v>
      </c>
      <c r="B3196" s="18" t="s">
        <v>1529</v>
      </c>
      <c r="C3196" s="20">
        <v>45363</v>
      </c>
      <c r="D3196" s="11">
        <v>0</v>
      </c>
      <c r="E3196" s="27">
        <f t="shared" si="237"/>
        <v>0</v>
      </c>
      <c r="F3196" s="6">
        <f t="shared" si="238"/>
        <v>0</v>
      </c>
      <c r="G3196" s="7">
        <f t="shared" si="239"/>
        <v>0</v>
      </c>
      <c r="H3196" s="8">
        <f t="shared" si="240"/>
        <v>0</v>
      </c>
      <c r="I3196" s="9">
        <f t="shared" si="241"/>
        <v>0</v>
      </c>
    </row>
    <row r="3197" spans="1:9" x14ac:dyDescent="0.35">
      <c r="A3197" s="18" t="s">
        <v>715</v>
      </c>
      <c r="B3197" s="18" t="s">
        <v>1530</v>
      </c>
      <c r="C3197" s="20">
        <v>45363</v>
      </c>
      <c r="D3197" s="11">
        <v>240.97801499999997</v>
      </c>
      <c r="E3197" s="27">
        <f t="shared" si="237"/>
        <v>268.25672629799993</v>
      </c>
      <c r="F3197" s="6">
        <f t="shared" si="238"/>
        <v>348.73374418739991</v>
      </c>
      <c r="G3197" s="7">
        <f t="shared" si="239"/>
        <v>375.55941681719986</v>
      </c>
      <c r="H3197" s="8">
        <f t="shared" si="240"/>
        <v>402.38508944699993</v>
      </c>
      <c r="I3197" s="9">
        <f t="shared" si="241"/>
        <v>429.21076207679994</v>
      </c>
    </row>
    <row r="3198" spans="1:9" x14ac:dyDescent="0.35">
      <c r="A3198" s="18" t="s">
        <v>716</v>
      </c>
      <c r="B3198" s="18" t="s">
        <v>1531</v>
      </c>
      <c r="C3198" s="20">
        <v>45363</v>
      </c>
      <c r="D3198" s="11">
        <v>375.97616999999997</v>
      </c>
      <c r="E3198" s="27">
        <f t="shared" si="237"/>
        <v>418.53667244399998</v>
      </c>
      <c r="F3198" s="6">
        <f t="shared" si="238"/>
        <v>544.09767417720002</v>
      </c>
      <c r="G3198" s="7">
        <f t="shared" si="239"/>
        <v>585.95134142159998</v>
      </c>
      <c r="H3198" s="8">
        <f t="shared" si="240"/>
        <v>627.80500866599994</v>
      </c>
      <c r="I3198" s="9">
        <f t="shared" si="241"/>
        <v>669.65867591040001</v>
      </c>
    </row>
    <row r="3199" spans="1:9" x14ac:dyDescent="0.35">
      <c r="A3199" s="18" t="s">
        <v>717</v>
      </c>
      <c r="B3199" s="18" t="s">
        <v>1532</v>
      </c>
      <c r="C3199" s="20">
        <v>45363</v>
      </c>
      <c r="D3199" s="11">
        <v>480.69436499999995</v>
      </c>
      <c r="E3199" s="27">
        <f t="shared" si="237"/>
        <v>535.10896711800001</v>
      </c>
      <c r="F3199" s="6">
        <f t="shared" si="238"/>
        <v>695.64165725340001</v>
      </c>
      <c r="G3199" s="7">
        <f t="shared" si="239"/>
        <v>749.15255396520001</v>
      </c>
      <c r="H3199" s="8">
        <f t="shared" si="240"/>
        <v>802.66345067700001</v>
      </c>
      <c r="I3199" s="9">
        <f t="shared" si="241"/>
        <v>856.17434738880002</v>
      </c>
    </row>
    <row r="3200" spans="1:9" x14ac:dyDescent="0.35">
      <c r="A3200" s="18" t="s">
        <v>718</v>
      </c>
      <c r="B3200" s="18" t="s">
        <v>1533</v>
      </c>
      <c r="C3200" s="20">
        <v>45363</v>
      </c>
      <c r="D3200" s="11">
        <v>0</v>
      </c>
      <c r="E3200" s="27">
        <f t="shared" si="237"/>
        <v>0</v>
      </c>
      <c r="F3200" s="6">
        <f t="shared" si="238"/>
        <v>0</v>
      </c>
      <c r="G3200" s="7">
        <f t="shared" si="239"/>
        <v>0</v>
      </c>
      <c r="H3200" s="8">
        <f t="shared" si="240"/>
        <v>0</v>
      </c>
      <c r="I3200" s="9">
        <f t="shared" si="241"/>
        <v>0</v>
      </c>
    </row>
    <row r="3201" spans="1:9" x14ac:dyDescent="0.35">
      <c r="A3201" s="18" t="s">
        <v>719</v>
      </c>
      <c r="B3201" s="18" t="s">
        <v>1534</v>
      </c>
      <c r="C3201" s="20">
        <v>45363</v>
      </c>
      <c r="D3201" s="11">
        <v>0</v>
      </c>
      <c r="E3201" s="27">
        <f t="shared" si="237"/>
        <v>0</v>
      </c>
      <c r="F3201" s="6">
        <f t="shared" si="238"/>
        <v>0</v>
      </c>
      <c r="G3201" s="7">
        <f t="shared" si="239"/>
        <v>0</v>
      </c>
      <c r="H3201" s="8">
        <f t="shared" si="240"/>
        <v>0</v>
      </c>
      <c r="I3201" s="9">
        <f t="shared" si="241"/>
        <v>0</v>
      </c>
    </row>
    <row r="3202" spans="1:9" ht="15.75" customHeight="1" x14ac:dyDescent="0.4">
      <c r="B3202" s="19" t="s">
        <v>2386</v>
      </c>
      <c r="C3202" s="20">
        <v>45363</v>
      </c>
      <c r="D3202" s="11">
        <v>0</v>
      </c>
      <c r="E3202" s="27">
        <f t="shared" si="237"/>
        <v>0</v>
      </c>
      <c r="F3202" s="6">
        <f t="shared" si="238"/>
        <v>0</v>
      </c>
      <c r="G3202" s="7">
        <f t="shared" si="239"/>
        <v>0</v>
      </c>
      <c r="H3202" s="8">
        <f t="shared" si="240"/>
        <v>0</v>
      </c>
      <c r="I3202" s="9">
        <f t="shared" si="241"/>
        <v>0</v>
      </c>
    </row>
    <row r="3203" spans="1:9" x14ac:dyDescent="0.35">
      <c r="A3203" s="18" t="s">
        <v>1263</v>
      </c>
      <c r="B3203" s="18" t="s">
        <v>1520</v>
      </c>
      <c r="C3203" s="20">
        <v>45363</v>
      </c>
      <c r="D3203" s="11">
        <v>0</v>
      </c>
      <c r="E3203" s="27">
        <f t="shared" si="237"/>
        <v>0</v>
      </c>
      <c r="F3203" s="6">
        <f t="shared" si="238"/>
        <v>0</v>
      </c>
      <c r="G3203" s="7">
        <f t="shared" si="239"/>
        <v>0</v>
      </c>
      <c r="H3203" s="8">
        <f t="shared" si="240"/>
        <v>0</v>
      </c>
      <c r="I3203" s="9">
        <f t="shared" si="241"/>
        <v>0</v>
      </c>
    </row>
    <row r="3204" spans="1:9" x14ac:dyDescent="0.35">
      <c r="A3204" s="18" t="s">
        <v>1264</v>
      </c>
      <c r="B3204" s="18" t="s">
        <v>1521</v>
      </c>
      <c r="C3204" s="20">
        <v>45363</v>
      </c>
      <c r="D3204" s="11">
        <v>0</v>
      </c>
      <c r="E3204" s="27">
        <f t="shared" si="237"/>
        <v>0</v>
      </c>
      <c r="F3204" s="6">
        <f t="shared" si="238"/>
        <v>0</v>
      </c>
      <c r="G3204" s="7">
        <f t="shared" si="239"/>
        <v>0</v>
      </c>
      <c r="H3204" s="8">
        <f t="shared" si="240"/>
        <v>0</v>
      </c>
      <c r="I3204" s="9">
        <f t="shared" si="241"/>
        <v>0</v>
      </c>
    </row>
    <row r="3205" spans="1:9" x14ac:dyDescent="0.35">
      <c r="A3205" s="18" t="s">
        <v>1265</v>
      </c>
      <c r="B3205" s="18" t="s">
        <v>1522</v>
      </c>
      <c r="C3205" s="20">
        <v>45363</v>
      </c>
      <c r="D3205" s="11">
        <v>0</v>
      </c>
      <c r="E3205" s="27">
        <f t="shared" si="237"/>
        <v>0</v>
      </c>
      <c r="F3205" s="6">
        <f t="shared" si="238"/>
        <v>0</v>
      </c>
      <c r="G3205" s="7">
        <f t="shared" si="239"/>
        <v>0</v>
      </c>
      <c r="H3205" s="8">
        <f t="shared" si="240"/>
        <v>0</v>
      </c>
      <c r="I3205" s="9">
        <f t="shared" si="241"/>
        <v>0</v>
      </c>
    </row>
    <row r="3206" spans="1:9" x14ac:dyDescent="0.35">
      <c r="A3206" s="18" t="s">
        <v>1266</v>
      </c>
      <c r="B3206" s="18" t="s">
        <v>1525</v>
      </c>
      <c r="C3206" s="20">
        <v>45363</v>
      </c>
      <c r="D3206" s="11">
        <v>0</v>
      </c>
      <c r="E3206" s="27">
        <f t="shared" si="237"/>
        <v>0</v>
      </c>
      <c r="F3206" s="6">
        <f t="shared" si="238"/>
        <v>0</v>
      </c>
      <c r="G3206" s="7">
        <f t="shared" si="239"/>
        <v>0</v>
      </c>
      <c r="H3206" s="8">
        <f t="shared" si="240"/>
        <v>0</v>
      </c>
      <c r="I3206" s="9">
        <f t="shared" si="241"/>
        <v>0</v>
      </c>
    </row>
    <row r="3207" spans="1:9" x14ac:dyDescent="0.35">
      <c r="A3207" s="18" t="s">
        <v>1267</v>
      </c>
      <c r="B3207" s="18" t="s">
        <v>1526</v>
      </c>
      <c r="C3207" s="20">
        <v>45363</v>
      </c>
      <c r="D3207" s="11">
        <v>0</v>
      </c>
      <c r="E3207" s="27">
        <f t="shared" si="237"/>
        <v>0</v>
      </c>
      <c r="F3207" s="6">
        <f t="shared" si="238"/>
        <v>0</v>
      </c>
      <c r="G3207" s="7">
        <f t="shared" si="239"/>
        <v>0</v>
      </c>
      <c r="H3207" s="8">
        <f t="shared" si="240"/>
        <v>0</v>
      </c>
      <c r="I3207" s="9">
        <f t="shared" si="241"/>
        <v>0</v>
      </c>
    </row>
    <row r="3208" spans="1:9" x14ac:dyDescent="0.35">
      <c r="A3208" s="18" t="s">
        <v>1268</v>
      </c>
      <c r="B3208" s="18" t="s">
        <v>1527</v>
      </c>
      <c r="C3208" s="20">
        <v>45363</v>
      </c>
      <c r="D3208" s="11">
        <v>0</v>
      </c>
      <c r="E3208" s="27">
        <f t="shared" si="237"/>
        <v>0</v>
      </c>
      <c r="F3208" s="6">
        <f t="shared" si="238"/>
        <v>0</v>
      </c>
      <c r="G3208" s="7">
        <f t="shared" si="239"/>
        <v>0</v>
      </c>
      <c r="H3208" s="8">
        <f t="shared" si="240"/>
        <v>0</v>
      </c>
      <c r="I3208" s="9">
        <f t="shared" si="241"/>
        <v>0</v>
      </c>
    </row>
    <row r="3209" spans="1:9" x14ac:dyDescent="0.35">
      <c r="A3209" s="18" t="s">
        <v>1269</v>
      </c>
      <c r="B3209" s="18" t="s">
        <v>1530</v>
      </c>
      <c r="C3209" s="20">
        <v>45363</v>
      </c>
      <c r="D3209" s="11">
        <v>0</v>
      </c>
      <c r="E3209" s="27">
        <f t="shared" si="237"/>
        <v>0</v>
      </c>
      <c r="F3209" s="6">
        <f t="shared" si="238"/>
        <v>0</v>
      </c>
      <c r="G3209" s="7">
        <f t="shared" si="239"/>
        <v>0</v>
      </c>
      <c r="H3209" s="8">
        <f t="shared" si="240"/>
        <v>0</v>
      </c>
      <c r="I3209" s="9">
        <f t="shared" si="241"/>
        <v>0</v>
      </c>
    </row>
    <row r="3210" spans="1:9" x14ac:dyDescent="0.35">
      <c r="A3210" s="18" t="s">
        <v>1270</v>
      </c>
      <c r="B3210" s="18" t="s">
        <v>1531</v>
      </c>
      <c r="C3210" s="20">
        <v>45363</v>
      </c>
      <c r="D3210" s="11">
        <v>0</v>
      </c>
      <c r="E3210" s="27">
        <f t="shared" si="237"/>
        <v>0</v>
      </c>
      <c r="F3210" s="6">
        <f t="shared" si="238"/>
        <v>0</v>
      </c>
      <c r="G3210" s="7">
        <f t="shared" si="239"/>
        <v>0</v>
      </c>
      <c r="H3210" s="8">
        <f t="shared" si="240"/>
        <v>0</v>
      </c>
      <c r="I3210" s="9">
        <f t="shared" si="241"/>
        <v>0</v>
      </c>
    </row>
    <row r="3211" spans="1:9" x14ac:dyDescent="0.35">
      <c r="A3211" s="18" t="s">
        <v>1271</v>
      </c>
      <c r="B3211" s="18" t="s">
        <v>1532</v>
      </c>
      <c r="C3211" s="20">
        <v>45363</v>
      </c>
      <c r="D3211" s="11">
        <v>0</v>
      </c>
      <c r="E3211" s="27">
        <f t="shared" si="237"/>
        <v>0</v>
      </c>
      <c r="F3211" s="6">
        <f t="shared" si="238"/>
        <v>0</v>
      </c>
      <c r="G3211" s="7">
        <f t="shared" si="239"/>
        <v>0</v>
      </c>
      <c r="H3211" s="8">
        <f t="shared" si="240"/>
        <v>0</v>
      </c>
      <c r="I3211" s="9">
        <f t="shared" si="241"/>
        <v>0</v>
      </c>
    </row>
    <row r="3212" spans="1:9" x14ac:dyDescent="0.35">
      <c r="A3212" s="18" t="s">
        <v>1272</v>
      </c>
      <c r="B3212" s="18" t="s">
        <v>1535</v>
      </c>
      <c r="C3212" s="20">
        <v>45363</v>
      </c>
      <c r="D3212" s="11">
        <v>0</v>
      </c>
      <c r="E3212" s="27">
        <f t="shared" si="237"/>
        <v>0</v>
      </c>
      <c r="F3212" s="6">
        <f t="shared" si="238"/>
        <v>0</v>
      </c>
      <c r="G3212" s="7">
        <f t="shared" si="239"/>
        <v>0</v>
      </c>
      <c r="H3212" s="8">
        <f t="shared" si="240"/>
        <v>0</v>
      </c>
      <c r="I3212" s="9">
        <f t="shared" si="241"/>
        <v>0</v>
      </c>
    </row>
    <row r="3213" spans="1:9" x14ac:dyDescent="0.35">
      <c r="A3213" s="18" t="s">
        <v>1273</v>
      </c>
      <c r="B3213" s="18" t="s">
        <v>1536</v>
      </c>
      <c r="C3213" s="20">
        <v>45363</v>
      </c>
      <c r="D3213" s="11">
        <v>0</v>
      </c>
      <c r="E3213" s="27">
        <f t="shared" si="237"/>
        <v>0</v>
      </c>
      <c r="F3213" s="6">
        <f t="shared" si="238"/>
        <v>0</v>
      </c>
      <c r="G3213" s="7">
        <f t="shared" si="239"/>
        <v>0</v>
      </c>
      <c r="H3213" s="8">
        <f t="shared" si="240"/>
        <v>0</v>
      </c>
      <c r="I3213" s="9">
        <f t="shared" si="241"/>
        <v>0</v>
      </c>
    </row>
    <row r="3214" spans="1:9" x14ac:dyDescent="0.35">
      <c r="A3214" s="18" t="s">
        <v>1274</v>
      </c>
      <c r="B3214" s="18" t="s">
        <v>1537</v>
      </c>
      <c r="C3214" s="20">
        <v>45363</v>
      </c>
      <c r="D3214" s="11">
        <v>0</v>
      </c>
      <c r="E3214" s="27">
        <f t="shared" si="237"/>
        <v>0</v>
      </c>
      <c r="F3214" s="6">
        <f t="shared" si="238"/>
        <v>0</v>
      </c>
      <c r="G3214" s="7">
        <f t="shared" si="239"/>
        <v>0</v>
      </c>
      <c r="H3214" s="8">
        <f t="shared" si="240"/>
        <v>0</v>
      </c>
      <c r="I3214" s="9">
        <f t="shared" si="241"/>
        <v>0</v>
      </c>
    </row>
    <row r="3215" spans="1:9" x14ac:dyDescent="0.35">
      <c r="A3215" s="18" t="s">
        <v>1275</v>
      </c>
      <c r="B3215" s="18" t="s">
        <v>1538</v>
      </c>
      <c r="C3215" s="20">
        <v>45363</v>
      </c>
      <c r="D3215" s="11">
        <v>0</v>
      </c>
      <c r="E3215" s="27">
        <f t="shared" si="237"/>
        <v>0</v>
      </c>
      <c r="F3215" s="6">
        <f t="shared" si="238"/>
        <v>0</v>
      </c>
      <c r="G3215" s="7">
        <f t="shared" si="239"/>
        <v>0</v>
      </c>
      <c r="H3215" s="8">
        <f t="shared" si="240"/>
        <v>0</v>
      </c>
      <c r="I3215" s="9">
        <f t="shared" si="241"/>
        <v>0</v>
      </c>
    </row>
    <row r="3216" spans="1:9" x14ac:dyDescent="0.35">
      <c r="A3216" s="18" t="s">
        <v>1276</v>
      </c>
      <c r="B3216" s="18" t="s">
        <v>1539</v>
      </c>
      <c r="C3216" s="20">
        <v>45363</v>
      </c>
      <c r="D3216" s="11">
        <v>0</v>
      </c>
      <c r="E3216" s="27">
        <f t="shared" ref="E3216:E3279" si="242">D3216*1.21*0.92</f>
        <v>0</v>
      </c>
      <c r="F3216" s="6">
        <f t="shared" si="238"/>
        <v>0</v>
      </c>
      <c r="G3216" s="7">
        <f t="shared" si="239"/>
        <v>0</v>
      </c>
      <c r="H3216" s="8">
        <f t="shared" si="240"/>
        <v>0</v>
      </c>
      <c r="I3216" s="9">
        <f t="shared" si="241"/>
        <v>0</v>
      </c>
    </row>
    <row r="3217" spans="1:9" x14ac:dyDescent="0.35">
      <c r="A3217" s="18" t="s">
        <v>1277</v>
      </c>
      <c r="B3217" s="18" t="s">
        <v>1540</v>
      </c>
      <c r="C3217" s="20">
        <v>45363</v>
      </c>
      <c r="D3217" s="11">
        <v>0</v>
      </c>
      <c r="E3217" s="27">
        <f t="shared" si="242"/>
        <v>0</v>
      </c>
      <c r="F3217" s="6">
        <f t="shared" si="238"/>
        <v>0</v>
      </c>
      <c r="G3217" s="7">
        <f t="shared" si="239"/>
        <v>0</v>
      </c>
      <c r="H3217" s="8">
        <f t="shared" si="240"/>
        <v>0</v>
      </c>
      <c r="I3217" s="9">
        <f t="shared" si="241"/>
        <v>0</v>
      </c>
    </row>
    <row r="3218" spans="1:9" x14ac:dyDescent="0.35">
      <c r="A3218" s="18" t="s">
        <v>1278</v>
      </c>
      <c r="B3218" s="18" t="s">
        <v>1541</v>
      </c>
      <c r="C3218" s="20">
        <v>45363</v>
      </c>
      <c r="D3218" s="11">
        <v>0</v>
      </c>
      <c r="E3218" s="27">
        <f t="shared" si="242"/>
        <v>0</v>
      </c>
      <c r="F3218" s="6">
        <f t="shared" si="238"/>
        <v>0</v>
      </c>
      <c r="G3218" s="7">
        <f t="shared" si="239"/>
        <v>0</v>
      </c>
      <c r="H3218" s="8">
        <f t="shared" si="240"/>
        <v>0</v>
      </c>
      <c r="I3218" s="9">
        <f t="shared" si="241"/>
        <v>0</v>
      </c>
    </row>
    <row r="3219" spans="1:9" x14ac:dyDescent="0.35">
      <c r="A3219" s="18" t="s">
        <v>1279</v>
      </c>
      <c r="B3219" s="18" t="s">
        <v>1542</v>
      </c>
      <c r="C3219" s="20">
        <v>45363</v>
      </c>
      <c r="D3219" s="11">
        <v>0</v>
      </c>
      <c r="E3219" s="27">
        <f t="shared" si="242"/>
        <v>0</v>
      </c>
      <c r="F3219" s="6">
        <f t="shared" si="238"/>
        <v>0</v>
      </c>
      <c r="G3219" s="7">
        <f t="shared" si="239"/>
        <v>0</v>
      </c>
      <c r="H3219" s="8">
        <f t="shared" si="240"/>
        <v>0</v>
      </c>
      <c r="I3219" s="9">
        <f t="shared" si="241"/>
        <v>0</v>
      </c>
    </row>
    <row r="3220" spans="1:9" x14ac:dyDescent="0.35">
      <c r="A3220" s="18" t="s">
        <v>1280</v>
      </c>
      <c r="B3220" s="18" t="s">
        <v>1541</v>
      </c>
      <c r="C3220" s="20">
        <v>45363</v>
      </c>
      <c r="D3220" s="11">
        <v>0</v>
      </c>
      <c r="E3220" s="27">
        <f t="shared" si="242"/>
        <v>0</v>
      </c>
      <c r="F3220" s="6">
        <f t="shared" si="238"/>
        <v>0</v>
      </c>
      <c r="G3220" s="7">
        <f t="shared" si="239"/>
        <v>0</v>
      </c>
      <c r="H3220" s="8">
        <f t="shared" si="240"/>
        <v>0</v>
      </c>
      <c r="I3220" s="9">
        <f t="shared" si="241"/>
        <v>0</v>
      </c>
    </row>
    <row r="3221" spans="1:9" ht="18" x14ac:dyDescent="0.4">
      <c r="B3221" s="19" t="s">
        <v>2387</v>
      </c>
      <c r="D3221" s="11">
        <v>0</v>
      </c>
      <c r="E3221" s="27">
        <f t="shared" si="242"/>
        <v>0</v>
      </c>
      <c r="F3221" s="6">
        <f t="shared" si="238"/>
        <v>0</v>
      </c>
      <c r="G3221" s="7">
        <f t="shared" si="239"/>
        <v>0</v>
      </c>
      <c r="H3221" s="8">
        <f t="shared" si="240"/>
        <v>0</v>
      </c>
      <c r="I3221" s="9">
        <f t="shared" si="241"/>
        <v>0</v>
      </c>
    </row>
    <row r="3222" spans="1:9" x14ac:dyDescent="0.35">
      <c r="A3222" s="18" t="s">
        <v>1281</v>
      </c>
      <c r="B3222" s="18" t="s">
        <v>555</v>
      </c>
      <c r="C3222" s="20">
        <v>45471</v>
      </c>
      <c r="D3222" s="11">
        <v>5022.6471197970995</v>
      </c>
      <c r="E3222" s="27">
        <f t="shared" si="242"/>
        <v>5591.2107737581318</v>
      </c>
      <c r="F3222" s="6">
        <f t="shared" ref="F3222:F3285" si="243">E3222*1.3</f>
        <v>7268.5740058855718</v>
      </c>
      <c r="G3222" s="7">
        <f t="shared" ref="G3222:G3285" si="244">E3222*1.4</f>
        <v>7827.6950832613838</v>
      </c>
      <c r="H3222" s="8">
        <f t="shared" ref="H3222:H3285" si="245">E3222*1.5</f>
        <v>8386.8161606371978</v>
      </c>
      <c r="I3222" s="9">
        <f t="shared" ref="I3222:I3285" si="246">E3222*1.6</f>
        <v>8945.9372380130117</v>
      </c>
    </row>
    <row r="3223" spans="1:9" x14ac:dyDescent="0.35">
      <c r="A3223" s="18" t="s">
        <v>1282</v>
      </c>
      <c r="B3223" s="18" t="s">
        <v>556</v>
      </c>
      <c r="C3223" s="20">
        <v>45471</v>
      </c>
      <c r="D3223" s="11">
        <v>8043.8358665098549</v>
      </c>
      <c r="E3223" s="27">
        <f t="shared" si="242"/>
        <v>8954.3980865987705</v>
      </c>
      <c r="F3223" s="6">
        <f t="shared" si="243"/>
        <v>11640.717512578402</v>
      </c>
      <c r="G3223" s="7">
        <f t="shared" si="244"/>
        <v>12536.157321238277</v>
      </c>
      <c r="H3223" s="8">
        <f t="shared" si="245"/>
        <v>13431.597129898157</v>
      </c>
      <c r="I3223" s="9">
        <f t="shared" si="246"/>
        <v>14327.036938558034</v>
      </c>
    </row>
    <row r="3224" spans="1:9" x14ac:dyDescent="0.35">
      <c r="A3224" s="18" t="s">
        <v>1283</v>
      </c>
      <c r="B3224" s="18" t="s">
        <v>557</v>
      </c>
      <c r="C3224" s="20">
        <v>45471</v>
      </c>
      <c r="D3224" s="11">
        <v>6967.1019316227075</v>
      </c>
      <c r="E3224" s="27">
        <f t="shared" si="242"/>
        <v>7755.777870282398</v>
      </c>
      <c r="F3224" s="6">
        <f t="shared" si="243"/>
        <v>10082.511231367118</v>
      </c>
      <c r="G3224" s="7">
        <f t="shared" si="244"/>
        <v>10858.089018395356</v>
      </c>
      <c r="H3224" s="8">
        <f t="shared" si="245"/>
        <v>11633.666805423596</v>
      </c>
      <c r="I3224" s="9">
        <f t="shared" si="246"/>
        <v>12409.244592451838</v>
      </c>
    </row>
    <row r="3225" spans="1:9" x14ac:dyDescent="0.35">
      <c r="A3225" s="18" t="s">
        <v>1284</v>
      </c>
      <c r="B3225" s="18" t="s">
        <v>558</v>
      </c>
      <c r="C3225" s="20">
        <v>45471</v>
      </c>
      <c r="D3225" s="11">
        <v>9690.6054139843127</v>
      </c>
      <c r="E3225" s="27">
        <f t="shared" si="242"/>
        <v>10787.581946847336</v>
      </c>
      <c r="F3225" s="6">
        <f t="shared" si="243"/>
        <v>14023.856530901538</v>
      </c>
      <c r="G3225" s="7">
        <f t="shared" si="244"/>
        <v>15102.614725586271</v>
      </c>
      <c r="H3225" s="8">
        <f t="shared" si="245"/>
        <v>16181.372920271006</v>
      </c>
      <c r="I3225" s="9">
        <f t="shared" si="246"/>
        <v>17260.13111495574</v>
      </c>
    </row>
    <row r="3226" spans="1:9" x14ac:dyDescent="0.35">
      <c r="A3226" s="18" t="s">
        <v>680</v>
      </c>
      <c r="B3226" s="18" t="s">
        <v>559</v>
      </c>
      <c r="C3226" s="20">
        <v>45471</v>
      </c>
      <c r="D3226" s="11">
        <v>10155.078876092497</v>
      </c>
      <c r="E3226" s="27">
        <f t="shared" si="242"/>
        <v>11304.633804866167</v>
      </c>
      <c r="F3226" s="6">
        <f t="shared" si="243"/>
        <v>14696.023946326019</v>
      </c>
      <c r="G3226" s="7">
        <f t="shared" si="244"/>
        <v>15826.487326812634</v>
      </c>
      <c r="H3226" s="8">
        <f t="shared" si="245"/>
        <v>16956.950707299249</v>
      </c>
      <c r="I3226" s="9">
        <f t="shared" si="246"/>
        <v>18087.41408778587</v>
      </c>
    </row>
    <row r="3227" spans="1:9" x14ac:dyDescent="0.35">
      <c r="A3227" s="18" t="s">
        <v>681</v>
      </c>
      <c r="B3227" s="18" t="s">
        <v>560</v>
      </c>
      <c r="C3227" s="20">
        <v>45471</v>
      </c>
      <c r="D3227" s="11">
        <v>15116.499948611696</v>
      </c>
      <c r="E3227" s="27">
        <f t="shared" si="242"/>
        <v>16827.68774279454</v>
      </c>
      <c r="F3227" s="6">
        <f t="shared" si="243"/>
        <v>21875.994065632902</v>
      </c>
      <c r="G3227" s="7">
        <f t="shared" si="244"/>
        <v>23558.762839912353</v>
      </c>
      <c r="H3227" s="8">
        <f t="shared" si="245"/>
        <v>25241.531614191808</v>
      </c>
      <c r="I3227" s="9">
        <f t="shared" si="246"/>
        <v>26924.300388471267</v>
      </c>
    </row>
    <row r="3228" spans="1:9" ht="15.75" customHeight="1" x14ac:dyDescent="0.4">
      <c r="B3228" s="19" t="s">
        <v>474</v>
      </c>
      <c r="D3228" s="11">
        <v>0</v>
      </c>
      <c r="E3228" s="27">
        <f t="shared" si="242"/>
        <v>0</v>
      </c>
      <c r="F3228" s="6">
        <f t="shared" si="243"/>
        <v>0</v>
      </c>
      <c r="G3228" s="7">
        <f t="shared" si="244"/>
        <v>0</v>
      </c>
      <c r="H3228" s="8">
        <f t="shared" si="245"/>
        <v>0</v>
      </c>
      <c r="I3228" s="9">
        <f t="shared" si="246"/>
        <v>0</v>
      </c>
    </row>
    <row r="3229" spans="1:9" x14ac:dyDescent="0.35">
      <c r="A3229" s="18" t="s">
        <v>682</v>
      </c>
      <c r="B3229" s="18" t="s">
        <v>162</v>
      </c>
      <c r="C3229" s="20">
        <v>45622</v>
      </c>
      <c r="D3229" s="11">
        <v>1039.57</v>
      </c>
      <c r="E3229" s="27">
        <f t="shared" si="242"/>
        <v>1157.2493240000001</v>
      </c>
      <c r="F3229" s="6">
        <f t="shared" si="243"/>
        <v>1504.4241212000002</v>
      </c>
      <c r="G3229" s="7">
        <f t="shared" si="244"/>
        <v>1620.1490536000001</v>
      </c>
      <c r="H3229" s="8">
        <f t="shared" si="245"/>
        <v>1735.8739860000001</v>
      </c>
      <c r="I3229" s="9">
        <f t="shared" si="246"/>
        <v>1851.5989184000002</v>
      </c>
    </row>
    <row r="3230" spans="1:9" x14ac:dyDescent="0.35">
      <c r="A3230" s="18" t="s">
        <v>683</v>
      </c>
      <c r="B3230" s="18" t="s">
        <v>1285</v>
      </c>
      <c r="C3230" s="20">
        <v>45622</v>
      </c>
      <c r="D3230" s="11">
        <v>1050.3399999999999</v>
      </c>
      <c r="E3230" s="27">
        <f t="shared" si="242"/>
        <v>1169.238488</v>
      </c>
      <c r="F3230" s="6">
        <f t="shared" si="243"/>
        <v>1520.0100344</v>
      </c>
      <c r="G3230" s="7">
        <f t="shared" si="244"/>
        <v>1636.9338831999999</v>
      </c>
      <c r="H3230" s="8">
        <f t="shared" si="245"/>
        <v>1753.8577319999999</v>
      </c>
      <c r="I3230" s="9">
        <f t="shared" si="246"/>
        <v>1870.7815808</v>
      </c>
    </row>
    <row r="3231" spans="1:9" ht="15.75" customHeight="1" x14ac:dyDescent="0.4">
      <c r="A3231" s="28"/>
      <c r="B3231" s="34" t="s">
        <v>5638</v>
      </c>
      <c r="C3231" s="29"/>
      <c r="D3231" s="11">
        <v>0</v>
      </c>
      <c r="E3231" s="27">
        <f t="shared" si="242"/>
        <v>0</v>
      </c>
      <c r="F3231" s="6">
        <f t="shared" si="243"/>
        <v>0</v>
      </c>
      <c r="G3231" s="7">
        <f t="shared" si="244"/>
        <v>0</v>
      </c>
      <c r="H3231" s="8">
        <f t="shared" si="245"/>
        <v>0</v>
      </c>
      <c r="I3231" s="9">
        <f t="shared" si="246"/>
        <v>0</v>
      </c>
    </row>
    <row r="3232" spans="1:9" x14ac:dyDescent="0.35">
      <c r="A3232" s="35" t="s">
        <v>2388</v>
      </c>
      <c r="B3232" s="28" t="s">
        <v>6277</v>
      </c>
      <c r="C3232" s="29">
        <v>45741</v>
      </c>
      <c r="D3232" s="11">
        <v>116.16748024734534</v>
      </c>
      <c r="E3232" s="27">
        <f t="shared" si="242"/>
        <v>129.31763901134482</v>
      </c>
      <c r="F3232" s="6">
        <f t="shared" si="243"/>
        <v>168.11293071474827</v>
      </c>
      <c r="G3232" s="7">
        <f t="shared" si="244"/>
        <v>181.04469461588275</v>
      </c>
      <c r="H3232" s="8">
        <f t="shared" si="245"/>
        <v>193.97645851701725</v>
      </c>
      <c r="I3232" s="9">
        <f t="shared" si="246"/>
        <v>206.90822241815172</v>
      </c>
    </row>
    <row r="3233" spans="1:9" x14ac:dyDescent="0.35">
      <c r="A3233" s="35" t="s">
        <v>2389</v>
      </c>
      <c r="B3233" s="28" t="s">
        <v>6278</v>
      </c>
      <c r="C3233" s="29">
        <v>45741</v>
      </c>
      <c r="D3233" s="11">
        <v>118.35107950011501</v>
      </c>
      <c r="E3233" s="27">
        <f t="shared" si="242"/>
        <v>131.74842169952802</v>
      </c>
      <c r="F3233" s="6">
        <f t="shared" si="243"/>
        <v>171.27294820938644</v>
      </c>
      <c r="G3233" s="7">
        <f t="shared" si="244"/>
        <v>184.44779037933921</v>
      </c>
      <c r="H3233" s="8">
        <f t="shared" si="245"/>
        <v>197.62263254929204</v>
      </c>
      <c r="I3233" s="9">
        <f t="shared" si="246"/>
        <v>210.79747471924486</v>
      </c>
    </row>
    <row r="3234" spans="1:9" x14ac:dyDescent="0.35">
      <c r="A3234" s="35" t="s">
        <v>2390</v>
      </c>
      <c r="B3234" s="28" t="s">
        <v>6279</v>
      </c>
      <c r="C3234" s="29">
        <v>45741</v>
      </c>
      <c r="D3234" s="11">
        <v>120.97139860343859</v>
      </c>
      <c r="E3234" s="27">
        <f t="shared" si="242"/>
        <v>134.66536092534784</v>
      </c>
      <c r="F3234" s="6">
        <f t="shared" si="243"/>
        <v>175.0649692029522</v>
      </c>
      <c r="G3234" s="7">
        <f t="shared" si="244"/>
        <v>188.53150529548697</v>
      </c>
      <c r="H3234" s="8">
        <f t="shared" si="245"/>
        <v>201.99804138802176</v>
      </c>
      <c r="I3234" s="9">
        <f t="shared" si="246"/>
        <v>215.46457748055656</v>
      </c>
    </row>
    <row r="3235" spans="1:9" x14ac:dyDescent="0.35">
      <c r="A3235" s="35" t="s">
        <v>2391</v>
      </c>
      <c r="B3235" s="28" t="s">
        <v>6280</v>
      </c>
      <c r="C3235" s="29">
        <v>45741</v>
      </c>
      <c r="D3235" s="11">
        <v>119.66123905177676</v>
      </c>
      <c r="E3235" s="27">
        <f t="shared" si="242"/>
        <v>133.20689131243788</v>
      </c>
      <c r="F3235" s="6">
        <f t="shared" si="243"/>
        <v>173.16895870616924</v>
      </c>
      <c r="G3235" s="7">
        <f t="shared" si="244"/>
        <v>186.489647837413</v>
      </c>
      <c r="H3235" s="8">
        <f t="shared" si="245"/>
        <v>199.81033696865683</v>
      </c>
      <c r="I3235" s="9">
        <f t="shared" si="246"/>
        <v>213.13102609990062</v>
      </c>
    </row>
    <row r="3236" spans="1:9" x14ac:dyDescent="0.35">
      <c r="A3236" s="35" t="s">
        <v>2392</v>
      </c>
      <c r="B3236" s="28" t="s">
        <v>5644</v>
      </c>
      <c r="C3236" s="29">
        <v>45741</v>
      </c>
      <c r="D3236" s="11">
        <v>126.21203681008575</v>
      </c>
      <c r="E3236" s="27">
        <f t="shared" si="242"/>
        <v>140.49923937698748</v>
      </c>
      <c r="F3236" s="6">
        <f t="shared" si="243"/>
        <v>182.64901119008371</v>
      </c>
      <c r="G3236" s="7">
        <f t="shared" si="244"/>
        <v>196.69893512778245</v>
      </c>
      <c r="H3236" s="8">
        <f t="shared" si="245"/>
        <v>210.74885906548121</v>
      </c>
      <c r="I3236" s="9">
        <f t="shared" si="246"/>
        <v>224.79878300317998</v>
      </c>
    </row>
    <row r="3237" spans="1:9" x14ac:dyDescent="0.35">
      <c r="A3237" s="35" t="s">
        <v>2393</v>
      </c>
      <c r="B3237" s="28" t="s">
        <v>5645</v>
      </c>
      <c r="C3237" s="29">
        <v>45741</v>
      </c>
      <c r="D3237" s="11">
        <v>129.26907576396326</v>
      </c>
      <c r="E3237" s="27">
        <f t="shared" si="242"/>
        <v>143.90233514044388</v>
      </c>
      <c r="F3237" s="6">
        <f t="shared" si="243"/>
        <v>187.07303568257706</v>
      </c>
      <c r="G3237" s="7">
        <f t="shared" si="244"/>
        <v>201.46326919662141</v>
      </c>
      <c r="H3237" s="8">
        <f t="shared" si="245"/>
        <v>215.85350271066582</v>
      </c>
      <c r="I3237" s="9">
        <f t="shared" si="246"/>
        <v>230.24373622471023</v>
      </c>
    </row>
    <row r="3238" spans="1:9" x14ac:dyDescent="0.35">
      <c r="A3238" s="35" t="s">
        <v>2394</v>
      </c>
      <c r="B3238" s="28" t="s">
        <v>5646</v>
      </c>
      <c r="C3238" s="29">
        <v>45741</v>
      </c>
      <c r="D3238" s="11">
        <v>131.88939486728677</v>
      </c>
      <c r="E3238" s="27">
        <f t="shared" si="242"/>
        <v>146.81927436626361</v>
      </c>
      <c r="F3238" s="6">
        <f t="shared" si="243"/>
        <v>190.8650566761427</v>
      </c>
      <c r="G3238" s="7">
        <f t="shared" si="244"/>
        <v>205.54698411276905</v>
      </c>
      <c r="H3238" s="8">
        <f t="shared" si="245"/>
        <v>220.22891154939543</v>
      </c>
      <c r="I3238" s="9">
        <f t="shared" si="246"/>
        <v>234.91083898602179</v>
      </c>
    </row>
    <row r="3239" spans="1:9" x14ac:dyDescent="0.35">
      <c r="A3239" s="35" t="s">
        <v>5639</v>
      </c>
      <c r="B3239" s="28" t="s">
        <v>5647</v>
      </c>
      <c r="C3239" s="29">
        <v>45741</v>
      </c>
      <c r="D3239" s="11">
        <v>134.50971397061039</v>
      </c>
      <c r="E3239" s="27">
        <f t="shared" si="242"/>
        <v>149.73621359208349</v>
      </c>
      <c r="F3239" s="6">
        <f t="shared" si="243"/>
        <v>194.65707766970854</v>
      </c>
      <c r="G3239" s="7">
        <f t="shared" si="244"/>
        <v>209.63069902891687</v>
      </c>
      <c r="H3239" s="8">
        <f t="shared" si="245"/>
        <v>224.60432038812525</v>
      </c>
      <c r="I3239" s="9">
        <f t="shared" si="246"/>
        <v>239.5779417473336</v>
      </c>
    </row>
    <row r="3240" spans="1:9" x14ac:dyDescent="0.35">
      <c r="A3240" s="35" t="s">
        <v>2395</v>
      </c>
      <c r="B3240" s="28" t="s">
        <v>6281</v>
      </c>
      <c r="C3240" s="29">
        <v>45741</v>
      </c>
      <c r="D3240" s="11">
        <v>140.62379187836544</v>
      </c>
      <c r="E3240" s="27">
        <f t="shared" si="242"/>
        <v>156.54240511899641</v>
      </c>
      <c r="F3240" s="6">
        <f t="shared" si="243"/>
        <v>203.50512665469535</v>
      </c>
      <c r="G3240" s="7">
        <f t="shared" si="244"/>
        <v>219.15936716659496</v>
      </c>
      <c r="H3240" s="8">
        <f t="shared" si="245"/>
        <v>234.81360767849463</v>
      </c>
      <c r="I3240" s="9">
        <f t="shared" si="246"/>
        <v>250.46784819039428</v>
      </c>
    </row>
    <row r="3241" spans="1:9" x14ac:dyDescent="0.35">
      <c r="A3241" s="35" t="s">
        <v>5640</v>
      </c>
      <c r="B3241" s="28" t="s">
        <v>5648</v>
      </c>
      <c r="C3241" s="29">
        <v>45741</v>
      </c>
      <c r="D3241" s="11">
        <v>145.86443008501263</v>
      </c>
      <c r="E3241" s="27">
        <f t="shared" si="242"/>
        <v>162.37628357063608</v>
      </c>
      <c r="F3241" s="6">
        <f t="shared" si="243"/>
        <v>211.08916864182692</v>
      </c>
      <c r="G3241" s="7">
        <f t="shared" si="244"/>
        <v>227.3267969988905</v>
      </c>
      <c r="H3241" s="8">
        <f t="shared" si="245"/>
        <v>243.56442535595411</v>
      </c>
      <c r="I3241" s="9">
        <f t="shared" si="246"/>
        <v>259.80205371301776</v>
      </c>
    </row>
    <row r="3242" spans="1:9" x14ac:dyDescent="0.35">
      <c r="A3242" s="35" t="s">
        <v>5641</v>
      </c>
      <c r="B3242" s="28" t="s">
        <v>5649</v>
      </c>
      <c r="C3242" s="29">
        <v>45741</v>
      </c>
      <c r="D3242" s="11">
        <v>155.03554694664513</v>
      </c>
      <c r="E3242" s="27">
        <f t="shared" si="242"/>
        <v>172.58557086100535</v>
      </c>
      <c r="F3242" s="6">
        <f t="shared" si="243"/>
        <v>224.36124211930695</v>
      </c>
      <c r="G3242" s="7">
        <f t="shared" si="244"/>
        <v>241.61979920540747</v>
      </c>
      <c r="H3242" s="8">
        <f t="shared" si="245"/>
        <v>258.878356291508</v>
      </c>
      <c r="I3242" s="9">
        <f t="shared" si="246"/>
        <v>276.13691337760855</v>
      </c>
    </row>
    <row r="3243" spans="1:9" x14ac:dyDescent="0.35">
      <c r="A3243" s="35" t="s">
        <v>5642</v>
      </c>
      <c r="B3243" s="28" t="s">
        <v>5650</v>
      </c>
      <c r="C3243" s="29">
        <v>45741</v>
      </c>
      <c r="D3243" s="11">
        <v>175.56137992267983</v>
      </c>
      <c r="E3243" s="27">
        <f t="shared" si="242"/>
        <v>195.43492812992719</v>
      </c>
      <c r="F3243" s="6">
        <f t="shared" si="243"/>
        <v>254.06540656890536</v>
      </c>
      <c r="G3243" s="7">
        <f t="shared" si="244"/>
        <v>273.60889938189803</v>
      </c>
      <c r="H3243" s="8">
        <f t="shared" si="245"/>
        <v>293.15239219489081</v>
      </c>
      <c r="I3243" s="9">
        <f t="shared" si="246"/>
        <v>312.69588500788353</v>
      </c>
    </row>
    <row r="3244" spans="1:9" x14ac:dyDescent="0.35">
      <c r="A3244" s="35" t="s">
        <v>5643</v>
      </c>
      <c r="B3244" s="28" t="s">
        <v>5651</v>
      </c>
      <c r="C3244" s="29">
        <v>45741</v>
      </c>
      <c r="D3244" s="11">
        <v>220.10680467918078</v>
      </c>
      <c r="E3244" s="27">
        <f t="shared" si="242"/>
        <v>245.02289496886408</v>
      </c>
      <c r="F3244" s="6">
        <f t="shared" si="243"/>
        <v>318.52976345952334</v>
      </c>
      <c r="G3244" s="7">
        <f t="shared" si="244"/>
        <v>343.0320529564097</v>
      </c>
      <c r="H3244" s="8">
        <f t="shared" si="245"/>
        <v>367.53434245329612</v>
      </c>
      <c r="I3244" s="9">
        <f t="shared" si="246"/>
        <v>392.03663195018254</v>
      </c>
    </row>
    <row r="3245" spans="1:9" x14ac:dyDescent="0.35">
      <c r="A3245" s="35" t="s">
        <v>5653</v>
      </c>
      <c r="B3245" s="28" t="s">
        <v>5652</v>
      </c>
      <c r="C3245" s="29">
        <v>45741</v>
      </c>
      <c r="D3245" s="11">
        <v>152.41522784332156</v>
      </c>
      <c r="E3245" s="27">
        <f t="shared" si="242"/>
        <v>169.66863163518556</v>
      </c>
      <c r="F3245" s="6">
        <f t="shared" si="243"/>
        <v>220.56922112574125</v>
      </c>
      <c r="G3245" s="7">
        <f t="shared" si="244"/>
        <v>237.53608428925978</v>
      </c>
      <c r="H3245" s="8">
        <f t="shared" si="245"/>
        <v>254.50294745277836</v>
      </c>
      <c r="I3245" s="9">
        <f t="shared" si="246"/>
        <v>271.46981061629691</v>
      </c>
    </row>
    <row r="3246" spans="1:9" x14ac:dyDescent="0.35">
      <c r="A3246" s="35" t="s">
        <v>5654</v>
      </c>
      <c r="B3246" s="28" t="s">
        <v>6282</v>
      </c>
      <c r="C3246" s="29">
        <v>45741</v>
      </c>
      <c r="D3246" s="11">
        <v>155.47226679719901</v>
      </c>
      <c r="E3246" s="27">
        <f t="shared" si="242"/>
        <v>173.07172739864194</v>
      </c>
      <c r="F3246" s="6">
        <f t="shared" si="243"/>
        <v>224.99324561823454</v>
      </c>
      <c r="G3246" s="7">
        <f t="shared" si="244"/>
        <v>242.30041835809871</v>
      </c>
      <c r="H3246" s="8">
        <f t="shared" si="245"/>
        <v>259.60759109796288</v>
      </c>
      <c r="I3246" s="9">
        <f t="shared" si="246"/>
        <v>276.91476383782714</v>
      </c>
    </row>
    <row r="3247" spans="1:9" x14ac:dyDescent="0.35">
      <c r="A3247" s="35" t="s">
        <v>5655</v>
      </c>
      <c r="B3247" s="28" t="s">
        <v>6283</v>
      </c>
      <c r="C3247" s="29">
        <v>45741</v>
      </c>
      <c r="D3247" s="11">
        <v>158.96602560163046</v>
      </c>
      <c r="E3247" s="27">
        <f t="shared" si="242"/>
        <v>176.96097969973502</v>
      </c>
      <c r="F3247" s="6">
        <f t="shared" si="243"/>
        <v>230.04927360965553</v>
      </c>
      <c r="G3247" s="7">
        <f t="shared" si="244"/>
        <v>247.74537157962902</v>
      </c>
      <c r="H3247" s="8">
        <f t="shared" si="245"/>
        <v>265.44146954960252</v>
      </c>
      <c r="I3247" s="9">
        <f t="shared" si="246"/>
        <v>283.13756751957607</v>
      </c>
    </row>
    <row r="3248" spans="1:9" x14ac:dyDescent="0.35">
      <c r="A3248" s="35" t="s">
        <v>5656</v>
      </c>
      <c r="B3248" s="28" t="s">
        <v>6284</v>
      </c>
      <c r="C3248" s="29">
        <v>45741</v>
      </c>
      <c r="D3248" s="11">
        <v>163.76994395772374</v>
      </c>
      <c r="E3248" s="27">
        <f t="shared" si="242"/>
        <v>182.30870161373807</v>
      </c>
      <c r="F3248" s="6">
        <f t="shared" si="243"/>
        <v>237.00131209785948</v>
      </c>
      <c r="G3248" s="7">
        <f t="shared" si="244"/>
        <v>255.23218225923327</v>
      </c>
      <c r="H3248" s="8">
        <f t="shared" si="245"/>
        <v>273.46305242060708</v>
      </c>
      <c r="I3248" s="9">
        <f t="shared" si="246"/>
        <v>291.69392258198093</v>
      </c>
    </row>
    <row r="3249" spans="1:9" x14ac:dyDescent="0.35">
      <c r="A3249" s="35" t="s">
        <v>5657</v>
      </c>
      <c r="B3249" s="28" t="s">
        <v>5664</v>
      </c>
      <c r="C3249" s="29">
        <v>45741</v>
      </c>
      <c r="D3249" s="11">
        <v>168.13714246326307</v>
      </c>
      <c r="E3249" s="27">
        <f t="shared" si="242"/>
        <v>187.17026699010444</v>
      </c>
      <c r="F3249" s="6">
        <f t="shared" si="243"/>
        <v>243.32134708713576</v>
      </c>
      <c r="G3249" s="7">
        <f t="shared" si="244"/>
        <v>262.03837378614622</v>
      </c>
      <c r="H3249" s="8">
        <f t="shared" si="245"/>
        <v>280.75540048515666</v>
      </c>
      <c r="I3249" s="9">
        <f t="shared" si="246"/>
        <v>299.47242718416709</v>
      </c>
    </row>
    <row r="3250" spans="1:9" x14ac:dyDescent="0.35">
      <c r="A3250" s="35" t="s">
        <v>5658</v>
      </c>
      <c r="B3250" s="28" t="s">
        <v>6285</v>
      </c>
      <c r="C3250" s="29">
        <v>45741</v>
      </c>
      <c r="D3250" s="11">
        <v>171.19418141714056</v>
      </c>
      <c r="E3250" s="27">
        <f t="shared" si="242"/>
        <v>190.57336275356087</v>
      </c>
      <c r="F3250" s="6">
        <f t="shared" si="243"/>
        <v>247.74537157962914</v>
      </c>
      <c r="G3250" s="7">
        <f t="shared" si="244"/>
        <v>266.80270785498521</v>
      </c>
      <c r="H3250" s="8">
        <f t="shared" si="245"/>
        <v>285.86004413034129</v>
      </c>
      <c r="I3250" s="9">
        <f t="shared" si="246"/>
        <v>304.91738040569743</v>
      </c>
    </row>
    <row r="3251" spans="1:9" x14ac:dyDescent="0.35">
      <c r="A3251" s="35" t="s">
        <v>5659</v>
      </c>
      <c r="B3251" s="28" t="s">
        <v>5665</v>
      </c>
      <c r="C3251" s="29">
        <v>45741</v>
      </c>
      <c r="D3251" s="11">
        <v>176.43481962378766</v>
      </c>
      <c r="E3251" s="27">
        <f t="shared" si="242"/>
        <v>196.40724120520042</v>
      </c>
      <c r="F3251" s="6">
        <f t="shared" si="243"/>
        <v>255.32941356676056</v>
      </c>
      <c r="G3251" s="7">
        <f t="shared" si="244"/>
        <v>274.97013768728056</v>
      </c>
      <c r="H3251" s="8">
        <f t="shared" si="245"/>
        <v>294.61086180780063</v>
      </c>
      <c r="I3251" s="9">
        <f t="shared" si="246"/>
        <v>314.25158592832071</v>
      </c>
    </row>
    <row r="3252" spans="1:9" x14ac:dyDescent="0.35">
      <c r="A3252" s="35" t="s">
        <v>2396</v>
      </c>
      <c r="B3252" s="28" t="s">
        <v>6286</v>
      </c>
      <c r="C3252" s="29">
        <v>45741</v>
      </c>
      <c r="D3252" s="11">
        <v>178.1816990260034</v>
      </c>
      <c r="E3252" s="27">
        <f t="shared" si="242"/>
        <v>198.35186735574698</v>
      </c>
      <c r="F3252" s="6">
        <f t="shared" si="243"/>
        <v>257.85742756247106</v>
      </c>
      <c r="G3252" s="7">
        <f t="shared" si="244"/>
        <v>277.69261429804573</v>
      </c>
      <c r="H3252" s="8">
        <f t="shared" si="245"/>
        <v>297.52780103362045</v>
      </c>
      <c r="I3252" s="9">
        <f t="shared" si="246"/>
        <v>317.36298776919517</v>
      </c>
    </row>
    <row r="3253" spans="1:9" x14ac:dyDescent="0.35">
      <c r="A3253" s="35" t="s">
        <v>5660</v>
      </c>
      <c r="B3253" s="28" t="s">
        <v>6287</v>
      </c>
      <c r="C3253" s="29">
        <v>45741</v>
      </c>
      <c r="D3253" s="11">
        <v>181.67545783043488</v>
      </c>
      <c r="E3253" s="27">
        <f t="shared" si="242"/>
        <v>202.24111965684011</v>
      </c>
      <c r="F3253" s="6">
        <f t="shared" si="243"/>
        <v>262.91345555389216</v>
      </c>
      <c r="G3253" s="7">
        <f t="shared" si="244"/>
        <v>283.13756751957612</v>
      </c>
      <c r="H3253" s="8">
        <f t="shared" si="245"/>
        <v>303.3616794852602</v>
      </c>
      <c r="I3253" s="9">
        <f t="shared" si="246"/>
        <v>323.58579145094421</v>
      </c>
    </row>
    <row r="3254" spans="1:9" x14ac:dyDescent="0.35">
      <c r="A3254" s="35" t="s">
        <v>5661</v>
      </c>
      <c r="B3254" s="28" t="s">
        <v>6288</v>
      </c>
      <c r="C3254" s="29">
        <v>45741</v>
      </c>
      <c r="D3254" s="11">
        <v>210.93568781754809</v>
      </c>
      <c r="E3254" s="27">
        <f t="shared" si="242"/>
        <v>234.81360767849455</v>
      </c>
      <c r="F3254" s="6">
        <f t="shared" si="243"/>
        <v>305.2576899820429</v>
      </c>
      <c r="G3254" s="7">
        <f t="shared" si="244"/>
        <v>328.73905074989233</v>
      </c>
      <c r="H3254" s="8">
        <f t="shared" si="245"/>
        <v>352.22041151774181</v>
      </c>
      <c r="I3254" s="9">
        <f t="shared" si="246"/>
        <v>375.70177228559129</v>
      </c>
    </row>
    <row r="3255" spans="1:9" x14ac:dyDescent="0.35">
      <c r="A3255" s="35" t="s">
        <v>5662</v>
      </c>
      <c r="B3255" s="28" t="s">
        <v>5666</v>
      </c>
      <c r="C3255" s="29">
        <v>45741</v>
      </c>
      <c r="D3255" s="11">
        <v>261.15847063125005</v>
      </c>
      <c r="E3255" s="27">
        <f t="shared" si="242"/>
        <v>290.72160950670752</v>
      </c>
      <c r="F3255" s="6">
        <f t="shared" si="243"/>
        <v>377.93809235871981</v>
      </c>
      <c r="G3255" s="7">
        <f t="shared" si="244"/>
        <v>407.01025330939052</v>
      </c>
      <c r="H3255" s="8">
        <f t="shared" si="245"/>
        <v>436.08241426006128</v>
      </c>
      <c r="I3255" s="9">
        <f t="shared" si="246"/>
        <v>465.15457521073205</v>
      </c>
    </row>
    <row r="3256" spans="1:9" x14ac:dyDescent="0.35">
      <c r="A3256" s="35" t="s">
        <v>5663</v>
      </c>
      <c r="B3256" s="28" t="s">
        <v>6292</v>
      </c>
      <c r="C3256" s="29">
        <v>45741</v>
      </c>
      <c r="D3256" s="11">
        <v>371.64859282139429</v>
      </c>
      <c r="E3256" s="27">
        <f t="shared" si="242"/>
        <v>413.71921352877615</v>
      </c>
      <c r="F3256" s="6">
        <f t="shared" si="243"/>
        <v>537.83497758740907</v>
      </c>
      <c r="G3256" s="7">
        <f t="shared" si="244"/>
        <v>579.20689894028658</v>
      </c>
      <c r="H3256" s="8">
        <f t="shared" si="245"/>
        <v>620.5788202931642</v>
      </c>
      <c r="I3256" s="9">
        <f t="shared" si="246"/>
        <v>661.95074164604193</v>
      </c>
    </row>
    <row r="3257" spans="1:9" x14ac:dyDescent="0.35">
      <c r="A3257" s="35" t="s">
        <v>5667</v>
      </c>
      <c r="B3257" s="28" t="s">
        <v>5671</v>
      </c>
      <c r="C3257" s="29">
        <v>45741</v>
      </c>
      <c r="D3257" s="11">
        <v>174.25122037101795</v>
      </c>
      <c r="E3257" s="27">
        <f t="shared" si="242"/>
        <v>193.97645851701719</v>
      </c>
      <c r="F3257" s="6">
        <f t="shared" si="243"/>
        <v>252.16939607212237</v>
      </c>
      <c r="G3257" s="7">
        <f t="shared" si="244"/>
        <v>271.56704192382404</v>
      </c>
      <c r="H3257" s="8">
        <f t="shared" si="245"/>
        <v>290.96468777552582</v>
      </c>
      <c r="I3257" s="9">
        <f t="shared" si="246"/>
        <v>310.36233362722754</v>
      </c>
    </row>
    <row r="3258" spans="1:9" x14ac:dyDescent="0.35">
      <c r="A3258" s="35" t="s">
        <v>5668</v>
      </c>
      <c r="B3258" s="28" t="s">
        <v>6289</v>
      </c>
      <c r="C3258" s="29">
        <v>45741</v>
      </c>
      <c r="D3258" s="11">
        <v>189.09969528985161</v>
      </c>
      <c r="E3258" s="27">
        <f t="shared" si="242"/>
        <v>210.5057807966628</v>
      </c>
      <c r="F3258" s="6">
        <f t="shared" si="243"/>
        <v>273.65751503566167</v>
      </c>
      <c r="G3258" s="7">
        <f t="shared" si="244"/>
        <v>294.70809311532793</v>
      </c>
      <c r="H3258" s="8">
        <f t="shared" si="245"/>
        <v>315.75867119499424</v>
      </c>
      <c r="I3258" s="9">
        <f t="shared" si="246"/>
        <v>336.80924927466049</v>
      </c>
    </row>
    <row r="3259" spans="1:9" x14ac:dyDescent="0.35">
      <c r="A3259" s="35" t="s">
        <v>5669</v>
      </c>
      <c r="B3259" s="28" t="s">
        <v>5672</v>
      </c>
      <c r="C3259" s="29">
        <v>45741</v>
      </c>
      <c r="D3259" s="11">
        <v>224.91072303527395</v>
      </c>
      <c r="E3259" s="27">
        <f t="shared" si="242"/>
        <v>250.37061688286698</v>
      </c>
      <c r="F3259" s="6">
        <f t="shared" si="243"/>
        <v>325.48180194772709</v>
      </c>
      <c r="G3259" s="7">
        <f t="shared" si="244"/>
        <v>350.51886363601375</v>
      </c>
      <c r="H3259" s="8">
        <f t="shared" si="245"/>
        <v>375.55592532430046</v>
      </c>
      <c r="I3259" s="9">
        <f t="shared" si="246"/>
        <v>400.59298701258717</v>
      </c>
    </row>
    <row r="3260" spans="1:9" x14ac:dyDescent="0.35">
      <c r="A3260" s="35" t="s">
        <v>5670</v>
      </c>
      <c r="B3260" s="28" t="s">
        <v>6290</v>
      </c>
      <c r="C3260" s="29">
        <v>45741</v>
      </c>
      <c r="D3260" s="11">
        <v>271.63974704454444</v>
      </c>
      <c r="E3260" s="27">
        <f t="shared" si="242"/>
        <v>302.38936640998691</v>
      </c>
      <c r="F3260" s="6">
        <f t="shared" si="243"/>
        <v>393.10617633298301</v>
      </c>
      <c r="G3260" s="7">
        <f t="shared" si="244"/>
        <v>423.34511297398166</v>
      </c>
      <c r="H3260" s="8">
        <f t="shared" si="245"/>
        <v>453.58404961498036</v>
      </c>
      <c r="I3260" s="9">
        <f t="shared" si="246"/>
        <v>483.82298625597906</v>
      </c>
    </row>
    <row r="3261" spans="1:9" x14ac:dyDescent="0.35">
      <c r="A3261" s="35" t="s">
        <v>2397</v>
      </c>
      <c r="B3261" s="28" t="s">
        <v>5673</v>
      </c>
      <c r="C3261" s="29">
        <v>45741</v>
      </c>
      <c r="D3261" s="11">
        <v>310.07109389329025</v>
      </c>
      <c r="E3261" s="27">
        <f t="shared" si="242"/>
        <v>345.1711417220107</v>
      </c>
      <c r="F3261" s="6">
        <f t="shared" si="243"/>
        <v>448.7224842386139</v>
      </c>
      <c r="G3261" s="7">
        <f t="shared" si="244"/>
        <v>483.23959841081495</v>
      </c>
      <c r="H3261" s="8">
        <f t="shared" si="245"/>
        <v>517.756712583016</v>
      </c>
      <c r="I3261" s="9">
        <f t="shared" si="246"/>
        <v>552.2738267552171</v>
      </c>
    </row>
    <row r="3262" spans="1:9" x14ac:dyDescent="0.35">
      <c r="A3262" s="35" t="s">
        <v>2398</v>
      </c>
      <c r="B3262" s="28" t="s">
        <v>5674</v>
      </c>
      <c r="C3262" s="29">
        <v>45741</v>
      </c>
      <c r="D3262" s="11">
        <v>340.64148343206534</v>
      </c>
      <c r="E3262" s="27">
        <f t="shared" si="242"/>
        <v>379.20209935657516</v>
      </c>
      <c r="F3262" s="6">
        <f t="shared" si="243"/>
        <v>492.96272916354775</v>
      </c>
      <c r="G3262" s="7">
        <f t="shared" si="244"/>
        <v>530.88293909920515</v>
      </c>
      <c r="H3262" s="8">
        <f t="shared" si="245"/>
        <v>568.80314903486271</v>
      </c>
      <c r="I3262" s="9">
        <f t="shared" si="246"/>
        <v>606.72335897052028</v>
      </c>
    </row>
    <row r="3263" spans="1:9" x14ac:dyDescent="0.35">
      <c r="A3263" s="35" t="s">
        <v>2399</v>
      </c>
      <c r="B3263" s="28" t="s">
        <v>5675</v>
      </c>
      <c r="C3263" s="29">
        <v>45741</v>
      </c>
      <c r="D3263" s="11">
        <v>372.0853126719482</v>
      </c>
      <c r="E3263" s="27">
        <f t="shared" si="242"/>
        <v>414.20537006641274</v>
      </c>
      <c r="F3263" s="6">
        <f t="shared" si="243"/>
        <v>538.46698108633655</v>
      </c>
      <c r="G3263" s="7">
        <f t="shared" si="244"/>
        <v>579.88751809297776</v>
      </c>
      <c r="H3263" s="8">
        <f t="shared" si="245"/>
        <v>621.30805509961908</v>
      </c>
      <c r="I3263" s="9">
        <f t="shared" si="246"/>
        <v>662.72859210626041</v>
      </c>
    </row>
    <row r="3264" spans="1:9" x14ac:dyDescent="0.35">
      <c r="A3264" s="35" t="s">
        <v>2400</v>
      </c>
      <c r="B3264" s="28" t="s">
        <v>6291</v>
      </c>
      <c r="C3264" s="29">
        <v>45741</v>
      </c>
      <c r="D3264" s="11">
        <v>402.65570221072346</v>
      </c>
      <c r="E3264" s="27">
        <f t="shared" si="242"/>
        <v>448.23632770097737</v>
      </c>
      <c r="F3264" s="6">
        <f t="shared" si="243"/>
        <v>582.70722601127056</v>
      </c>
      <c r="G3264" s="7">
        <f t="shared" si="244"/>
        <v>627.53085878136824</v>
      </c>
      <c r="H3264" s="8">
        <f t="shared" si="245"/>
        <v>672.35449155146603</v>
      </c>
      <c r="I3264" s="9">
        <f t="shared" si="246"/>
        <v>717.17812432156381</v>
      </c>
    </row>
    <row r="3265" spans="1:9" x14ac:dyDescent="0.35">
      <c r="A3265" s="35" t="s">
        <v>2401</v>
      </c>
      <c r="B3265" s="28" t="s">
        <v>6293</v>
      </c>
      <c r="C3265" s="29">
        <v>45741</v>
      </c>
      <c r="D3265" s="11">
        <v>449.82144607054789</v>
      </c>
      <c r="E3265" s="27">
        <f t="shared" si="242"/>
        <v>500.74123376573397</v>
      </c>
      <c r="F3265" s="6">
        <f t="shared" si="243"/>
        <v>650.96360389545418</v>
      </c>
      <c r="G3265" s="7">
        <f t="shared" si="244"/>
        <v>701.0377272720275</v>
      </c>
      <c r="H3265" s="8">
        <f t="shared" si="245"/>
        <v>751.11185064860092</v>
      </c>
      <c r="I3265" s="9">
        <f t="shared" si="246"/>
        <v>801.18597402517435</v>
      </c>
    </row>
    <row r="3266" spans="1:9" x14ac:dyDescent="0.35">
      <c r="A3266" s="35" t="s">
        <v>3388</v>
      </c>
      <c r="B3266" s="28" t="s">
        <v>3390</v>
      </c>
      <c r="C3266" s="29">
        <v>45741</v>
      </c>
      <c r="D3266" s="11">
        <v>456.9207019566071</v>
      </c>
      <c r="E3266" s="27">
        <f t="shared" si="242"/>
        <v>508.64412541809497</v>
      </c>
      <c r="F3266" s="6">
        <f t="shared" si="243"/>
        <v>661.23736304352349</v>
      </c>
      <c r="G3266" s="7">
        <f t="shared" si="244"/>
        <v>712.10177558533292</v>
      </c>
      <c r="H3266" s="8">
        <f t="shared" si="245"/>
        <v>762.96618812714246</v>
      </c>
      <c r="I3266" s="9">
        <f t="shared" si="246"/>
        <v>813.830600668952</v>
      </c>
    </row>
    <row r="3267" spans="1:9" x14ac:dyDescent="0.35">
      <c r="A3267" s="35" t="s">
        <v>3389</v>
      </c>
      <c r="B3267" s="28" t="s">
        <v>5468</v>
      </c>
      <c r="C3267" s="29">
        <v>45741</v>
      </c>
      <c r="D3267" s="11">
        <v>489.55789495350774</v>
      </c>
      <c r="E3267" s="27">
        <f t="shared" si="242"/>
        <v>544.97584866224486</v>
      </c>
      <c r="F3267" s="6">
        <f t="shared" si="243"/>
        <v>708.46860326091837</v>
      </c>
      <c r="G3267" s="7">
        <f t="shared" si="244"/>
        <v>762.9661881271428</v>
      </c>
      <c r="H3267" s="8">
        <f t="shared" si="245"/>
        <v>817.46377299336723</v>
      </c>
      <c r="I3267" s="9">
        <f t="shared" si="246"/>
        <v>871.96135785959177</v>
      </c>
    </row>
    <row r="3268" spans="1:9" ht="15.75" customHeight="1" x14ac:dyDescent="0.4">
      <c r="B3268" s="19" t="s">
        <v>2788</v>
      </c>
      <c r="D3268" s="11">
        <v>0</v>
      </c>
      <c r="E3268" s="27">
        <f t="shared" si="242"/>
        <v>0</v>
      </c>
      <c r="F3268" s="6">
        <f t="shared" si="243"/>
        <v>0</v>
      </c>
      <c r="G3268" s="7">
        <f t="shared" si="244"/>
        <v>0</v>
      </c>
      <c r="H3268" s="8">
        <f t="shared" si="245"/>
        <v>0</v>
      </c>
      <c r="I3268" s="9">
        <f t="shared" si="246"/>
        <v>0</v>
      </c>
    </row>
    <row r="3269" spans="1:9" x14ac:dyDescent="0.35">
      <c r="A3269" s="18" t="s">
        <v>664</v>
      </c>
      <c r="B3269" s="18" t="s">
        <v>1286</v>
      </c>
      <c r="C3269" s="20">
        <v>45591</v>
      </c>
      <c r="D3269" s="11">
        <v>1061.4189479949393</v>
      </c>
      <c r="E3269" s="27">
        <f t="shared" si="242"/>
        <v>1181.5715729079664</v>
      </c>
      <c r="F3269" s="6">
        <f t="shared" si="243"/>
        <v>1536.0430447803562</v>
      </c>
      <c r="G3269" s="7">
        <f t="shared" si="244"/>
        <v>1654.2002020711527</v>
      </c>
      <c r="H3269" s="8">
        <f t="shared" si="245"/>
        <v>1772.3573593619494</v>
      </c>
      <c r="I3269" s="9">
        <f t="shared" si="246"/>
        <v>1890.5145166527464</v>
      </c>
    </row>
    <row r="3270" spans="1:9" x14ac:dyDescent="0.35">
      <c r="A3270" s="18" t="s">
        <v>740</v>
      </c>
      <c r="B3270" s="18" t="s">
        <v>1287</v>
      </c>
      <c r="C3270" s="20">
        <v>45591</v>
      </c>
      <c r="D3270" s="11">
        <v>1061.4189479949393</v>
      </c>
      <c r="E3270" s="27">
        <f t="shared" si="242"/>
        <v>1181.5715729079664</v>
      </c>
      <c r="F3270" s="6">
        <f t="shared" si="243"/>
        <v>1536.0430447803562</v>
      </c>
      <c r="G3270" s="7">
        <f t="shared" si="244"/>
        <v>1654.2002020711527</v>
      </c>
      <c r="H3270" s="8">
        <f t="shared" si="245"/>
        <v>1772.3573593619494</v>
      </c>
      <c r="I3270" s="9">
        <f t="shared" si="246"/>
        <v>1890.5145166527464</v>
      </c>
    </row>
    <row r="3271" spans="1:9" x14ac:dyDescent="0.35">
      <c r="A3271" s="18" t="s">
        <v>741</v>
      </c>
      <c r="B3271" s="18" t="s">
        <v>66</v>
      </c>
      <c r="C3271" s="20">
        <v>45591</v>
      </c>
      <c r="D3271" s="11">
        <v>1061.4189479949393</v>
      </c>
      <c r="E3271" s="27">
        <f t="shared" si="242"/>
        <v>1181.5715729079664</v>
      </c>
      <c r="F3271" s="6">
        <f t="shared" si="243"/>
        <v>1536.0430447803562</v>
      </c>
      <c r="G3271" s="7">
        <f t="shared" si="244"/>
        <v>1654.2002020711527</v>
      </c>
      <c r="H3271" s="8">
        <f t="shared" si="245"/>
        <v>1772.3573593619494</v>
      </c>
      <c r="I3271" s="9">
        <f t="shared" si="246"/>
        <v>1890.5145166527464</v>
      </c>
    </row>
    <row r="3272" spans="1:9" x14ac:dyDescent="0.35">
      <c r="A3272" s="18" t="s">
        <v>742</v>
      </c>
      <c r="B3272" s="18" t="s">
        <v>67</v>
      </c>
      <c r="C3272" s="20">
        <v>45591</v>
      </c>
      <c r="D3272" s="11">
        <v>1061.4189479949393</v>
      </c>
      <c r="E3272" s="27">
        <f t="shared" si="242"/>
        <v>1181.5715729079664</v>
      </c>
      <c r="F3272" s="6">
        <f t="shared" si="243"/>
        <v>1536.0430447803562</v>
      </c>
      <c r="G3272" s="7">
        <f t="shared" si="244"/>
        <v>1654.2002020711527</v>
      </c>
      <c r="H3272" s="8">
        <f t="shared" si="245"/>
        <v>1772.3573593619494</v>
      </c>
      <c r="I3272" s="9">
        <f t="shared" si="246"/>
        <v>1890.5145166527464</v>
      </c>
    </row>
    <row r="3273" spans="1:9" x14ac:dyDescent="0.35">
      <c r="A3273" s="18" t="s">
        <v>743</v>
      </c>
      <c r="B3273" s="18" t="s">
        <v>68</v>
      </c>
      <c r="C3273" s="20">
        <v>45591</v>
      </c>
      <c r="D3273" s="11">
        <v>1206.3397500000003</v>
      </c>
      <c r="E3273" s="27">
        <f t="shared" si="242"/>
        <v>1342.8974097000003</v>
      </c>
      <c r="F3273" s="6">
        <f t="shared" si="243"/>
        <v>1745.7666326100004</v>
      </c>
      <c r="G3273" s="7">
        <f t="shared" si="244"/>
        <v>1880.0563735800001</v>
      </c>
      <c r="H3273" s="8">
        <f t="shared" si="245"/>
        <v>2014.3461145500005</v>
      </c>
      <c r="I3273" s="9">
        <f t="shared" si="246"/>
        <v>2148.6358555200004</v>
      </c>
    </row>
    <row r="3274" spans="1:9" x14ac:dyDescent="0.35">
      <c r="A3274" s="18" t="s">
        <v>2786</v>
      </c>
      <c r="B3274" s="18" t="s">
        <v>2787</v>
      </c>
      <c r="C3274" s="20">
        <v>45591</v>
      </c>
      <c r="D3274" s="11">
        <v>2921.54</v>
      </c>
      <c r="E3274" s="27">
        <f t="shared" si="242"/>
        <v>3252.2583280000003</v>
      </c>
      <c r="F3274" s="6">
        <f t="shared" si="243"/>
        <v>4227.9358264000002</v>
      </c>
      <c r="G3274" s="7">
        <f t="shared" si="244"/>
        <v>4553.1616592</v>
      </c>
      <c r="H3274" s="8">
        <f t="shared" si="245"/>
        <v>4878.3874920000007</v>
      </c>
      <c r="I3274" s="9">
        <f t="shared" si="246"/>
        <v>5203.6133248000006</v>
      </c>
    </row>
    <row r="3275" spans="1:9" ht="15.75" customHeight="1" x14ac:dyDescent="0.4">
      <c r="B3275" s="19" t="s">
        <v>2790</v>
      </c>
      <c r="D3275" s="11">
        <v>0</v>
      </c>
      <c r="E3275" s="27">
        <f t="shared" si="242"/>
        <v>0</v>
      </c>
      <c r="F3275" s="6">
        <f t="shared" si="243"/>
        <v>0</v>
      </c>
      <c r="G3275" s="7">
        <f t="shared" si="244"/>
        <v>0</v>
      </c>
      <c r="H3275" s="8">
        <f t="shared" si="245"/>
        <v>0</v>
      </c>
      <c r="I3275" s="9">
        <f t="shared" si="246"/>
        <v>0</v>
      </c>
    </row>
    <row r="3276" spans="1:9" x14ac:dyDescent="0.35">
      <c r="A3276" s="24" t="s">
        <v>744</v>
      </c>
      <c r="B3276" s="18" t="s">
        <v>4558</v>
      </c>
      <c r="C3276" s="20">
        <v>45635</v>
      </c>
      <c r="D3276" s="11">
        <v>2653.3</v>
      </c>
      <c r="E3276" s="27">
        <f t="shared" si="242"/>
        <v>2953.6535600000002</v>
      </c>
      <c r="F3276" s="6">
        <f t="shared" si="243"/>
        <v>3839.7496280000005</v>
      </c>
      <c r="G3276" s="7">
        <f t="shared" si="244"/>
        <v>4135.1149839999998</v>
      </c>
      <c r="H3276" s="8">
        <f t="shared" si="245"/>
        <v>4430.4803400000001</v>
      </c>
      <c r="I3276" s="9">
        <f t="shared" si="246"/>
        <v>4725.8456960000003</v>
      </c>
    </row>
    <row r="3277" spans="1:9" x14ac:dyDescent="0.35">
      <c r="A3277" s="24" t="s">
        <v>745</v>
      </c>
      <c r="B3277" s="18" t="s">
        <v>69</v>
      </c>
      <c r="C3277" s="20">
        <v>45591</v>
      </c>
      <c r="D3277" s="11">
        <v>1232.42</v>
      </c>
      <c r="E3277" s="27">
        <f t="shared" si="242"/>
        <v>1371.929944</v>
      </c>
      <c r="F3277" s="6">
        <f t="shared" si="243"/>
        <v>1783.5089272</v>
      </c>
      <c r="G3277" s="7">
        <f t="shared" si="244"/>
        <v>1920.7019215999999</v>
      </c>
      <c r="H3277" s="8">
        <f t="shared" si="245"/>
        <v>2057.8949160000002</v>
      </c>
      <c r="I3277" s="9">
        <f t="shared" si="246"/>
        <v>2195.0879104000001</v>
      </c>
    </row>
    <row r="3278" spans="1:9" x14ac:dyDescent="0.35">
      <c r="A3278" s="24" t="s">
        <v>746</v>
      </c>
      <c r="B3278" s="18" t="s">
        <v>70</v>
      </c>
      <c r="C3278" s="20">
        <v>45591</v>
      </c>
      <c r="D3278" s="11">
        <v>1232.42</v>
      </c>
      <c r="E3278" s="27">
        <f t="shared" si="242"/>
        <v>1371.929944</v>
      </c>
      <c r="F3278" s="6">
        <f t="shared" si="243"/>
        <v>1783.5089272</v>
      </c>
      <c r="G3278" s="7">
        <f t="shared" si="244"/>
        <v>1920.7019215999999</v>
      </c>
      <c r="H3278" s="8">
        <f t="shared" si="245"/>
        <v>2057.8949160000002</v>
      </c>
      <c r="I3278" s="9">
        <f t="shared" si="246"/>
        <v>2195.0879104000001</v>
      </c>
    </row>
    <row r="3279" spans="1:9" x14ac:dyDescent="0.35">
      <c r="A3279" s="24" t="s">
        <v>747</v>
      </c>
      <c r="B3279" s="18" t="s">
        <v>71</v>
      </c>
      <c r="C3279" s="20">
        <v>45591</v>
      </c>
      <c r="D3279" s="11">
        <v>1232.42</v>
      </c>
      <c r="E3279" s="27">
        <f t="shared" si="242"/>
        <v>1371.929944</v>
      </c>
      <c r="F3279" s="6">
        <f t="shared" si="243"/>
        <v>1783.5089272</v>
      </c>
      <c r="G3279" s="7">
        <f t="shared" si="244"/>
        <v>1920.7019215999999</v>
      </c>
      <c r="H3279" s="8">
        <f t="shared" si="245"/>
        <v>2057.8949160000002</v>
      </c>
      <c r="I3279" s="9">
        <f t="shared" si="246"/>
        <v>2195.0879104000001</v>
      </c>
    </row>
    <row r="3280" spans="1:9" x14ac:dyDescent="0.35">
      <c r="A3280" s="24" t="s">
        <v>748</v>
      </c>
      <c r="B3280" s="18" t="s">
        <v>4575</v>
      </c>
      <c r="C3280" s="20">
        <v>45591</v>
      </c>
      <c r="D3280" s="11">
        <v>1516.44</v>
      </c>
      <c r="E3280" s="27">
        <f t="shared" ref="E3280:E3343" si="247">D3280*1.21*0.92</f>
        <v>1688.1010080000001</v>
      </c>
      <c r="F3280" s="6">
        <f t="shared" si="243"/>
        <v>2194.5313104000002</v>
      </c>
      <c r="G3280" s="7">
        <f t="shared" si="244"/>
        <v>2363.3414112</v>
      </c>
      <c r="H3280" s="8">
        <f t="shared" si="245"/>
        <v>2532.1515120000004</v>
      </c>
      <c r="I3280" s="9">
        <f t="shared" si="246"/>
        <v>2700.9616128000002</v>
      </c>
    </row>
    <row r="3281" spans="1:9" x14ac:dyDescent="0.35">
      <c r="A3281" s="24" t="s">
        <v>749</v>
      </c>
      <c r="B3281" s="18" t="s">
        <v>536</v>
      </c>
      <c r="C3281" s="20">
        <v>45591</v>
      </c>
      <c r="D3281" s="11">
        <v>1232.4000000000001</v>
      </c>
      <c r="E3281" s="27">
        <f t="shared" si="247"/>
        <v>1371.9076800000003</v>
      </c>
      <c r="F3281" s="6">
        <f t="shared" si="243"/>
        <v>1783.4799840000003</v>
      </c>
      <c r="G3281" s="7">
        <f t="shared" si="244"/>
        <v>1920.6707520000002</v>
      </c>
      <c r="H3281" s="8">
        <f t="shared" si="245"/>
        <v>2057.8615200000004</v>
      </c>
      <c r="I3281" s="9">
        <f t="shared" si="246"/>
        <v>2195.0522880000003</v>
      </c>
    </row>
    <row r="3282" spans="1:9" x14ac:dyDescent="0.35">
      <c r="A3282" s="24" t="s">
        <v>750</v>
      </c>
      <c r="B3282" s="18" t="s">
        <v>72</v>
      </c>
      <c r="C3282" s="20">
        <v>45591</v>
      </c>
      <c r="D3282" s="11">
        <v>1232.42</v>
      </c>
      <c r="E3282" s="27">
        <f t="shared" si="247"/>
        <v>1371.929944</v>
      </c>
      <c r="F3282" s="6">
        <f t="shared" si="243"/>
        <v>1783.5089272</v>
      </c>
      <c r="G3282" s="7">
        <f t="shared" si="244"/>
        <v>1920.7019215999999</v>
      </c>
      <c r="H3282" s="8">
        <f t="shared" si="245"/>
        <v>2057.8949160000002</v>
      </c>
      <c r="I3282" s="9">
        <f t="shared" si="246"/>
        <v>2195.0879104000001</v>
      </c>
    </row>
    <row r="3283" spans="1:9" x14ac:dyDescent="0.35">
      <c r="A3283" s="24" t="s">
        <v>751</v>
      </c>
      <c r="B3283" s="18" t="s">
        <v>513</v>
      </c>
      <c r="C3283" s="20">
        <v>45591</v>
      </c>
      <c r="D3283" s="11">
        <v>1232.42</v>
      </c>
      <c r="E3283" s="27">
        <f t="shared" si="247"/>
        <v>1371.929944</v>
      </c>
      <c r="F3283" s="6">
        <f t="shared" si="243"/>
        <v>1783.5089272</v>
      </c>
      <c r="G3283" s="7">
        <f t="shared" si="244"/>
        <v>1920.7019215999999</v>
      </c>
      <c r="H3283" s="8">
        <f t="shared" si="245"/>
        <v>2057.8949160000002</v>
      </c>
      <c r="I3283" s="9">
        <f t="shared" si="246"/>
        <v>2195.0879104000001</v>
      </c>
    </row>
    <row r="3284" spans="1:9" x14ac:dyDescent="0.35">
      <c r="A3284" s="24" t="s">
        <v>1288</v>
      </c>
      <c r="B3284" s="18" t="s">
        <v>475</v>
      </c>
      <c r="C3284" s="20">
        <v>45717</v>
      </c>
      <c r="D3284" s="11">
        <v>3155.44</v>
      </c>
      <c r="E3284" s="27">
        <f t="shared" si="247"/>
        <v>3512.635808</v>
      </c>
      <c r="F3284" s="6">
        <f t="shared" si="243"/>
        <v>4566.4265504000005</v>
      </c>
      <c r="G3284" s="7">
        <f t="shared" si="244"/>
        <v>4917.6901312</v>
      </c>
      <c r="H3284" s="8">
        <f t="shared" si="245"/>
        <v>5268.9537120000005</v>
      </c>
      <c r="I3284" s="9">
        <f t="shared" si="246"/>
        <v>5620.2172928</v>
      </c>
    </row>
    <row r="3285" spans="1:9" x14ac:dyDescent="0.35">
      <c r="A3285" s="24" t="s">
        <v>3114</v>
      </c>
      <c r="B3285" s="18" t="s">
        <v>2418</v>
      </c>
      <c r="C3285" s="20">
        <v>45650</v>
      </c>
      <c r="D3285" s="11">
        <v>1873.55</v>
      </c>
      <c r="E3285" s="27">
        <f t="shared" si="247"/>
        <v>2085.6358599999999</v>
      </c>
      <c r="F3285" s="6">
        <f t="shared" si="243"/>
        <v>2711.3266180000001</v>
      </c>
      <c r="G3285" s="7">
        <f t="shared" si="244"/>
        <v>2919.8902039999998</v>
      </c>
      <c r="H3285" s="8">
        <f t="shared" si="245"/>
        <v>3128.4537899999996</v>
      </c>
      <c r="I3285" s="9">
        <f t="shared" si="246"/>
        <v>3337.0173759999998</v>
      </c>
    </row>
    <row r="3286" spans="1:9" x14ac:dyDescent="0.35">
      <c r="A3286" s="24" t="s">
        <v>2789</v>
      </c>
      <c r="B3286" s="18" t="s">
        <v>309</v>
      </c>
      <c r="C3286" s="20">
        <v>45799</v>
      </c>
      <c r="D3286" s="11">
        <v>2504.56</v>
      </c>
      <c r="E3286" s="27">
        <f t="shared" si="247"/>
        <v>2788.076192</v>
      </c>
      <c r="F3286" s="6">
        <f t="shared" ref="F3286:F3379" si="248">E3286*1.3</f>
        <v>3624.4990496</v>
      </c>
      <c r="G3286" s="7">
        <f t="shared" ref="G3286:G3379" si="249">E3286*1.4</f>
        <v>3903.3066687999999</v>
      </c>
      <c r="H3286" s="8">
        <f t="shared" ref="H3286:H3379" si="250">E3286*1.5</f>
        <v>4182.1142879999998</v>
      </c>
      <c r="I3286" s="9">
        <f t="shared" ref="I3286:I3379" si="251">E3286*1.6</f>
        <v>4460.9219072000005</v>
      </c>
    </row>
    <row r="3287" spans="1:9" ht="18" x14ac:dyDescent="0.4">
      <c r="A3287" s="10"/>
      <c r="B3287" s="30" t="s">
        <v>414</v>
      </c>
      <c r="C3287" s="31"/>
      <c r="D3287" s="11">
        <v>0</v>
      </c>
      <c r="E3287" s="27">
        <f t="shared" si="247"/>
        <v>0</v>
      </c>
      <c r="F3287" s="6">
        <f t="shared" si="248"/>
        <v>0</v>
      </c>
      <c r="G3287" s="7">
        <f t="shared" si="249"/>
        <v>0</v>
      </c>
      <c r="H3287" s="8">
        <f t="shared" si="250"/>
        <v>0</v>
      </c>
      <c r="I3287" s="9">
        <f t="shared" si="251"/>
        <v>0</v>
      </c>
    </row>
    <row r="3288" spans="1:9" x14ac:dyDescent="0.35">
      <c r="A3288" s="33" t="s">
        <v>2791</v>
      </c>
      <c r="B3288" s="10" t="s">
        <v>618</v>
      </c>
      <c r="C3288" s="31">
        <v>45718</v>
      </c>
      <c r="D3288" s="11">
        <v>6823.7493266880019</v>
      </c>
      <c r="E3288" s="27">
        <f t="shared" si="247"/>
        <v>7596.197750469084</v>
      </c>
      <c r="F3288" s="6">
        <f t="shared" si="248"/>
        <v>9875.0570756098095</v>
      </c>
      <c r="G3288" s="7">
        <f t="shared" si="249"/>
        <v>10634.676850656717</v>
      </c>
      <c r="H3288" s="8">
        <f t="shared" si="250"/>
        <v>11394.296625703626</v>
      </c>
      <c r="I3288" s="9">
        <f t="shared" si="251"/>
        <v>12153.916400750535</v>
      </c>
    </row>
    <row r="3289" spans="1:9" x14ac:dyDescent="0.35">
      <c r="A3289" s="33" t="s">
        <v>2792</v>
      </c>
      <c r="B3289" s="10" t="s">
        <v>619</v>
      </c>
      <c r="C3289" s="31">
        <v>45718</v>
      </c>
      <c r="D3289" s="11">
        <v>6527.062294704001</v>
      </c>
      <c r="E3289" s="27">
        <f t="shared" si="247"/>
        <v>7265.9257464644943</v>
      </c>
      <c r="F3289" s="6">
        <f t="shared" si="248"/>
        <v>9445.7034704038433</v>
      </c>
      <c r="G3289" s="7">
        <f t="shared" si="249"/>
        <v>10172.296045050291</v>
      </c>
      <c r="H3289" s="8">
        <f t="shared" si="250"/>
        <v>10898.888619696741</v>
      </c>
      <c r="I3289" s="9">
        <f t="shared" si="251"/>
        <v>11625.481194343192</v>
      </c>
    </row>
    <row r="3290" spans="1:9" x14ac:dyDescent="0.35">
      <c r="A3290" s="33" t="s">
        <v>417</v>
      </c>
      <c r="B3290" s="10" t="s">
        <v>415</v>
      </c>
      <c r="C3290" s="31">
        <v>45718</v>
      </c>
      <c r="D3290" s="11">
        <v>9329.7878019360014</v>
      </c>
      <c r="E3290" s="27">
        <f t="shared" si="247"/>
        <v>10385.919781115157</v>
      </c>
      <c r="F3290" s="6">
        <f t="shared" si="248"/>
        <v>13501.695715449705</v>
      </c>
      <c r="G3290" s="7">
        <f t="shared" si="249"/>
        <v>14540.287693561218</v>
      </c>
      <c r="H3290" s="8">
        <f t="shared" si="250"/>
        <v>15578.879671672736</v>
      </c>
      <c r="I3290" s="9">
        <f t="shared" si="251"/>
        <v>16617.471649784253</v>
      </c>
    </row>
    <row r="3291" spans="1:9" x14ac:dyDescent="0.35">
      <c r="A3291" s="33" t="s">
        <v>418</v>
      </c>
      <c r="B3291" s="10" t="s">
        <v>416</v>
      </c>
      <c r="C3291" s="31">
        <v>45718</v>
      </c>
      <c r="D3291" s="11">
        <v>9771.9620624640029</v>
      </c>
      <c r="E3291" s="27">
        <f t="shared" si="247"/>
        <v>10878.148167934929</v>
      </c>
      <c r="F3291" s="6">
        <f t="shared" si="248"/>
        <v>14141.592618315408</v>
      </c>
      <c r="G3291" s="7">
        <f t="shared" si="249"/>
        <v>15229.4074351089</v>
      </c>
      <c r="H3291" s="8">
        <f t="shared" si="250"/>
        <v>16317.222251902393</v>
      </c>
      <c r="I3291" s="9">
        <f t="shared" si="251"/>
        <v>17405.037068695889</v>
      </c>
    </row>
    <row r="3292" spans="1:9" x14ac:dyDescent="0.35">
      <c r="A3292" s="33" t="s">
        <v>4880</v>
      </c>
      <c r="B3292" s="10" t="s">
        <v>4881</v>
      </c>
      <c r="C3292" s="31">
        <v>45718</v>
      </c>
      <c r="D3292" s="11">
        <v>1615.7328042240006</v>
      </c>
      <c r="E3292" s="27">
        <f t="shared" si="247"/>
        <v>1798.6337576621574</v>
      </c>
      <c r="F3292" s="6">
        <f t="shared" si="248"/>
        <v>2338.2238849608048</v>
      </c>
      <c r="G3292" s="7">
        <f t="shared" si="249"/>
        <v>2518.0872607270203</v>
      </c>
      <c r="H3292" s="8">
        <f t="shared" si="250"/>
        <v>2697.9506364932363</v>
      </c>
      <c r="I3292" s="9">
        <f t="shared" si="251"/>
        <v>2877.8140122594523</v>
      </c>
    </row>
    <row r="3293" spans="1:9" x14ac:dyDescent="0.35">
      <c r="A3293" s="33" t="s">
        <v>5024</v>
      </c>
      <c r="B3293" s="10" t="s">
        <v>5025</v>
      </c>
      <c r="C3293" s="31">
        <v>45718</v>
      </c>
      <c r="D3293" s="11">
        <v>2330.5209217920005</v>
      </c>
      <c r="E3293" s="27">
        <f t="shared" si="247"/>
        <v>2594.3358901388547</v>
      </c>
      <c r="F3293" s="6">
        <f t="shared" si="248"/>
        <v>3372.6366571805111</v>
      </c>
      <c r="G3293" s="7">
        <f t="shared" si="249"/>
        <v>3632.0702461943961</v>
      </c>
      <c r="H3293" s="8">
        <f t="shared" si="250"/>
        <v>3891.503835208282</v>
      </c>
      <c r="I3293" s="9">
        <f t="shared" si="251"/>
        <v>4150.9374242221675</v>
      </c>
    </row>
    <row r="3294" spans="1:9" x14ac:dyDescent="0.35">
      <c r="A3294" s="33" t="s">
        <v>6330</v>
      </c>
      <c r="B3294" s="10" t="s">
        <v>6331</v>
      </c>
      <c r="C3294" s="31">
        <v>45718</v>
      </c>
      <c r="D3294" s="11">
        <v>693.94682750400023</v>
      </c>
      <c r="E3294" s="27">
        <f t="shared" si="247"/>
        <v>772.50160837745307</v>
      </c>
      <c r="F3294" s="6">
        <f t="shared" si="248"/>
        <v>1004.252090890689</v>
      </c>
      <c r="G3294" s="7">
        <f t="shared" si="249"/>
        <v>1081.5022517284342</v>
      </c>
      <c r="H3294" s="8">
        <f t="shared" si="250"/>
        <v>1158.7524125661796</v>
      </c>
      <c r="I3294" s="9">
        <f t="shared" si="251"/>
        <v>1236.002573403925</v>
      </c>
    </row>
    <row r="3295" spans="1:9" ht="15.75" customHeight="1" x14ac:dyDescent="0.4">
      <c r="B3295" s="19" t="s">
        <v>2793</v>
      </c>
      <c r="E3295" s="27">
        <f t="shared" si="247"/>
        <v>0</v>
      </c>
      <c r="F3295" s="6">
        <f t="shared" si="248"/>
        <v>0</v>
      </c>
      <c r="G3295" s="7">
        <f t="shared" si="249"/>
        <v>0</v>
      </c>
      <c r="H3295" s="8">
        <f t="shared" si="250"/>
        <v>0</v>
      </c>
      <c r="I3295" s="9">
        <f t="shared" si="251"/>
        <v>0</v>
      </c>
    </row>
    <row r="3296" spans="1:9" x14ac:dyDescent="0.35">
      <c r="A3296" s="18" t="s">
        <v>1289</v>
      </c>
      <c r="B3296" s="18" t="s">
        <v>4545</v>
      </c>
      <c r="C3296" s="20">
        <v>45635</v>
      </c>
      <c r="D3296" s="11">
        <v>469</v>
      </c>
      <c r="E3296" s="27">
        <f t="shared" si="247"/>
        <v>522.09080000000006</v>
      </c>
      <c r="F3296" s="6">
        <f t="shared" si="248"/>
        <v>678.71804000000009</v>
      </c>
      <c r="G3296" s="7">
        <f t="shared" si="249"/>
        <v>730.92712000000006</v>
      </c>
      <c r="H3296" s="8">
        <f t="shared" si="250"/>
        <v>783.13620000000014</v>
      </c>
      <c r="I3296" s="9">
        <f t="shared" si="251"/>
        <v>835.34528000000012</v>
      </c>
    </row>
    <row r="3297" spans="1:9" ht="15.75" customHeight="1" x14ac:dyDescent="0.4">
      <c r="B3297" s="19" t="s">
        <v>2152</v>
      </c>
      <c r="D3297" s="11">
        <v>0</v>
      </c>
      <c r="E3297" s="27">
        <f t="shared" si="247"/>
        <v>0</v>
      </c>
      <c r="F3297" s="6">
        <f t="shared" si="248"/>
        <v>0</v>
      </c>
      <c r="G3297" s="7">
        <f t="shared" si="249"/>
        <v>0</v>
      </c>
      <c r="H3297" s="8">
        <f t="shared" si="250"/>
        <v>0</v>
      </c>
      <c r="I3297" s="9">
        <f t="shared" si="251"/>
        <v>0</v>
      </c>
    </row>
    <row r="3298" spans="1:9" x14ac:dyDescent="0.35">
      <c r="A3298" s="18" t="s">
        <v>2153</v>
      </c>
      <c r="B3298" s="18" t="s">
        <v>2156</v>
      </c>
      <c r="C3298" s="20">
        <v>45703</v>
      </c>
      <c r="D3298" s="11">
        <v>3447.9</v>
      </c>
      <c r="E3298" s="27">
        <f t="shared" si="247"/>
        <v>3838.20228</v>
      </c>
      <c r="F3298" s="6">
        <f t="shared" si="248"/>
        <v>4989.6629640000001</v>
      </c>
      <c r="G3298" s="7">
        <f t="shared" si="249"/>
        <v>5373.4831919999997</v>
      </c>
      <c r="H3298" s="8">
        <f t="shared" si="250"/>
        <v>5757.3034200000002</v>
      </c>
      <c r="I3298" s="9">
        <f t="shared" si="251"/>
        <v>6141.1236480000007</v>
      </c>
    </row>
    <row r="3299" spans="1:9" x14ac:dyDescent="0.35">
      <c r="A3299" s="18" t="s">
        <v>2154</v>
      </c>
      <c r="B3299" s="18" t="s">
        <v>2157</v>
      </c>
      <c r="C3299" s="20">
        <v>45703</v>
      </c>
      <c r="D3299" s="11">
        <v>3253.5</v>
      </c>
      <c r="E3299" s="27">
        <f t="shared" si="247"/>
        <v>3621.7961999999998</v>
      </c>
      <c r="F3299" s="6">
        <f t="shared" si="248"/>
        <v>4708.3350599999994</v>
      </c>
      <c r="G3299" s="7">
        <f t="shared" si="249"/>
        <v>5070.5146799999993</v>
      </c>
      <c r="H3299" s="8">
        <f t="shared" si="250"/>
        <v>5432.6942999999992</v>
      </c>
      <c r="I3299" s="9">
        <f t="shared" si="251"/>
        <v>5794.87392</v>
      </c>
    </row>
    <row r="3300" spans="1:9" x14ac:dyDescent="0.35">
      <c r="A3300" s="18" t="s">
        <v>2155</v>
      </c>
      <c r="B3300" s="18" t="s">
        <v>5749</v>
      </c>
      <c r="C3300" s="20">
        <v>45703</v>
      </c>
      <c r="D3300" s="11">
        <v>3253.5</v>
      </c>
      <c r="E3300" s="27">
        <f t="shared" si="247"/>
        <v>3621.7961999999998</v>
      </c>
      <c r="F3300" s="6">
        <f t="shared" si="248"/>
        <v>4708.3350599999994</v>
      </c>
      <c r="G3300" s="7">
        <f t="shared" si="249"/>
        <v>5070.5146799999993</v>
      </c>
      <c r="H3300" s="8">
        <f t="shared" si="250"/>
        <v>5432.6942999999992</v>
      </c>
      <c r="I3300" s="9">
        <f t="shared" si="251"/>
        <v>5794.87392</v>
      </c>
    </row>
    <row r="3301" spans="1:9" x14ac:dyDescent="0.35">
      <c r="A3301" s="18" t="s">
        <v>4675</v>
      </c>
      <c r="B3301" s="18" t="s">
        <v>4735</v>
      </c>
      <c r="C3301" s="20">
        <v>45629</v>
      </c>
      <c r="D3301" s="11">
        <v>25793.409472952459</v>
      </c>
      <c r="E3301" s="27">
        <f t="shared" si="247"/>
        <v>28713.223425290678</v>
      </c>
      <c r="F3301" s="6">
        <f t="shared" si="248"/>
        <v>37327.190452877883</v>
      </c>
      <c r="G3301" s="7">
        <f t="shared" si="249"/>
        <v>40198.512795406947</v>
      </c>
      <c r="H3301" s="8">
        <f t="shared" si="250"/>
        <v>43069.835137936017</v>
      </c>
      <c r="I3301" s="9">
        <f t="shared" si="251"/>
        <v>45941.157480465088</v>
      </c>
    </row>
    <row r="3302" spans="1:9" x14ac:dyDescent="0.35">
      <c r="A3302" s="18" t="s">
        <v>5451</v>
      </c>
      <c r="B3302" s="18" t="s">
        <v>5452</v>
      </c>
      <c r="C3302" s="20">
        <v>45629</v>
      </c>
      <c r="D3302" s="11">
        <v>12490.220306241723</v>
      </c>
      <c r="E3302" s="27">
        <f t="shared" si="247"/>
        <v>13904.113244908287</v>
      </c>
      <c r="F3302" s="6">
        <f t="shared" si="248"/>
        <v>18075.347218380775</v>
      </c>
      <c r="G3302" s="7">
        <f t="shared" si="249"/>
        <v>19465.758542871601</v>
      </c>
      <c r="H3302" s="8">
        <f t="shared" si="250"/>
        <v>20856.169867362431</v>
      </c>
      <c r="I3302" s="9">
        <f t="shared" si="251"/>
        <v>22246.58119185326</v>
      </c>
    </row>
    <row r="3303" spans="1:9" ht="18" x14ac:dyDescent="0.4">
      <c r="B3303" s="19" t="s">
        <v>4979</v>
      </c>
      <c r="D3303" s="11">
        <v>0</v>
      </c>
      <c r="E3303" s="27">
        <f t="shared" si="247"/>
        <v>0</v>
      </c>
      <c r="F3303" s="6">
        <f t="shared" si="248"/>
        <v>0</v>
      </c>
      <c r="G3303" s="7">
        <f t="shared" si="249"/>
        <v>0</v>
      </c>
      <c r="H3303" s="8">
        <f t="shared" si="250"/>
        <v>0</v>
      </c>
      <c r="I3303" s="9">
        <f t="shared" si="251"/>
        <v>0</v>
      </c>
    </row>
    <row r="3304" spans="1:9" x14ac:dyDescent="0.35">
      <c r="A3304" s="24" t="s">
        <v>4980</v>
      </c>
      <c r="B3304" s="24" t="s">
        <v>4984</v>
      </c>
      <c r="C3304" s="20">
        <v>45577</v>
      </c>
      <c r="D3304" s="11">
        <v>190.39138061119402</v>
      </c>
      <c r="E3304" s="27">
        <f t="shared" si="247"/>
        <v>211.9436848963812</v>
      </c>
      <c r="F3304" s="6">
        <f t="shared" si="248"/>
        <v>275.5267903652956</v>
      </c>
      <c r="G3304" s="7">
        <f t="shared" si="249"/>
        <v>296.72115885493366</v>
      </c>
      <c r="H3304" s="8">
        <f t="shared" si="250"/>
        <v>317.91552734457179</v>
      </c>
      <c r="I3304" s="9">
        <f t="shared" si="251"/>
        <v>339.10989583420996</v>
      </c>
    </row>
    <row r="3305" spans="1:9" x14ac:dyDescent="0.35">
      <c r="A3305" s="24" t="s">
        <v>4981</v>
      </c>
      <c r="B3305" s="24" t="s">
        <v>4985</v>
      </c>
      <c r="C3305" s="20">
        <v>45577</v>
      </c>
      <c r="D3305" s="11">
        <v>263.14808677332888</v>
      </c>
      <c r="E3305" s="27">
        <f t="shared" si="247"/>
        <v>292.93645019606976</v>
      </c>
      <c r="F3305" s="6">
        <f t="shared" si="248"/>
        <v>380.81738525489072</v>
      </c>
      <c r="G3305" s="7">
        <f t="shared" si="249"/>
        <v>410.11103027449764</v>
      </c>
      <c r="H3305" s="8">
        <f t="shared" si="250"/>
        <v>439.40467529410466</v>
      </c>
      <c r="I3305" s="9">
        <f t="shared" si="251"/>
        <v>468.69832031371163</v>
      </c>
    </row>
    <row r="3306" spans="1:9" x14ac:dyDescent="0.35">
      <c r="A3306" s="24" t="s">
        <v>4982</v>
      </c>
      <c r="B3306" s="24" t="s">
        <v>4983</v>
      </c>
      <c r="C3306" s="20">
        <v>45577</v>
      </c>
      <c r="D3306" s="11">
        <v>258.38830225804901</v>
      </c>
      <c r="E3306" s="27">
        <f t="shared" si="247"/>
        <v>287.63785807366014</v>
      </c>
      <c r="F3306" s="6">
        <f t="shared" si="248"/>
        <v>373.92921549575817</v>
      </c>
      <c r="G3306" s="7">
        <f t="shared" si="249"/>
        <v>402.69300130312416</v>
      </c>
      <c r="H3306" s="8">
        <f t="shared" si="250"/>
        <v>431.45678711049021</v>
      </c>
      <c r="I3306" s="9">
        <f t="shared" si="251"/>
        <v>460.22057291785626</v>
      </c>
    </row>
    <row r="3307" spans="1:9" x14ac:dyDescent="0.35">
      <c r="A3307" s="24" t="s">
        <v>4989</v>
      </c>
      <c r="B3307" s="24" t="s">
        <v>4992</v>
      </c>
      <c r="C3307" s="20">
        <v>45577</v>
      </c>
      <c r="D3307" s="11">
        <v>236.96927193928974</v>
      </c>
      <c r="E3307" s="27">
        <f t="shared" si="247"/>
        <v>263.7941935228173</v>
      </c>
      <c r="F3307" s="6">
        <f t="shared" si="248"/>
        <v>342.93245157966248</v>
      </c>
      <c r="G3307" s="7">
        <f t="shared" si="249"/>
        <v>369.31187093194421</v>
      </c>
      <c r="H3307" s="8">
        <f t="shared" si="250"/>
        <v>395.69129028422594</v>
      </c>
      <c r="I3307" s="9">
        <f t="shared" si="251"/>
        <v>422.07070963650767</v>
      </c>
    </row>
    <row r="3308" spans="1:9" x14ac:dyDescent="0.35">
      <c r="A3308" s="24" t="s">
        <v>4990</v>
      </c>
      <c r="B3308" s="24" t="s">
        <v>4993</v>
      </c>
      <c r="C3308" s="20">
        <v>45577</v>
      </c>
      <c r="D3308" s="11">
        <v>319.58553174021841</v>
      </c>
      <c r="E3308" s="27">
        <f t="shared" si="247"/>
        <v>355.76261393321118</v>
      </c>
      <c r="F3308" s="6">
        <f t="shared" si="248"/>
        <v>462.49139811317457</v>
      </c>
      <c r="G3308" s="7">
        <f t="shared" si="249"/>
        <v>498.0676595064956</v>
      </c>
      <c r="H3308" s="8">
        <f t="shared" si="250"/>
        <v>533.64392089981675</v>
      </c>
      <c r="I3308" s="9">
        <f t="shared" si="251"/>
        <v>569.2201822931379</v>
      </c>
    </row>
    <row r="3309" spans="1:9" x14ac:dyDescent="0.35">
      <c r="A3309" s="24" t="s">
        <v>4991</v>
      </c>
      <c r="B3309" s="24" t="s">
        <v>4994</v>
      </c>
      <c r="C3309" s="20">
        <v>45577</v>
      </c>
      <c r="D3309" s="11">
        <v>263.14808677332888</v>
      </c>
      <c r="E3309" s="27">
        <f t="shared" si="247"/>
        <v>292.93645019606976</v>
      </c>
      <c r="F3309" s="6">
        <f t="shared" si="248"/>
        <v>380.81738525489072</v>
      </c>
      <c r="G3309" s="7">
        <f t="shared" si="249"/>
        <v>410.11103027449764</v>
      </c>
      <c r="H3309" s="8">
        <f t="shared" si="250"/>
        <v>439.40467529410466</v>
      </c>
      <c r="I3309" s="9">
        <f t="shared" si="251"/>
        <v>468.69832031371163</v>
      </c>
    </row>
    <row r="3310" spans="1:9" x14ac:dyDescent="0.35">
      <c r="A3310" s="24" t="s">
        <v>5006</v>
      </c>
      <c r="B3310" s="24" t="s">
        <v>5010</v>
      </c>
      <c r="C3310" s="20">
        <v>45577</v>
      </c>
      <c r="D3310" s="11">
        <v>263.14808677332888</v>
      </c>
      <c r="E3310" s="27">
        <f t="shared" si="247"/>
        <v>292.93645019606976</v>
      </c>
      <c r="F3310" s="6">
        <f t="shared" si="248"/>
        <v>380.81738525489072</v>
      </c>
      <c r="G3310" s="7">
        <f t="shared" si="249"/>
        <v>410.11103027449764</v>
      </c>
      <c r="H3310" s="8">
        <f t="shared" si="250"/>
        <v>439.40467529410466</v>
      </c>
      <c r="I3310" s="9">
        <f t="shared" si="251"/>
        <v>468.69832031371163</v>
      </c>
    </row>
    <row r="3311" spans="1:9" x14ac:dyDescent="0.35">
      <c r="A3311" s="24" t="s">
        <v>5007</v>
      </c>
      <c r="B3311" s="24" t="s">
        <v>5011</v>
      </c>
      <c r="C3311" s="20">
        <v>45577</v>
      </c>
      <c r="D3311" s="11">
        <v>321.6254393896242</v>
      </c>
      <c r="E3311" s="27">
        <f t="shared" si="247"/>
        <v>358.03343912852966</v>
      </c>
      <c r="F3311" s="6">
        <f t="shared" si="248"/>
        <v>465.44347086708859</v>
      </c>
      <c r="G3311" s="7">
        <f t="shared" si="249"/>
        <v>501.24681477994147</v>
      </c>
      <c r="H3311" s="8">
        <f t="shared" si="250"/>
        <v>537.05015869279453</v>
      </c>
      <c r="I3311" s="9">
        <f t="shared" si="251"/>
        <v>572.85350260564746</v>
      </c>
    </row>
    <row r="3312" spans="1:9" x14ac:dyDescent="0.35">
      <c r="A3312" s="24" t="s">
        <v>5008</v>
      </c>
      <c r="B3312" s="24" t="s">
        <v>5012</v>
      </c>
      <c r="C3312" s="20">
        <v>45577</v>
      </c>
      <c r="D3312" s="11">
        <v>271.30771737095142</v>
      </c>
      <c r="E3312" s="27">
        <f t="shared" si="247"/>
        <v>302.01975097734311</v>
      </c>
      <c r="F3312" s="6">
        <f t="shared" si="248"/>
        <v>392.62567627054608</v>
      </c>
      <c r="G3312" s="7">
        <f t="shared" si="249"/>
        <v>422.82765136828033</v>
      </c>
      <c r="H3312" s="8">
        <f t="shared" si="250"/>
        <v>453.02962646601463</v>
      </c>
      <c r="I3312" s="9">
        <f t="shared" si="251"/>
        <v>483.231601563749</v>
      </c>
    </row>
    <row r="3313" spans="1:9" x14ac:dyDescent="0.35">
      <c r="A3313" s="24" t="s">
        <v>5009</v>
      </c>
      <c r="B3313" s="24" t="s">
        <v>5013</v>
      </c>
      <c r="C3313" s="20">
        <v>45577</v>
      </c>
      <c r="D3313" s="11">
        <v>289.66688621560235</v>
      </c>
      <c r="E3313" s="27">
        <f t="shared" si="247"/>
        <v>322.45717773520857</v>
      </c>
      <c r="F3313" s="6">
        <f t="shared" si="248"/>
        <v>419.19433105577116</v>
      </c>
      <c r="G3313" s="7">
        <f t="shared" si="249"/>
        <v>451.44004882929198</v>
      </c>
      <c r="H3313" s="8">
        <f t="shared" si="250"/>
        <v>483.68576660281286</v>
      </c>
      <c r="I3313" s="9">
        <f t="shared" si="251"/>
        <v>515.93148437633374</v>
      </c>
    </row>
    <row r="3314" spans="1:9" x14ac:dyDescent="0.35">
      <c r="A3314" s="24" t="s">
        <v>6381</v>
      </c>
      <c r="B3314" s="24" t="s">
        <v>6382</v>
      </c>
      <c r="C3314" s="20">
        <v>45577</v>
      </c>
      <c r="D3314" s="11">
        <v>263.51600000000002</v>
      </c>
      <c r="E3314" s="27">
        <f t="shared" si="247"/>
        <v>293.34601120000008</v>
      </c>
      <c r="F3314" s="6">
        <f t="shared" si="248"/>
        <v>381.34981456000014</v>
      </c>
      <c r="G3314" s="7">
        <f t="shared" si="249"/>
        <v>410.68441568000009</v>
      </c>
      <c r="H3314" s="8">
        <f t="shared" si="250"/>
        <v>440.01901680000014</v>
      </c>
      <c r="I3314" s="9">
        <f t="shared" si="251"/>
        <v>469.35361792000015</v>
      </c>
    </row>
    <row r="3315" spans="1:9" x14ac:dyDescent="0.35">
      <c r="A3315" s="24" t="s">
        <v>6384</v>
      </c>
      <c r="B3315" s="24" t="s">
        <v>6383</v>
      </c>
      <c r="C3315" s="20">
        <v>45577</v>
      </c>
      <c r="D3315" s="11">
        <v>263.14288000000005</v>
      </c>
      <c r="E3315" s="27">
        <f t="shared" si="247"/>
        <v>292.93065401600006</v>
      </c>
      <c r="F3315" s="6">
        <f t="shared" si="248"/>
        <v>380.80985022080012</v>
      </c>
      <c r="G3315" s="7">
        <f t="shared" si="249"/>
        <v>410.10291562240008</v>
      </c>
      <c r="H3315" s="8">
        <f t="shared" si="250"/>
        <v>439.39598102400009</v>
      </c>
      <c r="I3315" s="9">
        <f t="shared" si="251"/>
        <v>468.68904642560011</v>
      </c>
    </row>
    <row r="3316" spans="1:9" x14ac:dyDescent="0.35">
      <c r="A3316" s="24" t="s">
        <v>6385</v>
      </c>
      <c r="B3316" s="24" t="s">
        <v>6386</v>
      </c>
      <c r="C3316" s="20">
        <v>45577</v>
      </c>
      <c r="D3316" s="11">
        <v>242.52800000000002</v>
      </c>
      <c r="E3316" s="27">
        <f t="shared" si="247"/>
        <v>269.98216960000002</v>
      </c>
      <c r="F3316" s="6">
        <f t="shared" si="248"/>
        <v>350.97682048000001</v>
      </c>
      <c r="G3316" s="7">
        <f t="shared" si="249"/>
        <v>377.97503743999999</v>
      </c>
      <c r="H3316" s="8">
        <f t="shared" si="250"/>
        <v>404.97325440000003</v>
      </c>
      <c r="I3316" s="9">
        <f t="shared" si="251"/>
        <v>431.97147136000007</v>
      </c>
    </row>
    <row r="3317" spans="1:9" x14ac:dyDescent="0.35">
      <c r="A3317" s="24" t="s">
        <v>6387</v>
      </c>
      <c r="B3317" s="24" t="s">
        <v>6401</v>
      </c>
      <c r="C3317" s="20">
        <v>45577</v>
      </c>
      <c r="D3317" s="11">
        <v>286.83600000000001</v>
      </c>
      <c r="E3317" s="27">
        <f t="shared" si="247"/>
        <v>319.30583520000005</v>
      </c>
      <c r="F3317" s="6">
        <f t="shared" si="248"/>
        <v>415.09758576000007</v>
      </c>
      <c r="G3317" s="7">
        <f t="shared" si="249"/>
        <v>447.02816928000004</v>
      </c>
      <c r="H3317" s="8">
        <f t="shared" si="250"/>
        <v>478.95875280000007</v>
      </c>
      <c r="I3317" s="9">
        <f t="shared" si="251"/>
        <v>510.8893363200001</v>
      </c>
    </row>
    <row r="3318" spans="1:9" x14ac:dyDescent="0.35">
      <c r="A3318" s="24" t="s">
        <v>6388</v>
      </c>
      <c r="B3318" s="24" t="s">
        <v>6402</v>
      </c>
      <c r="C3318" s="20">
        <v>45577</v>
      </c>
      <c r="D3318" s="11">
        <v>194.48880000000003</v>
      </c>
      <c r="E3318" s="27">
        <f t="shared" si="247"/>
        <v>216.50493216000004</v>
      </c>
      <c r="F3318" s="6">
        <f t="shared" si="248"/>
        <v>281.45641180800004</v>
      </c>
      <c r="G3318" s="7">
        <f t="shared" si="249"/>
        <v>303.10690502400001</v>
      </c>
      <c r="H3318" s="8">
        <f t="shared" si="250"/>
        <v>324.75739824000004</v>
      </c>
      <c r="I3318" s="9">
        <f t="shared" si="251"/>
        <v>346.40789145600007</v>
      </c>
    </row>
    <row r="3319" spans="1:9" x14ac:dyDescent="0.35">
      <c r="A3319" s="24" t="s">
        <v>6389</v>
      </c>
      <c r="B3319" s="24" t="s">
        <v>6403</v>
      </c>
      <c r="C3319" s="20">
        <v>45577</v>
      </c>
      <c r="D3319" s="11">
        <v>276.45859999999999</v>
      </c>
      <c r="E3319" s="27">
        <f t="shared" si="247"/>
        <v>307.75371352000002</v>
      </c>
      <c r="F3319" s="6">
        <f t="shared" si="248"/>
        <v>400.07982757600001</v>
      </c>
      <c r="G3319" s="7">
        <f t="shared" si="249"/>
        <v>430.85519892799999</v>
      </c>
      <c r="H3319" s="8">
        <f t="shared" si="250"/>
        <v>461.63057028000003</v>
      </c>
      <c r="I3319" s="9">
        <f t="shared" si="251"/>
        <v>492.40594163200007</v>
      </c>
    </row>
    <row r="3320" spans="1:9" x14ac:dyDescent="0.35">
      <c r="A3320" s="24" t="s">
        <v>6390</v>
      </c>
      <c r="B3320" s="24" t="s">
        <v>6404</v>
      </c>
      <c r="C3320" s="20">
        <v>45577</v>
      </c>
      <c r="D3320" s="11">
        <v>556.88160000000005</v>
      </c>
      <c r="E3320" s="27">
        <f t="shared" si="247"/>
        <v>619.92059712000002</v>
      </c>
      <c r="F3320" s="6">
        <f t="shared" si="248"/>
        <v>805.89677625600007</v>
      </c>
      <c r="G3320" s="7">
        <f t="shared" si="249"/>
        <v>867.88883596799997</v>
      </c>
      <c r="H3320" s="8">
        <f t="shared" si="250"/>
        <v>929.88089568000009</v>
      </c>
      <c r="I3320" s="9">
        <f t="shared" si="251"/>
        <v>991.87295539200011</v>
      </c>
    </row>
    <row r="3321" spans="1:9" x14ac:dyDescent="0.35">
      <c r="A3321" s="24" t="s">
        <v>6391</v>
      </c>
      <c r="B3321" s="24" t="s">
        <v>6405</v>
      </c>
      <c r="C3321" s="20">
        <v>45577</v>
      </c>
      <c r="D3321" s="11">
        <v>250.80660000000003</v>
      </c>
      <c r="E3321" s="27">
        <f t="shared" si="247"/>
        <v>279.19790712000002</v>
      </c>
      <c r="F3321" s="6">
        <f t="shared" si="248"/>
        <v>362.95727925600005</v>
      </c>
      <c r="G3321" s="7">
        <f t="shared" si="249"/>
        <v>390.877069968</v>
      </c>
      <c r="H3321" s="8">
        <f t="shared" si="250"/>
        <v>418.79686068000001</v>
      </c>
      <c r="I3321" s="9">
        <f t="shared" si="251"/>
        <v>446.71665139200007</v>
      </c>
    </row>
    <row r="3322" spans="1:9" x14ac:dyDescent="0.35">
      <c r="A3322" s="24" t="s">
        <v>6392</v>
      </c>
      <c r="B3322" s="24" t="s">
        <v>6406</v>
      </c>
      <c r="C3322" s="20">
        <v>45577</v>
      </c>
      <c r="D3322" s="11">
        <v>355.97980000000007</v>
      </c>
      <c r="E3322" s="27">
        <f t="shared" si="247"/>
        <v>396.27671336000009</v>
      </c>
      <c r="F3322" s="6">
        <f t="shared" si="248"/>
        <v>515.15972736800018</v>
      </c>
      <c r="G3322" s="7">
        <f t="shared" si="249"/>
        <v>554.78739870400011</v>
      </c>
      <c r="H3322" s="8">
        <f t="shared" si="250"/>
        <v>594.41507004000016</v>
      </c>
      <c r="I3322" s="9">
        <f t="shared" si="251"/>
        <v>634.04274137600021</v>
      </c>
    </row>
    <row r="3323" spans="1:9" x14ac:dyDescent="0.35">
      <c r="A3323" s="24" t="s">
        <v>6393</v>
      </c>
      <c r="B3323" s="24" t="s">
        <v>6407</v>
      </c>
      <c r="C3323" s="20">
        <v>45577</v>
      </c>
      <c r="D3323" s="11">
        <v>374.05280000000005</v>
      </c>
      <c r="E3323" s="27">
        <f t="shared" si="247"/>
        <v>416.39557696000003</v>
      </c>
      <c r="F3323" s="6">
        <f t="shared" si="248"/>
        <v>541.31425004800008</v>
      </c>
      <c r="G3323" s="7">
        <f t="shared" si="249"/>
        <v>582.95380774399996</v>
      </c>
      <c r="H3323" s="8">
        <f t="shared" si="250"/>
        <v>624.59336544000007</v>
      </c>
      <c r="I3323" s="9">
        <f t="shared" si="251"/>
        <v>666.23292313600007</v>
      </c>
    </row>
    <row r="3324" spans="1:9" x14ac:dyDescent="0.35">
      <c r="A3324" s="24" t="s">
        <v>6394</v>
      </c>
      <c r="B3324" s="24" t="s">
        <v>6408</v>
      </c>
      <c r="C3324" s="20">
        <v>45577</v>
      </c>
      <c r="D3324" s="11">
        <v>240.77900000000002</v>
      </c>
      <c r="E3324" s="27">
        <f t="shared" si="247"/>
        <v>268.03518280000003</v>
      </c>
      <c r="F3324" s="6">
        <f t="shared" si="248"/>
        <v>348.44573764000006</v>
      </c>
      <c r="G3324" s="7">
        <f t="shared" si="249"/>
        <v>375.24925592</v>
      </c>
      <c r="H3324" s="8">
        <f t="shared" si="250"/>
        <v>402.05277420000004</v>
      </c>
      <c r="I3324" s="9">
        <f t="shared" si="251"/>
        <v>428.85629248000009</v>
      </c>
    </row>
    <row r="3325" spans="1:9" x14ac:dyDescent="0.35">
      <c r="A3325" s="24" t="s">
        <v>6395</v>
      </c>
      <c r="B3325" s="24" t="s">
        <v>6409</v>
      </c>
      <c r="C3325" s="20">
        <v>45577</v>
      </c>
      <c r="D3325" s="11">
        <v>301.17780000000005</v>
      </c>
      <c r="E3325" s="27">
        <f t="shared" si="247"/>
        <v>335.27112696000006</v>
      </c>
      <c r="F3325" s="6">
        <f t="shared" si="248"/>
        <v>435.85246504800011</v>
      </c>
      <c r="G3325" s="7">
        <f t="shared" si="249"/>
        <v>469.37957774400007</v>
      </c>
      <c r="H3325" s="8">
        <f t="shared" si="250"/>
        <v>502.90669044000009</v>
      </c>
      <c r="I3325" s="9">
        <f t="shared" si="251"/>
        <v>536.43380313600017</v>
      </c>
    </row>
    <row r="3326" spans="1:9" x14ac:dyDescent="0.35">
      <c r="A3326" s="24" t="s">
        <v>6396</v>
      </c>
      <c r="B3326" s="24" t="s">
        <v>6410</v>
      </c>
      <c r="C3326" s="20">
        <v>45577</v>
      </c>
      <c r="D3326" s="11">
        <v>327.17960000000005</v>
      </c>
      <c r="E3326" s="27">
        <f t="shared" si="247"/>
        <v>364.21633072000009</v>
      </c>
      <c r="F3326" s="6">
        <f t="shared" si="248"/>
        <v>473.48122993600015</v>
      </c>
      <c r="G3326" s="7">
        <f t="shared" si="249"/>
        <v>509.90286300800011</v>
      </c>
      <c r="H3326" s="8">
        <f t="shared" si="250"/>
        <v>546.32449608000013</v>
      </c>
      <c r="I3326" s="9">
        <f t="shared" si="251"/>
        <v>582.74612915200021</v>
      </c>
    </row>
    <row r="3327" spans="1:9" x14ac:dyDescent="0.35">
      <c r="A3327" s="24" t="s">
        <v>6397</v>
      </c>
      <c r="B3327" s="24" t="s">
        <v>6411</v>
      </c>
      <c r="C3327" s="20">
        <v>45577</v>
      </c>
      <c r="D3327" s="11">
        <v>214.9521</v>
      </c>
      <c r="E3327" s="27">
        <f t="shared" si="247"/>
        <v>239.28467772000002</v>
      </c>
      <c r="F3327" s="6">
        <f t="shared" si="248"/>
        <v>311.07008103600003</v>
      </c>
      <c r="G3327" s="7">
        <f t="shared" si="249"/>
        <v>334.99854880800001</v>
      </c>
      <c r="H3327" s="8">
        <f t="shared" si="250"/>
        <v>358.92701658000004</v>
      </c>
      <c r="I3327" s="9">
        <f t="shared" si="251"/>
        <v>382.85548435200008</v>
      </c>
    </row>
    <row r="3328" spans="1:9" x14ac:dyDescent="0.35">
      <c r="A3328" s="24" t="s">
        <v>6398</v>
      </c>
      <c r="B3328" s="24" t="s">
        <v>6412</v>
      </c>
      <c r="C3328" s="20">
        <v>45577</v>
      </c>
      <c r="D3328" s="11">
        <v>310.85560000000004</v>
      </c>
      <c r="E3328" s="27">
        <f t="shared" si="247"/>
        <v>346.04445392000002</v>
      </c>
      <c r="F3328" s="6">
        <f t="shared" si="248"/>
        <v>449.85779009600003</v>
      </c>
      <c r="G3328" s="7">
        <f t="shared" si="249"/>
        <v>484.46223548799998</v>
      </c>
      <c r="H3328" s="8">
        <f t="shared" si="250"/>
        <v>519.06668088000004</v>
      </c>
      <c r="I3328" s="9">
        <f t="shared" si="251"/>
        <v>553.67112627200004</v>
      </c>
    </row>
    <row r="3329" spans="1:9" x14ac:dyDescent="0.35">
      <c r="A3329" s="24" t="s">
        <v>6399</v>
      </c>
      <c r="B3329" s="24" t="s">
        <v>6413</v>
      </c>
      <c r="C3329" s="20">
        <v>45577</v>
      </c>
      <c r="D3329" s="11">
        <v>430.13740000000007</v>
      </c>
      <c r="E3329" s="27">
        <f t="shared" si="247"/>
        <v>478.82895368000004</v>
      </c>
      <c r="F3329" s="6">
        <f t="shared" si="248"/>
        <v>622.47763978400008</v>
      </c>
      <c r="G3329" s="7">
        <f t="shared" si="249"/>
        <v>670.36053515200001</v>
      </c>
      <c r="H3329" s="8">
        <f t="shared" si="250"/>
        <v>718.24343052000006</v>
      </c>
      <c r="I3329" s="9">
        <f t="shared" si="251"/>
        <v>766.12632588800011</v>
      </c>
    </row>
    <row r="3330" spans="1:9" x14ac:dyDescent="0.35">
      <c r="A3330" s="24" t="s">
        <v>6400</v>
      </c>
      <c r="B3330" s="24" t="s">
        <v>6414</v>
      </c>
      <c r="C3330" s="20">
        <v>45577</v>
      </c>
      <c r="D3330" s="11">
        <v>513.27320000000009</v>
      </c>
      <c r="E3330" s="27">
        <f t="shared" si="247"/>
        <v>571.37572624000006</v>
      </c>
      <c r="F3330" s="6">
        <f t="shared" si="248"/>
        <v>742.78844411200009</v>
      </c>
      <c r="G3330" s="7">
        <f t="shared" si="249"/>
        <v>799.92601673600007</v>
      </c>
      <c r="H3330" s="8">
        <f t="shared" si="250"/>
        <v>857.06358936000015</v>
      </c>
      <c r="I3330" s="9">
        <f t="shared" si="251"/>
        <v>914.20116198400012</v>
      </c>
    </row>
    <row r="3331" spans="1:9" ht="15.75" customHeight="1" x14ac:dyDescent="0.4">
      <c r="B3331" s="19" t="s">
        <v>6109</v>
      </c>
      <c r="D3331" s="11">
        <v>0</v>
      </c>
      <c r="E3331" s="27">
        <f t="shared" si="247"/>
        <v>0</v>
      </c>
      <c r="F3331" s="6">
        <f t="shared" si="248"/>
        <v>0</v>
      </c>
      <c r="G3331" s="7">
        <f t="shared" si="249"/>
        <v>0</v>
      </c>
      <c r="H3331" s="8">
        <f t="shared" si="250"/>
        <v>0</v>
      </c>
      <c r="I3331" s="9">
        <f t="shared" si="251"/>
        <v>0</v>
      </c>
    </row>
    <row r="3332" spans="1:9" x14ac:dyDescent="0.35">
      <c r="A3332" s="18" t="s">
        <v>1290</v>
      </c>
      <c r="B3332" s="18" t="s">
        <v>2419</v>
      </c>
      <c r="C3332" s="20">
        <v>45698</v>
      </c>
      <c r="D3332" s="11">
        <v>51.547484872435611</v>
      </c>
      <c r="E3332" s="27">
        <f t="shared" si="247"/>
        <v>57.382660159995325</v>
      </c>
      <c r="F3332" s="6">
        <f t="shared" si="248"/>
        <v>74.597458207993924</v>
      </c>
      <c r="G3332" s="7">
        <f t="shared" si="249"/>
        <v>80.335724223993452</v>
      </c>
      <c r="H3332" s="8">
        <f t="shared" si="250"/>
        <v>86.07399023999298</v>
      </c>
      <c r="I3332" s="9">
        <f t="shared" si="251"/>
        <v>91.812256255992523</v>
      </c>
    </row>
    <row r="3333" spans="1:9" x14ac:dyDescent="0.35">
      <c r="A3333" s="18" t="s">
        <v>1291</v>
      </c>
      <c r="B3333" s="24" t="s">
        <v>2420</v>
      </c>
      <c r="C3333" s="20">
        <v>45698</v>
      </c>
      <c r="D3333" s="11">
        <v>65.675314059695722</v>
      </c>
      <c r="E3333" s="27">
        <f t="shared" si="247"/>
        <v>73.109759611253281</v>
      </c>
      <c r="F3333" s="6">
        <f t="shared" si="248"/>
        <v>95.042687494629263</v>
      </c>
      <c r="G3333" s="7">
        <f t="shared" si="249"/>
        <v>102.35366345575459</v>
      </c>
      <c r="H3333" s="8">
        <f t="shared" si="250"/>
        <v>109.66463941687992</v>
      </c>
      <c r="I3333" s="9">
        <f t="shared" si="251"/>
        <v>116.97561537800526</v>
      </c>
    </row>
    <row r="3334" spans="1:9" x14ac:dyDescent="0.35">
      <c r="A3334" s="18" t="s">
        <v>1292</v>
      </c>
      <c r="B3334" s="18" t="s">
        <v>2421</v>
      </c>
      <c r="C3334" s="20">
        <v>45698</v>
      </c>
      <c r="D3334" s="11">
        <v>64.953271838844515</v>
      </c>
      <c r="E3334" s="27">
        <f t="shared" si="247"/>
        <v>72.305982211001705</v>
      </c>
      <c r="F3334" s="6">
        <f t="shared" si="248"/>
        <v>93.997776874302218</v>
      </c>
      <c r="G3334" s="7">
        <f t="shared" si="249"/>
        <v>101.22837509540238</v>
      </c>
      <c r="H3334" s="8">
        <f t="shared" si="250"/>
        <v>108.45897331650255</v>
      </c>
      <c r="I3334" s="9">
        <f t="shared" si="251"/>
        <v>115.68957153760273</v>
      </c>
    </row>
    <row r="3335" spans="1:9" x14ac:dyDescent="0.35">
      <c r="A3335" s="18" t="s">
        <v>1293</v>
      </c>
      <c r="B3335" s="18" t="s">
        <v>2422</v>
      </c>
      <c r="C3335" s="20">
        <v>45698</v>
      </c>
      <c r="D3335" s="11">
        <v>72.548312042687144</v>
      </c>
      <c r="E3335" s="27">
        <f t="shared" si="247"/>
        <v>80.760780965919324</v>
      </c>
      <c r="F3335" s="6">
        <f t="shared" si="248"/>
        <v>104.98901525569512</v>
      </c>
      <c r="G3335" s="7">
        <f t="shared" si="249"/>
        <v>113.06509335228705</v>
      </c>
      <c r="H3335" s="8">
        <f t="shared" si="250"/>
        <v>121.14117144887899</v>
      </c>
      <c r="I3335" s="9">
        <f t="shared" si="251"/>
        <v>129.21724954547093</v>
      </c>
    </row>
    <row r="3336" spans="1:9" ht="18" x14ac:dyDescent="0.4">
      <c r="B3336" s="19" t="s">
        <v>419</v>
      </c>
      <c r="D3336" s="11">
        <v>0</v>
      </c>
      <c r="E3336" s="27">
        <f t="shared" si="247"/>
        <v>0</v>
      </c>
      <c r="F3336" s="6">
        <f t="shared" si="248"/>
        <v>0</v>
      </c>
      <c r="G3336" s="7">
        <f t="shared" si="249"/>
        <v>0</v>
      </c>
      <c r="H3336" s="8">
        <f t="shared" si="250"/>
        <v>0</v>
      </c>
      <c r="I3336" s="9">
        <f t="shared" si="251"/>
        <v>0</v>
      </c>
    </row>
    <row r="3337" spans="1:9" x14ac:dyDescent="0.35">
      <c r="A3337" s="18" t="s">
        <v>420</v>
      </c>
      <c r="B3337" s="18" t="s">
        <v>5427</v>
      </c>
      <c r="C3337" s="20">
        <v>45629</v>
      </c>
      <c r="D3337" s="11">
        <v>9913.5712000000003</v>
      </c>
      <c r="E3337" s="27">
        <f t="shared" si="247"/>
        <v>11035.787459840001</v>
      </c>
      <c r="F3337" s="6">
        <f t="shared" si="248"/>
        <v>14346.523697792001</v>
      </c>
      <c r="G3337" s="7">
        <f t="shared" si="249"/>
        <v>15450.102443776001</v>
      </c>
      <c r="H3337" s="8">
        <f t="shared" si="250"/>
        <v>16553.681189760002</v>
      </c>
      <c r="I3337" s="9">
        <f t="shared" si="251"/>
        <v>17657.259935744001</v>
      </c>
    </row>
    <row r="3338" spans="1:9" x14ac:dyDescent="0.35">
      <c r="A3338" s="18" t="s">
        <v>5428</v>
      </c>
      <c r="B3338" s="18" t="s">
        <v>5429</v>
      </c>
      <c r="C3338" s="20">
        <v>45629</v>
      </c>
      <c r="D3338" s="11">
        <v>13823.16</v>
      </c>
      <c r="E3338" s="27">
        <f t="shared" si="247"/>
        <v>15387.941712000002</v>
      </c>
      <c r="F3338" s="6">
        <f t="shared" si="248"/>
        <v>20004.324225600001</v>
      </c>
      <c r="G3338" s="7">
        <f t="shared" si="249"/>
        <v>21543.1183968</v>
      </c>
      <c r="H3338" s="8">
        <f t="shared" si="250"/>
        <v>23081.912568000003</v>
      </c>
      <c r="I3338" s="9">
        <f t="shared" si="251"/>
        <v>24620.706739200003</v>
      </c>
    </row>
    <row r="3339" spans="1:9" x14ac:dyDescent="0.35">
      <c r="A3339" s="18" t="s">
        <v>421</v>
      </c>
      <c r="B3339" s="18" t="s">
        <v>422</v>
      </c>
      <c r="C3339" s="20">
        <v>45629</v>
      </c>
      <c r="D3339" s="11">
        <v>10780.156986278351</v>
      </c>
      <c r="E3339" s="27">
        <f t="shared" si="247"/>
        <v>12000.47075712506</v>
      </c>
      <c r="F3339" s="6">
        <f t="shared" si="248"/>
        <v>15600.611984262579</v>
      </c>
      <c r="G3339" s="7">
        <f t="shared" si="249"/>
        <v>16800.659059975082</v>
      </c>
      <c r="H3339" s="8">
        <f t="shared" si="250"/>
        <v>18000.706135687589</v>
      </c>
      <c r="I3339" s="9">
        <f t="shared" si="251"/>
        <v>19200.753211400097</v>
      </c>
    </row>
    <row r="3340" spans="1:9" ht="15.75" customHeight="1" x14ac:dyDescent="0.4">
      <c r="B3340" s="19" t="s">
        <v>357</v>
      </c>
      <c r="D3340" s="11">
        <v>0</v>
      </c>
      <c r="E3340" s="27">
        <f t="shared" si="247"/>
        <v>0</v>
      </c>
      <c r="F3340" s="6">
        <f t="shared" si="248"/>
        <v>0</v>
      </c>
      <c r="G3340" s="7">
        <f t="shared" si="249"/>
        <v>0</v>
      </c>
      <c r="H3340" s="8">
        <f t="shared" si="250"/>
        <v>0</v>
      </c>
      <c r="I3340" s="9">
        <f t="shared" si="251"/>
        <v>0</v>
      </c>
    </row>
    <row r="3341" spans="1:9" x14ac:dyDescent="0.35">
      <c r="A3341" s="18" t="s">
        <v>1294</v>
      </c>
      <c r="B3341" s="18" t="s">
        <v>3115</v>
      </c>
      <c r="C3341" s="20">
        <v>45363</v>
      </c>
      <c r="D3341" s="11">
        <v>0</v>
      </c>
      <c r="E3341" s="27">
        <f t="shared" si="247"/>
        <v>0</v>
      </c>
      <c r="F3341" s="6">
        <f t="shared" si="248"/>
        <v>0</v>
      </c>
      <c r="G3341" s="7">
        <f t="shared" si="249"/>
        <v>0</v>
      </c>
      <c r="H3341" s="8">
        <f t="shared" si="250"/>
        <v>0</v>
      </c>
      <c r="I3341" s="9">
        <f t="shared" si="251"/>
        <v>0</v>
      </c>
    </row>
    <row r="3342" spans="1:9" x14ac:dyDescent="0.35">
      <c r="A3342" s="18" t="s">
        <v>1295</v>
      </c>
      <c r="B3342" s="18" t="s">
        <v>3116</v>
      </c>
      <c r="C3342" s="20">
        <v>45363</v>
      </c>
      <c r="D3342" s="11">
        <v>0</v>
      </c>
      <c r="E3342" s="27">
        <f t="shared" si="247"/>
        <v>0</v>
      </c>
      <c r="F3342" s="6">
        <f t="shared" si="248"/>
        <v>0</v>
      </c>
      <c r="G3342" s="7">
        <f t="shared" si="249"/>
        <v>0</v>
      </c>
      <c r="H3342" s="8">
        <f t="shared" si="250"/>
        <v>0</v>
      </c>
      <c r="I3342" s="9">
        <f t="shared" si="251"/>
        <v>0</v>
      </c>
    </row>
    <row r="3343" spans="1:9" ht="18" x14ac:dyDescent="0.4">
      <c r="B3343" s="19" t="s">
        <v>627</v>
      </c>
      <c r="D3343" s="11">
        <v>0</v>
      </c>
      <c r="E3343" s="27">
        <f t="shared" si="247"/>
        <v>0</v>
      </c>
      <c r="F3343" s="6">
        <f t="shared" si="248"/>
        <v>0</v>
      </c>
      <c r="G3343" s="7">
        <f t="shared" si="249"/>
        <v>0</v>
      </c>
      <c r="H3343" s="8">
        <f t="shared" si="250"/>
        <v>0</v>
      </c>
      <c r="I3343" s="9">
        <f t="shared" si="251"/>
        <v>0</v>
      </c>
    </row>
    <row r="3344" spans="1:9" x14ac:dyDescent="0.35">
      <c r="A3344" s="18" t="s">
        <v>628</v>
      </c>
      <c r="B3344" s="18" t="s">
        <v>5632</v>
      </c>
      <c r="C3344" s="20">
        <v>45483</v>
      </c>
      <c r="D3344" s="11">
        <v>2090.4870000000001</v>
      </c>
      <c r="E3344" s="27">
        <f t="shared" ref="E3344:E3410" si="252">D3344*1.21*0.92</f>
        <v>2327.1301284000001</v>
      </c>
      <c r="F3344" s="6">
        <f t="shared" si="248"/>
        <v>3025.2691669200003</v>
      </c>
      <c r="G3344" s="7">
        <f t="shared" si="249"/>
        <v>3257.9821797599998</v>
      </c>
      <c r="H3344" s="8">
        <f t="shared" si="250"/>
        <v>3490.6951926000002</v>
      </c>
      <c r="I3344" s="9">
        <f t="shared" si="251"/>
        <v>3723.4082054400005</v>
      </c>
    </row>
    <row r="3345" spans="1:9" x14ac:dyDescent="0.35">
      <c r="A3345" s="18" t="s">
        <v>5631</v>
      </c>
      <c r="B3345" s="18" t="s">
        <v>5633</v>
      </c>
      <c r="C3345" s="20">
        <v>45483</v>
      </c>
      <c r="D3345" s="11">
        <v>2510.7599999999998</v>
      </c>
      <c r="E3345" s="27">
        <f t="shared" si="252"/>
        <v>2794.978032</v>
      </c>
      <c r="F3345" s="6">
        <f t="shared" si="248"/>
        <v>3633.4714416000002</v>
      </c>
      <c r="G3345" s="7">
        <f t="shared" si="249"/>
        <v>3912.9692447999996</v>
      </c>
      <c r="H3345" s="8">
        <f t="shared" si="250"/>
        <v>4192.4670480000004</v>
      </c>
      <c r="I3345" s="9">
        <f t="shared" si="251"/>
        <v>4471.9648512000003</v>
      </c>
    </row>
    <row r="3346" spans="1:9" x14ac:dyDescent="0.35">
      <c r="A3346" s="18" t="s">
        <v>5702</v>
      </c>
      <c r="B3346" s="18" t="s">
        <v>5703</v>
      </c>
      <c r="C3346" s="20">
        <v>45483</v>
      </c>
      <c r="D3346" s="11">
        <v>2510.7599999999998</v>
      </c>
      <c r="E3346" s="27">
        <f t="shared" si="252"/>
        <v>2794.978032</v>
      </c>
      <c r="F3346" s="6">
        <f t="shared" si="248"/>
        <v>3633.4714416000002</v>
      </c>
      <c r="G3346" s="7">
        <f t="shared" si="249"/>
        <v>3912.9692447999996</v>
      </c>
      <c r="H3346" s="8">
        <f t="shared" si="250"/>
        <v>4192.4670480000004</v>
      </c>
      <c r="I3346" s="9">
        <f t="shared" si="251"/>
        <v>4471.9648512000003</v>
      </c>
    </row>
    <row r="3347" spans="1:9" ht="18" x14ac:dyDescent="0.4">
      <c r="B3347" s="19" t="s">
        <v>6719</v>
      </c>
      <c r="D3347" s="11">
        <v>0</v>
      </c>
      <c r="E3347" s="27">
        <f t="shared" si="252"/>
        <v>0</v>
      </c>
      <c r="F3347" s="6">
        <f t="shared" si="248"/>
        <v>0</v>
      </c>
      <c r="G3347" s="7">
        <f t="shared" si="249"/>
        <v>0</v>
      </c>
      <c r="H3347" s="8">
        <f t="shared" si="250"/>
        <v>0</v>
      </c>
      <c r="I3347" s="9">
        <f t="shared" si="251"/>
        <v>0</v>
      </c>
    </row>
    <row r="3348" spans="1:9" x14ac:dyDescent="0.35">
      <c r="A3348" s="18" t="s">
        <v>6720</v>
      </c>
      <c r="B3348" s="24" t="s">
        <v>6724</v>
      </c>
      <c r="C3348" s="20">
        <v>45621</v>
      </c>
      <c r="D3348" s="11">
        <v>1050</v>
      </c>
      <c r="E3348" s="27">
        <f t="shared" si="252"/>
        <v>1168.8600000000001</v>
      </c>
      <c r="F3348" s="6">
        <f t="shared" si="248"/>
        <v>1519.5180000000003</v>
      </c>
      <c r="G3348" s="7">
        <f t="shared" si="249"/>
        <v>1636.404</v>
      </c>
      <c r="H3348" s="8">
        <f t="shared" si="250"/>
        <v>1753.2900000000002</v>
      </c>
      <c r="I3348" s="9">
        <f t="shared" si="251"/>
        <v>1870.1760000000004</v>
      </c>
    </row>
    <row r="3349" spans="1:9" x14ac:dyDescent="0.35">
      <c r="A3349" s="18" t="s">
        <v>6721</v>
      </c>
      <c r="B3349" s="24" t="s">
        <v>6725</v>
      </c>
      <c r="C3349" s="20">
        <v>45621</v>
      </c>
      <c r="D3349" s="11">
        <v>1176</v>
      </c>
      <c r="E3349" s="27">
        <f t="shared" si="252"/>
        <v>1309.1232</v>
      </c>
      <c r="F3349" s="6">
        <f t="shared" si="248"/>
        <v>1701.86016</v>
      </c>
      <c r="G3349" s="7">
        <f t="shared" si="249"/>
        <v>1832.7724799999999</v>
      </c>
      <c r="H3349" s="8">
        <f t="shared" si="250"/>
        <v>1963.6848</v>
      </c>
      <c r="I3349" s="9">
        <f t="shared" si="251"/>
        <v>2094.5971199999999</v>
      </c>
    </row>
    <row r="3350" spans="1:9" x14ac:dyDescent="0.35">
      <c r="A3350" s="18" t="s">
        <v>6722</v>
      </c>
      <c r="B3350" s="24" t="s">
        <v>6726</v>
      </c>
      <c r="C3350" s="20">
        <v>45621</v>
      </c>
      <c r="D3350" s="11">
        <v>1302</v>
      </c>
      <c r="E3350" s="27">
        <f t="shared" si="252"/>
        <v>1449.3863999999999</v>
      </c>
      <c r="F3350" s="6">
        <f t="shared" si="248"/>
        <v>1884.2023199999999</v>
      </c>
      <c r="G3350" s="7">
        <f t="shared" si="249"/>
        <v>2029.1409599999997</v>
      </c>
      <c r="H3350" s="8">
        <f t="shared" si="250"/>
        <v>2174.0796</v>
      </c>
      <c r="I3350" s="9">
        <f t="shared" si="251"/>
        <v>2319.0182399999999</v>
      </c>
    </row>
    <row r="3351" spans="1:9" x14ac:dyDescent="0.35">
      <c r="A3351" s="18" t="s">
        <v>6723</v>
      </c>
      <c r="B3351" s="24" t="s">
        <v>6727</v>
      </c>
      <c r="C3351" s="20">
        <v>45621</v>
      </c>
      <c r="D3351" s="11">
        <v>13500</v>
      </c>
      <c r="E3351" s="27">
        <f t="shared" si="252"/>
        <v>15028.2</v>
      </c>
      <c r="F3351" s="6">
        <f t="shared" si="248"/>
        <v>19536.66</v>
      </c>
      <c r="G3351" s="7">
        <f t="shared" si="249"/>
        <v>21039.48</v>
      </c>
      <c r="H3351" s="8">
        <f t="shared" si="250"/>
        <v>22542.300000000003</v>
      </c>
      <c r="I3351" s="9">
        <f t="shared" si="251"/>
        <v>24045.120000000003</v>
      </c>
    </row>
    <row r="3352" spans="1:9" x14ac:dyDescent="0.35">
      <c r="A3352" s="18" t="s">
        <v>6771</v>
      </c>
      <c r="B3352" s="24" t="s">
        <v>6772</v>
      </c>
      <c r="C3352" s="20">
        <v>45710</v>
      </c>
      <c r="D3352" s="11">
        <v>15795</v>
      </c>
      <c r="E3352" s="27">
        <f t="shared" si="252"/>
        <v>17582.994000000002</v>
      </c>
      <c r="F3352" s="6">
        <f t="shared" si="248"/>
        <v>22857.892200000006</v>
      </c>
      <c r="G3352" s="7">
        <f t="shared" si="249"/>
        <v>24616.191600000002</v>
      </c>
      <c r="H3352" s="8">
        <f t="shared" si="250"/>
        <v>26374.491000000002</v>
      </c>
      <c r="I3352" s="9">
        <f t="shared" si="251"/>
        <v>28132.790400000005</v>
      </c>
    </row>
    <row r="3353" spans="1:9" x14ac:dyDescent="0.35">
      <c r="A3353" s="18" t="s">
        <v>6773</v>
      </c>
      <c r="B3353" s="24" t="s">
        <v>6774</v>
      </c>
      <c r="C3353" s="20">
        <v>45710</v>
      </c>
      <c r="D3353" s="11">
        <v>27378</v>
      </c>
      <c r="E3353" s="27">
        <f t="shared" si="252"/>
        <v>30477.189599999998</v>
      </c>
      <c r="F3353" s="6">
        <f t="shared" si="248"/>
        <v>39620.34648</v>
      </c>
      <c r="G3353" s="7">
        <f t="shared" si="249"/>
        <v>42668.065439999991</v>
      </c>
      <c r="H3353" s="8">
        <f t="shared" si="250"/>
        <v>45715.784399999997</v>
      </c>
      <c r="I3353" s="9">
        <f t="shared" si="251"/>
        <v>48763.503360000002</v>
      </c>
    </row>
    <row r="3354" spans="1:9" x14ac:dyDescent="0.35">
      <c r="A3354" s="18" t="s">
        <v>6775</v>
      </c>
      <c r="B3354" s="24" t="s">
        <v>6776</v>
      </c>
      <c r="C3354" s="20">
        <v>45710</v>
      </c>
      <c r="D3354" s="11">
        <v>24705</v>
      </c>
      <c r="E3354" s="27">
        <f t="shared" si="252"/>
        <v>27501.606</v>
      </c>
      <c r="F3354" s="6">
        <f t="shared" si="248"/>
        <v>35752.087800000001</v>
      </c>
      <c r="G3354" s="7">
        <f t="shared" si="249"/>
        <v>38502.248399999997</v>
      </c>
      <c r="H3354" s="8">
        <f t="shared" si="250"/>
        <v>41252.409</v>
      </c>
      <c r="I3354" s="9">
        <f t="shared" si="251"/>
        <v>44002.569600000003</v>
      </c>
    </row>
    <row r="3355" spans="1:9" ht="18" x14ac:dyDescent="0.4">
      <c r="B3355" s="19" t="s">
        <v>6212</v>
      </c>
      <c r="D3355" s="11">
        <v>0</v>
      </c>
      <c r="E3355" s="27">
        <f t="shared" si="252"/>
        <v>0</v>
      </c>
      <c r="F3355" s="6">
        <f t="shared" si="248"/>
        <v>0</v>
      </c>
      <c r="G3355" s="7">
        <f t="shared" si="249"/>
        <v>0</v>
      </c>
      <c r="H3355" s="8">
        <f t="shared" si="250"/>
        <v>0</v>
      </c>
      <c r="I3355" s="9">
        <f t="shared" si="251"/>
        <v>0</v>
      </c>
    </row>
    <row r="3356" spans="1:9" x14ac:dyDescent="0.35">
      <c r="A3356" s="18" t="s">
        <v>6213</v>
      </c>
      <c r="B3356" s="24" t="s">
        <v>6214</v>
      </c>
      <c r="C3356" s="20">
        <v>45434</v>
      </c>
      <c r="D3356" s="11">
        <v>998.46000000000015</v>
      </c>
      <c r="E3356" s="27">
        <f t="shared" si="252"/>
        <v>1111.485672</v>
      </c>
      <c r="F3356" s="6">
        <f t="shared" si="248"/>
        <v>1444.9313736000001</v>
      </c>
      <c r="G3356" s="7">
        <f t="shared" si="249"/>
        <v>1556.0799408</v>
      </c>
      <c r="H3356" s="8">
        <f t="shared" si="250"/>
        <v>1667.2285080000001</v>
      </c>
      <c r="I3356" s="9">
        <f t="shared" si="251"/>
        <v>1778.3770752</v>
      </c>
    </row>
    <row r="3357" spans="1:9" x14ac:dyDescent="0.35">
      <c r="A3357" s="18" t="s">
        <v>6220</v>
      </c>
      <c r="B3357" s="24" t="s">
        <v>6215</v>
      </c>
      <c r="C3357" s="20">
        <v>45434</v>
      </c>
      <c r="D3357" s="11">
        <v>1110.78</v>
      </c>
      <c r="E3357" s="27">
        <f t="shared" si="252"/>
        <v>1236.5202959999999</v>
      </c>
      <c r="F3357" s="6">
        <f t="shared" si="248"/>
        <v>1607.4763848</v>
      </c>
      <c r="G3357" s="7">
        <f t="shared" si="249"/>
        <v>1731.1284143999999</v>
      </c>
      <c r="H3357" s="8">
        <f t="shared" si="250"/>
        <v>1854.780444</v>
      </c>
      <c r="I3357" s="9">
        <f t="shared" si="251"/>
        <v>1978.4324735999999</v>
      </c>
    </row>
    <row r="3358" spans="1:9" x14ac:dyDescent="0.35">
      <c r="A3358" s="18" t="s">
        <v>6221</v>
      </c>
      <c r="B3358" s="24" t="s">
        <v>6216</v>
      </c>
      <c r="C3358" s="20">
        <v>45434</v>
      </c>
      <c r="D3358" s="11">
        <v>1267.4745</v>
      </c>
      <c r="E3358" s="27">
        <f t="shared" si="252"/>
        <v>1410.9526134</v>
      </c>
      <c r="F3358" s="6">
        <f t="shared" si="248"/>
        <v>1834.2383974200002</v>
      </c>
      <c r="G3358" s="7">
        <f t="shared" si="249"/>
        <v>1975.3336587599999</v>
      </c>
      <c r="H3358" s="8">
        <f t="shared" si="250"/>
        <v>2116.4289201000001</v>
      </c>
      <c r="I3358" s="9">
        <f t="shared" si="251"/>
        <v>2257.5241814400001</v>
      </c>
    </row>
    <row r="3359" spans="1:9" x14ac:dyDescent="0.35">
      <c r="A3359" s="18" t="s">
        <v>6222</v>
      </c>
      <c r="B3359" s="24" t="s">
        <v>6217</v>
      </c>
      <c r="C3359" s="20">
        <v>45434</v>
      </c>
      <c r="D3359" s="11">
        <v>1416.7170000000001</v>
      </c>
      <c r="E3359" s="27">
        <f t="shared" si="252"/>
        <v>1577.0893644</v>
      </c>
      <c r="F3359" s="6">
        <f t="shared" si="248"/>
        <v>2050.2161737199999</v>
      </c>
      <c r="G3359" s="7">
        <f t="shared" si="249"/>
        <v>2207.9251101599998</v>
      </c>
      <c r="H3359" s="8">
        <f t="shared" si="250"/>
        <v>2365.6340466000001</v>
      </c>
      <c r="I3359" s="9">
        <f t="shared" si="251"/>
        <v>2523.34298304</v>
      </c>
    </row>
    <row r="3360" spans="1:9" x14ac:dyDescent="0.35">
      <c r="A3360" s="18" t="s">
        <v>6223</v>
      </c>
      <c r="B3360" s="24" t="s">
        <v>6218</v>
      </c>
      <c r="C3360" s="20">
        <v>45434</v>
      </c>
      <c r="D3360" s="11">
        <v>2288.6955000000003</v>
      </c>
      <c r="E3360" s="27">
        <f t="shared" si="252"/>
        <v>2547.7758306000005</v>
      </c>
      <c r="F3360" s="6">
        <f t="shared" si="248"/>
        <v>3312.1085797800006</v>
      </c>
      <c r="G3360" s="7">
        <f t="shared" si="249"/>
        <v>3566.8861628400005</v>
      </c>
      <c r="H3360" s="8">
        <f t="shared" si="250"/>
        <v>3821.6637459000008</v>
      </c>
      <c r="I3360" s="9">
        <f t="shared" si="251"/>
        <v>4076.4413289600011</v>
      </c>
    </row>
    <row r="3361" spans="1:9" x14ac:dyDescent="0.35">
      <c r="A3361" s="18" t="s">
        <v>6224</v>
      </c>
      <c r="B3361" s="24" t="s">
        <v>6219</v>
      </c>
      <c r="C3361" s="20">
        <v>45434</v>
      </c>
      <c r="D3361" s="11">
        <v>2505.654</v>
      </c>
      <c r="E3361" s="27">
        <f t="shared" si="252"/>
        <v>2789.2940328</v>
      </c>
      <c r="F3361" s="6">
        <f t="shared" si="248"/>
        <v>3626.08224264</v>
      </c>
      <c r="G3361" s="7">
        <f t="shared" si="249"/>
        <v>3905.0116459199999</v>
      </c>
      <c r="H3361" s="8">
        <f t="shared" si="250"/>
        <v>4183.9410491999997</v>
      </c>
      <c r="I3361" s="9">
        <f t="shared" si="251"/>
        <v>4462.8704524800005</v>
      </c>
    </row>
    <row r="3362" spans="1:9" x14ac:dyDescent="0.35">
      <c r="A3362" s="18" t="s">
        <v>6233</v>
      </c>
      <c r="B3362" s="24" t="s">
        <v>6226</v>
      </c>
      <c r="C3362" s="20">
        <v>45434</v>
      </c>
      <c r="D3362" s="11">
        <v>4044.87</v>
      </c>
      <c r="E3362" s="27">
        <f t="shared" si="252"/>
        <v>4502.7492840000004</v>
      </c>
      <c r="F3362" s="6">
        <f t="shared" si="248"/>
        <v>5853.5740692000008</v>
      </c>
      <c r="G3362" s="7">
        <f t="shared" si="249"/>
        <v>6303.8489976000001</v>
      </c>
      <c r="H3362" s="8">
        <f t="shared" si="250"/>
        <v>6754.1239260000002</v>
      </c>
      <c r="I3362" s="9">
        <f t="shared" si="251"/>
        <v>7204.3988544000013</v>
      </c>
    </row>
    <row r="3363" spans="1:9" x14ac:dyDescent="0.35">
      <c r="A3363" s="18" t="s">
        <v>6234</v>
      </c>
      <c r="B3363" s="24" t="s">
        <v>6227</v>
      </c>
      <c r="C3363" s="20">
        <v>45434</v>
      </c>
      <c r="D3363" s="11">
        <v>4044.87</v>
      </c>
      <c r="E3363" s="27">
        <f t="shared" si="252"/>
        <v>4502.7492840000004</v>
      </c>
      <c r="F3363" s="6">
        <f t="shared" si="248"/>
        <v>5853.5740692000008</v>
      </c>
      <c r="G3363" s="7">
        <f t="shared" si="249"/>
        <v>6303.8489976000001</v>
      </c>
      <c r="H3363" s="8">
        <f t="shared" si="250"/>
        <v>6754.1239260000002</v>
      </c>
      <c r="I3363" s="9">
        <f t="shared" si="251"/>
        <v>7204.3988544000013</v>
      </c>
    </row>
    <row r="3364" spans="1:9" x14ac:dyDescent="0.35">
      <c r="A3364" s="18" t="s">
        <v>6235</v>
      </c>
      <c r="B3364" s="24" t="s">
        <v>6225</v>
      </c>
      <c r="C3364" s="20">
        <v>45434</v>
      </c>
      <c r="D3364" s="11">
        <v>4044.87</v>
      </c>
      <c r="E3364" s="27">
        <f t="shared" si="252"/>
        <v>4502.7492840000004</v>
      </c>
      <c r="F3364" s="6">
        <f t="shared" si="248"/>
        <v>5853.5740692000008</v>
      </c>
      <c r="G3364" s="7">
        <f t="shared" si="249"/>
        <v>6303.8489976000001</v>
      </c>
      <c r="H3364" s="8">
        <f t="shared" si="250"/>
        <v>6754.1239260000002</v>
      </c>
      <c r="I3364" s="9">
        <f t="shared" si="251"/>
        <v>7204.3988544000013</v>
      </c>
    </row>
    <row r="3365" spans="1:9" x14ac:dyDescent="0.35">
      <c r="A3365" s="18" t="s">
        <v>6236</v>
      </c>
      <c r="B3365" s="24" t="s">
        <v>6228</v>
      </c>
      <c r="C3365" s="20">
        <v>45434</v>
      </c>
      <c r="D3365" s="11">
        <v>4044.87</v>
      </c>
      <c r="E3365" s="27">
        <f t="shared" si="252"/>
        <v>4502.7492840000004</v>
      </c>
      <c r="F3365" s="6">
        <f t="shared" si="248"/>
        <v>5853.5740692000008</v>
      </c>
      <c r="G3365" s="7">
        <f t="shared" si="249"/>
        <v>6303.8489976000001</v>
      </c>
      <c r="H3365" s="8">
        <f t="shared" si="250"/>
        <v>6754.1239260000002</v>
      </c>
      <c r="I3365" s="9">
        <f t="shared" si="251"/>
        <v>7204.3988544000013</v>
      </c>
    </row>
    <row r="3366" spans="1:9" x14ac:dyDescent="0.35">
      <c r="A3366" s="18" t="s">
        <v>6237</v>
      </c>
      <c r="B3366" s="24" t="s">
        <v>6229</v>
      </c>
      <c r="C3366" s="20">
        <v>45434</v>
      </c>
      <c r="D3366" s="11">
        <v>6040.3050000000003</v>
      </c>
      <c r="E3366" s="27">
        <f t="shared" si="252"/>
        <v>6724.0675259999998</v>
      </c>
      <c r="F3366" s="6">
        <f t="shared" si="248"/>
        <v>8741.2877838000004</v>
      </c>
      <c r="G3366" s="7">
        <f t="shared" si="249"/>
        <v>9413.6945363999985</v>
      </c>
      <c r="H3366" s="8">
        <f t="shared" si="250"/>
        <v>10086.101289</v>
      </c>
      <c r="I3366" s="9">
        <f t="shared" si="251"/>
        <v>10758.5080416</v>
      </c>
    </row>
    <row r="3367" spans="1:9" x14ac:dyDescent="0.35">
      <c r="A3367" s="18" t="s">
        <v>6238</v>
      </c>
      <c r="B3367" s="24" t="s">
        <v>6230</v>
      </c>
      <c r="C3367" s="20">
        <v>45434</v>
      </c>
      <c r="D3367" s="11">
        <v>6040.3050000000003</v>
      </c>
      <c r="E3367" s="27">
        <f t="shared" si="252"/>
        <v>6724.0675259999998</v>
      </c>
      <c r="F3367" s="6">
        <f t="shared" si="248"/>
        <v>8741.2877838000004</v>
      </c>
      <c r="G3367" s="7">
        <f t="shared" si="249"/>
        <v>9413.6945363999985</v>
      </c>
      <c r="H3367" s="8">
        <f t="shared" si="250"/>
        <v>10086.101289</v>
      </c>
      <c r="I3367" s="9">
        <f t="shared" si="251"/>
        <v>10758.5080416</v>
      </c>
    </row>
    <row r="3368" spans="1:9" x14ac:dyDescent="0.35">
      <c r="A3368" s="18" t="s">
        <v>6239</v>
      </c>
      <c r="B3368" s="24" t="s">
        <v>6231</v>
      </c>
      <c r="C3368" s="20">
        <v>45434</v>
      </c>
      <c r="D3368" s="11">
        <v>3167.748</v>
      </c>
      <c r="E3368" s="27">
        <f t="shared" si="252"/>
        <v>3526.3370736000002</v>
      </c>
      <c r="F3368" s="6">
        <f t="shared" si="248"/>
        <v>4584.23819568</v>
      </c>
      <c r="G3368" s="7">
        <f t="shared" si="249"/>
        <v>4936.8719030399998</v>
      </c>
      <c r="H3368" s="8">
        <f t="shared" si="250"/>
        <v>5289.5056104000005</v>
      </c>
      <c r="I3368" s="9">
        <f t="shared" si="251"/>
        <v>5642.1393177600003</v>
      </c>
    </row>
    <row r="3369" spans="1:9" x14ac:dyDescent="0.35">
      <c r="A3369" s="18" t="s">
        <v>6240</v>
      </c>
      <c r="B3369" s="24" t="s">
        <v>6232</v>
      </c>
      <c r="C3369" s="20">
        <v>45434</v>
      </c>
      <c r="D3369" s="11">
        <v>2608.1190000000001</v>
      </c>
      <c r="E3369" s="27">
        <f t="shared" si="252"/>
        <v>2903.3580708</v>
      </c>
      <c r="F3369" s="6">
        <f t="shared" si="248"/>
        <v>3774.3654920399999</v>
      </c>
      <c r="G3369" s="7">
        <f t="shared" si="249"/>
        <v>4064.7012991199995</v>
      </c>
      <c r="H3369" s="8">
        <f t="shared" si="250"/>
        <v>4355.0371061999995</v>
      </c>
      <c r="I3369" s="9">
        <f t="shared" si="251"/>
        <v>4645.3729132799999</v>
      </c>
    </row>
    <row r="3370" spans="1:9" x14ac:dyDescent="0.35">
      <c r="A3370" s="18" t="s">
        <v>6241</v>
      </c>
      <c r="B3370" s="24" t="s">
        <v>6242</v>
      </c>
      <c r="C3370" s="20">
        <v>45434</v>
      </c>
      <c r="D3370" s="11">
        <v>209.79000000000002</v>
      </c>
      <c r="E3370" s="27">
        <f t="shared" si="252"/>
        <v>233.53822800000003</v>
      </c>
      <c r="F3370" s="6">
        <f t="shared" si="248"/>
        <v>303.59969640000003</v>
      </c>
      <c r="G3370" s="7">
        <f t="shared" si="249"/>
        <v>326.95351920000002</v>
      </c>
      <c r="H3370" s="8">
        <f t="shared" si="250"/>
        <v>350.30734200000006</v>
      </c>
      <c r="I3370" s="9">
        <f t="shared" si="251"/>
        <v>373.66116480000005</v>
      </c>
    </row>
    <row r="3371" spans="1:9" x14ac:dyDescent="0.35">
      <c r="A3371" s="18" t="s">
        <v>6481</v>
      </c>
      <c r="B3371" s="24" t="s">
        <v>6482</v>
      </c>
      <c r="C3371" s="20">
        <v>45434</v>
      </c>
      <c r="D3371" s="11">
        <v>5884.3</v>
      </c>
      <c r="E3371" s="27">
        <f t="shared" si="252"/>
        <v>6550.4027599999999</v>
      </c>
      <c r="F3371" s="6">
        <f t="shared" si="248"/>
        <v>8515.523588</v>
      </c>
      <c r="G3371" s="7">
        <f t="shared" si="249"/>
        <v>9170.5638639999997</v>
      </c>
      <c r="H3371" s="8">
        <f t="shared" si="250"/>
        <v>9825.6041399999995</v>
      </c>
      <c r="I3371" s="9">
        <f t="shared" si="251"/>
        <v>10480.644416000001</v>
      </c>
    </row>
    <row r="3372" spans="1:9" x14ac:dyDescent="0.35">
      <c r="A3372" s="18" t="s">
        <v>6753</v>
      </c>
      <c r="B3372" s="24" t="s">
        <v>6756</v>
      </c>
      <c r="C3372" s="20">
        <v>45682</v>
      </c>
      <c r="D3372" s="11">
        <v>786.4</v>
      </c>
      <c r="E3372" s="27">
        <f t="shared" si="252"/>
        <v>875.42048</v>
      </c>
      <c r="F3372" s="6">
        <f t="shared" si="248"/>
        <v>1138.0466240000001</v>
      </c>
      <c r="G3372" s="7">
        <f t="shared" si="249"/>
        <v>1225.5886719999999</v>
      </c>
      <c r="H3372" s="8">
        <f t="shared" si="250"/>
        <v>1313.1307200000001</v>
      </c>
      <c r="I3372" s="9">
        <f t="shared" si="251"/>
        <v>1400.6727680000001</v>
      </c>
    </row>
    <row r="3373" spans="1:9" x14ac:dyDescent="0.35">
      <c r="A3373" s="18" t="s">
        <v>6754</v>
      </c>
      <c r="B3373" s="24" t="s">
        <v>6757</v>
      </c>
      <c r="C3373" s="20">
        <v>45682</v>
      </c>
      <c r="D3373" s="11">
        <v>8815.2199999999993</v>
      </c>
      <c r="E3373" s="27">
        <f t="shared" si="252"/>
        <v>9813.1029039999994</v>
      </c>
      <c r="F3373" s="6">
        <f t="shared" si="248"/>
        <v>12757.0337752</v>
      </c>
      <c r="G3373" s="7">
        <f t="shared" si="249"/>
        <v>13738.344065599998</v>
      </c>
      <c r="H3373" s="8">
        <f t="shared" si="250"/>
        <v>14719.654355999999</v>
      </c>
      <c r="I3373" s="9">
        <f t="shared" si="251"/>
        <v>15700.9646464</v>
      </c>
    </row>
    <row r="3374" spans="1:9" x14ac:dyDescent="0.35">
      <c r="A3374" s="18" t="s">
        <v>6755</v>
      </c>
      <c r="B3374" s="24" t="s">
        <v>6758</v>
      </c>
      <c r="C3374" s="20">
        <v>45682</v>
      </c>
      <c r="D3374" s="11">
        <v>11377.27</v>
      </c>
      <c r="E3374" s="27">
        <f t="shared" si="252"/>
        <v>12665.176964</v>
      </c>
      <c r="F3374" s="6">
        <f t="shared" si="248"/>
        <v>16464.730053200001</v>
      </c>
      <c r="G3374" s="7">
        <f t="shared" si="249"/>
        <v>17731.247749599999</v>
      </c>
      <c r="H3374" s="8">
        <f t="shared" si="250"/>
        <v>18997.765446000001</v>
      </c>
      <c r="I3374" s="9">
        <f t="shared" si="251"/>
        <v>20264.283142400003</v>
      </c>
    </row>
    <row r="3375" spans="1:9" ht="18" x14ac:dyDescent="0.4">
      <c r="B3375" s="19" t="s">
        <v>6262</v>
      </c>
      <c r="D3375" s="11">
        <v>0</v>
      </c>
      <c r="E3375" s="27">
        <f t="shared" si="252"/>
        <v>0</v>
      </c>
      <c r="F3375" s="6">
        <f t="shared" si="248"/>
        <v>0</v>
      </c>
      <c r="G3375" s="7">
        <f t="shared" si="249"/>
        <v>0</v>
      </c>
      <c r="H3375" s="8">
        <f t="shared" si="250"/>
        <v>0</v>
      </c>
      <c r="I3375" s="9">
        <f t="shared" si="251"/>
        <v>0</v>
      </c>
    </row>
    <row r="3376" spans="1:9" x14ac:dyDescent="0.35">
      <c r="A3376" s="18" t="s">
        <v>144</v>
      </c>
      <c r="B3376" s="24" t="s">
        <v>216</v>
      </c>
      <c r="C3376" s="20">
        <v>45685</v>
      </c>
      <c r="D3376" s="11">
        <v>3722.6075964000011</v>
      </c>
      <c r="E3376" s="27">
        <f t="shared" si="252"/>
        <v>4144.0067763124807</v>
      </c>
      <c r="F3376" s="6">
        <f t="shared" si="248"/>
        <v>5387.2088092062249</v>
      </c>
      <c r="G3376" s="7">
        <f t="shared" si="249"/>
        <v>5801.609486837473</v>
      </c>
      <c r="H3376" s="8">
        <f t="shared" si="250"/>
        <v>6216.0101644687211</v>
      </c>
      <c r="I3376" s="9">
        <f t="shared" si="251"/>
        <v>6630.4108420999692</v>
      </c>
    </row>
    <row r="3377" spans="1:9" x14ac:dyDescent="0.35">
      <c r="A3377" s="18" t="s">
        <v>145</v>
      </c>
      <c r="B3377" s="24" t="s">
        <v>5560</v>
      </c>
      <c r="C3377" s="20">
        <v>45685</v>
      </c>
      <c r="D3377" s="11">
        <v>4674.4629739500006</v>
      </c>
      <c r="E3377" s="27">
        <f t="shared" si="252"/>
        <v>5203.6121826011404</v>
      </c>
      <c r="F3377" s="6">
        <f t="shared" si="248"/>
        <v>6764.6958373814823</v>
      </c>
      <c r="G3377" s="7">
        <f t="shared" si="249"/>
        <v>7285.057055641596</v>
      </c>
      <c r="H3377" s="8">
        <f t="shared" si="250"/>
        <v>7805.4182739017106</v>
      </c>
      <c r="I3377" s="9">
        <f t="shared" si="251"/>
        <v>8325.7794921618242</v>
      </c>
    </row>
    <row r="3378" spans="1:9" x14ac:dyDescent="0.35">
      <c r="A3378" s="18" t="s">
        <v>146</v>
      </c>
      <c r="B3378" s="24" t="s">
        <v>5561</v>
      </c>
      <c r="C3378" s="20">
        <v>45685</v>
      </c>
      <c r="D3378" s="11">
        <v>3428.7175229999998</v>
      </c>
      <c r="E3378" s="27">
        <f t="shared" si="252"/>
        <v>3816.8483466036</v>
      </c>
      <c r="F3378" s="6">
        <f t="shared" si="248"/>
        <v>4961.90285058468</v>
      </c>
      <c r="G3378" s="7">
        <f t="shared" si="249"/>
        <v>5343.5876852450401</v>
      </c>
      <c r="H3378" s="8">
        <f t="shared" si="250"/>
        <v>5725.2725199054003</v>
      </c>
      <c r="I3378" s="9">
        <f t="shared" si="251"/>
        <v>6106.9573545657604</v>
      </c>
    </row>
    <row r="3379" spans="1:9" x14ac:dyDescent="0.35">
      <c r="A3379" s="18" t="s">
        <v>215</v>
      </c>
      <c r="B3379" s="24" t="s">
        <v>5509</v>
      </c>
      <c r="C3379" s="20">
        <v>45685</v>
      </c>
      <c r="D3379" s="11">
        <v>3117.1578842250005</v>
      </c>
      <c r="E3379" s="27">
        <f t="shared" si="252"/>
        <v>3470.0201567192707</v>
      </c>
      <c r="F3379" s="6">
        <f t="shared" si="248"/>
        <v>4511.0262037350521</v>
      </c>
      <c r="G3379" s="7">
        <f t="shared" si="249"/>
        <v>4858.0282194069787</v>
      </c>
      <c r="H3379" s="8">
        <f t="shared" si="250"/>
        <v>5205.0302350789061</v>
      </c>
      <c r="I3379" s="9">
        <f t="shared" si="251"/>
        <v>5552.0322507508336</v>
      </c>
    </row>
    <row r="3380" spans="1:9" x14ac:dyDescent="0.35">
      <c r="A3380" s="18" t="s">
        <v>3453</v>
      </c>
      <c r="B3380" s="24" t="s">
        <v>5510</v>
      </c>
      <c r="C3380" s="20">
        <v>45685</v>
      </c>
      <c r="D3380" s="11">
        <v>5038.2916526250001</v>
      </c>
      <c r="E3380" s="27">
        <f t="shared" si="252"/>
        <v>5608.6262677021505</v>
      </c>
      <c r="F3380" s="6">
        <f t="shared" ref="F3380:F3443" si="253">E3380*1.3</f>
        <v>7291.2141480127957</v>
      </c>
      <c r="G3380" s="7">
        <f t="shared" ref="G3380:G3443" si="254">E3380*1.4</f>
        <v>7852.0767747830105</v>
      </c>
      <c r="H3380" s="8">
        <f t="shared" ref="H3380:H3443" si="255">E3380*1.5</f>
        <v>8412.9394015532253</v>
      </c>
      <c r="I3380" s="9">
        <f t="shared" ref="I3380:I3443" si="256">E3380*1.6</f>
        <v>8973.8020283234418</v>
      </c>
    </row>
    <row r="3381" spans="1:9" x14ac:dyDescent="0.35">
      <c r="A3381" s="18" t="s">
        <v>2017</v>
      </c>
      <c r="B3381" s="24" t="s">
        <v>4546</v>
      </c>
      <c r="C3381" s="20">
        <v>45685</v>
      </c>
      <c r="D3381" s="11">
        <v>13660.299899400001</v>
      </c>
      <c r="E3381" s="27">
        <f t="shared" si="252"/>
        <v>15206.64584801208</v>
      </c>
      <c r="F3381" s="6">
        <f t="shared" si="253"/>
        <v>19768.639602415704</v>
      </c>
      <c r="G3381" s="7">
        <f t="shared" si="254"/>
        <v>21289.304187216912</v>
      </c>
      <c r="H3381" s="8">
        <f t="shared" si="255"/>
        <v>22809.968772018121</v>
      </c>
      <c r="I3381" s="9">
        <f t="shared" si="256"/>
        <v>24330.633356819329</v>
      </c>
    </row>
    <row r="3382" spans="1:9" x14ac:dyDescent="0.35">
      <c r="A3382" s="18" t="s">
        <v>2018</v>
      </c>
      <c r="B3382" s="24" t="s">
        <v>5733</v>
      </c>
      <c r="C3382" s="20">
        <v>45685</v>
      </c>
      <c r="D3382" s="11">
        <v>34679.028661200005</v>
      </c>
      <c r="E3382" s="27">
        <f t="shared" si="252"/>
        <v>38604.694705647846</v>
      </c>
      <c r="F3382" s="6">
        <f t="shared" si="253"/>
        <v>50186.103117342202</v>
      </c>
      <c r="G3382" s="7">
        <f t="shared" si="254"/>
        <v>54046.57258790698</v>
      </c>
      <c r="H3382" s="8">
        <f t="shared" si="255"/>
        <v>57907.042058471765</v>
      </c>
      <c r="I3382" s="9">
        <f t="shared" si="256"/>
        <v>61767.511529036557</v>
      </c>
    </row>
    <row r="3383" spans="1:9" x14ac:dyDescent="0.35">
      <c r="A3383" s="18" t="s">
        <v>2019</v>
      </c>
      <c r="B3383" s="24" t="s">
        <v>4547</v>
      </c>
      <c r="C3383" s="20">
        <v>45685</v>
      </c>
      <c r="D3383" s="11">
        <v>19264.592932200001</v>
      </c>
      <c r="E3383" s="27">
        <f t="shared" si="252"/>
        <v>21445.344852125039</v>
      </c>
      <c r="F3383" s="6">
        <f t="shared" si="253"/>
        <v>27878.948307762552</v>
      </c>
      <c r="G3383" s="7">
        <f t="shared" si="254"/>
        <v>30023.482792975054</v>
      </c>
      <c r="H3383" s="8">
        <f t="shared" si="255"/>
        <v>32168.017278187559</v>
      </c>
      <c r="I3383" s="9">
        <f t="shared" si="256"/>
        <v>34312.551763400064</v>
      </c>
    </row>
    <row r="3384" spans="1:9" x14ac:dyDescent="0.35">
      <c r="A3384" s="18" t="s">
        <v>4738</v>
      </c>
      <c r="B3384" s="24" t="s">
        <v>4739</v>
      </c>
      <c r="C3384" s="20">
        <v>45685</v>
      </c>
      <c r="D3384" s="11">
        <v>3650.6965745250009</v>
      </c>
      <c r="E3384" s="27">
        <f t="shared" si="252"/>
        <v>4063.9554267612316</v>
      </c>
      <c r="F3384" s="6">
        <f t="shared" si="253"/>
        <v>5283.1420547896014</v>
      </c>
      <c r="G3384" s="7">
        <f t="shared" si="254"/>
        <v>5689.5375974657236</v>
      </c>
      <c r="H3384" s="8">
        <f t="shared" si="255"/>
        <v>6095.9331401418476</v>
      </c>
      <c r="I3384" s="9">
        <f t="shared" si="256"/>
        <v>6502.3286828179707</v>
      </c>
    </row>
    <row r="3385" spans="1:9" x14ac:dyDescent="0.35">
      <c r="A3385" s="18" t="s">
        <v>4656</v>
      </c>
      <c r="B3385" s="24" t="s">
        <v>4657</v>
      </c>
      <c r="C3385" s="20">
        <v>45685</v>
      </c>
      <c r="D3385" s="11">
        <v>10834.484383800002</v>
      </c>
      <c r="E3385" s="27">
        <f t="shared" si="252"/>
        <v>12060.948016046163</v>
      </c>
      <c r="F3385" s="6">
        <f t="shared" si="253"/>
        <v>15679.232420860011</v>
      </c>
      <c r="G3385" s="7">
        <f t="shared" si="254"/>
        <v>16885.327222464628</v>
      </c>
      <c r="H3385" s="8">
        <f t="shared" si="255"/>
        <v>18091.422024069245</v>
      </c>
      <c r="I3385" s="9">
        <f t="shared" si="256"/>
        <v>19297.516825673862</v>
      </c>
    </row>
    <row r="3386" spans="1:9" x14ac:dyDescent="0.35">
      <c r="A3386" s="18" t="s">
        <v>854</v>
      </c>
      <c r="B3386" s="24" t="s">
        <v>6263</v>
      </c>
      <c r="C3386" s="20">
        <v>45685</v>
      </c>
      <c r="D3386" s="11">
        <v>1197.5856122999999</v>
      </c>
      <c r="E3386" s="27">
        <f t="shared" si="252"/>
        <v>1333.1523036123599</v>
      </c>
      <c r="F3386" s="6">
        <f t="shared" si="253"/>
        <v>1733.0979946960679</v>
      </c>
      <c r="G3386" s="7">
        <f t="shared" si="254"/>
        <v>1866.4132250573036</v>
      </c>
      <c r="H3386" s="8">
        <f t="shared" si="255"/>
        <v>1999.7284554185399</v>
      </c>
      <c r="I3386" s="9">
        <f t="shared" si="256"/>
        <v>2133.0436857797758</v>
      </c>
    </row>
    <row r="3387" spans="1:9" x14ac:dyDescent="0.35">
      <c r="A3387" s="18" t="s">
        <v>2585</v>
      </c>
      <c r="B3387" s="24" t="s">
        <v>5558</v>
      </c>
      <c r="C3387" s="20">
        <v>45685</v>
      </c>
      <c r="D3387" s="11">
        <v>1197.5856122999999</v>
      </c>
      <c r="E3387" s="27">
        <f t="shared" si="252"/>
        <v>1333.1523036123599</v>
      </c>
      <c r="F3387" s="6">
        <f t="shared" si="253"/>
        <v>1733.0979946960679</v>
      </c>
      <c r="G3387" s="7">
        <f t="shared" si="254"/>
        <v>1866.4132250573036</v>
      </c>
      <c r="H3387" s="8">
        <f t="shared" si="255"/>
        <v>1999.7284554185399</v>
      </c>
      <c r="I3387" s="9">
        <f t="shared" si="256"/>
        <v>2133.0436857797758</v>
      </c>
    </row>
    <row r="3388" spans="1:9" x14ac:dyDescent="0.35">
      <c r="A3388" s="18" t="s">
        <v>4723</v>
      </c>
      <c r="B3388" s="24" t="s">
        <v>4724</v>
      </c>
      <c r="C3388" s="20">
        <v>45685</v>
      </c>
      <c r="D3388" s="11">
        <v>3588.1545315000003</v>
      </c>
      <c r="E3388" s="27">
        <f t="shared" si="252"/>
        <v>3994.3336244658003</v>
      </c>
      <c r="F3388" s="6">
        <f t="shared" si="253"/>
        <v>5192.6337118055408</v>
      </c>
      <c r="G3388" s="7">
        <f t="shared" si="254"/>
        <v>5592.0670742521197</v>
      </c>
      <c r="H3388" s="8">
        <f t="shared" si="255"/>
        <v>5991.5004366987005</v>
      </c>
      <c r="I3388" s="9">
        <f t="shared" si="256"/>
        <v>6390.9337991452812</v>
      </c>
    </row>
    <row r="3389" spans="1:9" x14ac:dyDescent="0.35">
      <c r="A3389" s="18" t="s">
        <v>897</v>
      </c>
      <c r="B3389" s="24" t="s">
        <v>5557</v>
      </c>
      <c r="C3389" s="20">
        <v>45685</v>
      </c>
      <c r="D3389" s="11">
        <v>4385.3395739999996</v>
      </c>
      <c r="E3389" s="27">
        <f t="shared" si="252"/>
        <v>4881.7600137767995</v>
      </c>
      <c r="F3389" s="6">
        <f t="shared" si="253"/>
        <v>6346.2880179098393</v>
      </c>
      <c r="G3389" s="7">
        <f t="shared" si="254"/>
        <v>6834.4640192875186</v>
      </c>
      <c r="H3389" s="8">
        <f t="shared" si="255"/>
        <v>7322.6400206651997</v>
      </c>
      <c r="I3389" s="9">
        <f t="shared" si="256"/>
        <v>7810.8160220428799</v>
      </c>
    </row>
    <row r="3390" spans="1:9" x14ac:dyDescent="0.35">
      <c r="A3390" s="18" t="s">
        <v>246</v>
      </c>
      <c r="B3390" s="24" t="s">
        <v>6264</v>
      </c>
      <c r="C3390" s="20">
        <v>45685</v>
      </c>
      <c r="D3390" s="11">
        <v>2607.1238250750007</v>
      </c>
      <c r="E3390" s="27">
        <f t="shared" si="252"/>
        <v>2902.2502420734909</v>
      </c>
      <c r="F3390" s="6">
        <f t="shared" si="253"/>
        <v>3772.9253146955384</v>
      </c>
      <c r="G3390" s="7">
        <f t="shared" si="254"/>
        <v>4063.1503389028871</v>
      </c>
      <c r="H3390" s="8">
        <f t="shared" si="255"/>
        <v>4353.3753631102363</v>
      </c>
      <c r="I3390" s="9">
        <f t="shared" si="256"/>
        <v>4643.600387317586</v>
      </c>
    </row>
    <row r="3391" spans="1:9" x14ac:dyDescent="0.35">
      <c r="A3391" s="18" t="s">
        <v>5562</v>
      </c>
      <c r="B3391" s="24" t="s">
        <v>6265</v>
      </c>
      <c r="C3391" s="20">
        <v>45685</v>
      </c>
      <c r="D3391" s="11">
        <v>2607.1238250750007</v>
      </c>
      <c r="E3391" s="27">
        <f t="shared" si="252"/>
        <v>2902.2502420734909</v>
      </c>
      <c r="F3391" s="6">
        <f t="shared" si="253"/>
        <v>3772.9253146955384</v>
      </c>
      <c r="G3391" s="7">
        <f t="shared" si="254"/>
        <v>4063.1503389028871</v>
      </c>
      <c r="H3391" s="8">
        <f t="shared" si="255"/>
        <v>4353.3753631102363</v>
      </c>
      <c r="I3391" s="9">
        <f t="shared" si="256"/>
        <v>4643.600387317586</v>
      </c>
    </row>
    <row r="3392" spans="1:9" x14ac:dyDescent="0.35">
      <c r="A3392" s="18" t="s">
        <v>247</v>
      </c>
      <c r="B3392" s="24" t="s">
        <v>6266</v>
      </c>
      <c r="C3392" s="20">
        <v>45685</v>
      </c>
      <c r="D3392" s="11">
        <v>7475.6232820500009</v>
      </c>
      <c r="E3392" s="27">
        <f t="shared" si="252"/>
        <v>8321.8638375780611</v>
      </c>
      <c r="F3392" s="6">
        <f t="shared" si="253"/>
        <v>10818.42298885148</v>
      </c>
      <c r="G3392" s="7">
        <f t="shared" si="254"/>
        <v>11650.609372609284</v>
      </c>
      <c r="H3392" s="8">
        <f t="shared" si="255"/>
        <v>12482.795756367092</v>
      </c>
      <c r="I3392" s="9">
        <f t="shared" si="256"/>
        <v>13314.982140124899</v>
      </c>
    </row>
    <row r="3393" spans="1:9" x14ac:dyDescent="0.35">
      <c r="A3393" s="18" t="s">
        <v>524</v>
      </c>
      <c r="B3393" s="24" t="s">
        <v>525</v>
      </c>
      <c r="C3393" s="20">
        <v>45685</v>
      </c>
      <c r="D3393" s="11">
        <v>6862.3660875000005</v>
      </c>
      <c r="E3393" s="27">
        <f t="shared" si="252"/>
        <v>7639.1859286050003</v>
      </c>
      <c r="F3393" s="6">
        <f t="shared" si="253"/>
        <v>9930.9417071865009</v>
      </c>
      <c r="G3393" s="7">
        <f t="shared" si="254"/>
        <v>10694.860300046999</v>
      </c>
      <c r="H3393" s="8">
        <f t="shared" si="255"/>
        <v>11458.7788929075</v>
      </c>
      <c r="I3393" s="9">
        <f t="shared" si="256"/>
        <v>12222.697485768002</v>
      </c>
    </row>
    <row r="3394" spans="1:9" x14ac:dyDescent="0.35">
      <c r="A3394" s="18" t="s">
        <v>248</v>
      </c>
      <c r="B3394" s="24" t="s">
        <v>6267</v>
      </c>
      <c r="C3394" s="20">
        <v>45685</v>
      </c>
      <c r="D3394" s="11">
        <v>356.61996562500002</v>
      </c>
      <c r="E3394" s="27">
        <f t="shared" si="252"/>
        <v>396.98934573375004</v>
      </c>
      <c r="F3394" s="6">
        <f t="shared" si="253"/>
        <v>516.08614945387512</v>
      </c>
      <c r="G3394" s="7">
        <f t="shared" si="254"/>
        <v>555.78508402725004</v>
      </c>
      <c r="H3394" s="8">
        <f t="shared" si="255"/>
        <v>595.48401860062506</v>
      </c>
      <c r="I3394" s="9">
        <f t="shared" si="256"/>
        <v>635.18295317400009</v>
      </c>
    </row>
    <row r="3395" spans="1:9" x14ac:dyDescent="0.35">
      <c r="A3395" s="18" t="s">
        <v>3284</v>
      </c>
      <c r="B3395" s="24" t="s">
        <v>5555</v>
      </c>
      <c r="C3395" s="20">
        <v>45685</v>
      </c>
      <c r="D3395" s="11">
        <v>12349.711252725001</v>
      </c>
      <c r="E3395" s="27">
        <f t="shared" si="252"/>
        <v>13747.698566533471</v>
      </c>
      <c r="F3395" s="6">
        <f t="shared" si="253"/>
        <v>17872.008136493514</v>
      </c>
      <c r="G3395" s="7">
        <f t="shared" si="254"/>
        <v>19246.777993146858</v>
      </c>
      <c r="H3395" s="8">
        <f t="shared" si="255"/>
        <v>20621.547849800205</v>
      </c>
      <c r="I3395" s="9">
        <f t="shared" si="256"/>
        <v>21996.317706453556</v>
      </c>
    </row>
    <row r="3396" spans="1:9" x14ac:dyDescent="0.35">
      <c r="A3396" s="18" t="s">
        <v>3452</v>
      </c>
      <c r="B3396" s="24" t="s">
        <v>5556</v>
      </c>
      <c r="C3396" s="20">
        <v>45685</v>
      </c>
      <c r="D3396" s="11">
        <v>15046.004744925001</v>
      </c>
      <c r="E3396" s="27">
        <f t="shared" si="252"/>
        <v>16749.212482050512</v>
      </c>
      <c r="F3396" s="6">
        <f t="shared" si="253"/>
        <v>21773.976226665665</v>
      </c>
      <c r="G3396" s="7">
        <f t="shared" si="254"/>
        <v>23448.897474870715</v>
      </c>
      <c r="H3396" s="8">
        <f t="shared" si="255"/>
        <v>25123.818723075769</v>
      </c>
      <c r="I3396" s="9">
        <f t="shared" si="256"/>
        <v>26798.739971280822</v>
      </c>
    </row>
    <row r="3397" spans="1:9" x14ac:dyDescent="0.35">
      <c r="A3397" s="18" t="s">
        <v>249</v>
      </c>
      <c r="B3397" s="24" t="s">
        <v>6268</v>
      </c>
      <c r="C3397" s="20">
        <v>45685</v>
      </c>
      <c r="D3397" s="11">
        <v>5907.3055329750005</v>
      </c>
      <c r="E3397" s="27">
        <f t="shared" si="252"/>
        <v>6576.0125193077711</v>
      </c>
      <c r="F3397" s="6">
        <f t="shared" si="253"/>
        <v>8548.8162751001018</v>
      </c>
      <c r="G3397" s="7">
        <f t="shared" si="254"/>
        <v>9206.4175270308788</v>
      </c>
      <c r="H3397" s="8">
        <f t="shared" si="255"/>
        <v>9864.0187789616575</v>
      </c>
      <c r="I3397" s="9">
        <f t="shared" si="256"/>
        <v>10521.620030892434</v>
      </c>
    </row>
    <row r="3398" spans="1:9" x14ac:dyDescent="0.35">
      <c r="A3398" s="18" t="s">
        <v>250</v>
      </c>
      <c r="B3398" s="24" t="s">
        <v>6269</v>
      </c>
      <c r="C3398" s="20">
        <v>45685</v>
      </c>
      <c r="D3398" s="11">
        <v>5907.3055329750005</v>
      </c>
      <c r="E3398" s="27">
        <f t="shared" si="252"/>
        <v>6576.0125193077711</v>
      </c>
      <c r="F3398" s="6">
        <f t="shared" si="253"/>
        <v>8548.8162751001018</v>
      </c>
      <c r="G3398" s="7">
        <f t="shared" si="254"/>
        <v>9206.4175270308788</v>
      </c>
      <c r="H3398" s="8">
        <f t="shared" si="255"/>
        <v>9864.0187789616575</v>
      </c>
      <c r="I3398" s="9">
        <f t="shared" si="256"/>
        <v>10521.620030892434</v>
      </c>
    </row>
    <row r="3399" spans="1:9" x14ac:dyDescent="0.35">
      <c r="A3399" s="18" t="s">
        <v>4658</v>
      </c>
      <c r="B3399" s="24" t="s">
        <v>5554</v>
      </c>
      <c r="C3399" s="20">
        <v>45685</v>
      </c>
      <c r="D3399" s="11">
        <v>9764.94148245</v>
      </c>
      <c r="E3399" s="27">
        <f t="shared" si="252"/>
        <v>10870.33285826334</v>
      </c>
      <c r="F3399" s="6">
        <f t="shared" si="253"/>
        <v>14131.432715742343</v>
      </c>
      <c r="G3399" s="7">
        <f t="shared" si="254"/>
        <v>15218.466001568675</v>
      </c>
      <c r="H3399" s="8">
        <f t="shared" si="255"/>
        <v>16305.49928739501</v>
      </c>
      <c r="I3399" s="9">
        <f t="shared" si="256"/>
        <v>17392.532573221346</v>
      </c>
    </row>
    <row r="3400" spans="1:9" x14ac:dyDescent="0.35">
      <c r="A3400" s="18" t="s">
        <v>4668</v>
      </c>
      <c r="B3400" s="24" t="s">
        <v>5552</v>
      </c>
      <c r="C3400" s="20">
        <v>45685</v>
      </c>
      <c r="D3400" s="11">
        <v>7119.93082185</v>
      </c>
      <c r="E3400" s="27">
        <f t="shared" si="252"/>
        <v>7925.9069908834199</v>
      </c>
      <c r="F3400" s="6">
        <f t="shared" si="253"/>
        <v>10303.679088148447</v>
      </c>
      <c r="G3400" s="7">
        <f t="shared" si="254"/>
        <v>11096.269787236788</v>
      </c>
      <c r="H3400" s="8">
        <f t="shared" si="255"/>
        <v>11888.860486325129</v>
      </c>
      <c r="I3400" s="9">
        <f t="shared" si="256"/>
        <v>12681.451185413473</v>
      </c>
    </row>
    <row r="3401" spans="1:9" x14ac:dyDescent="0.35">
      <c r="A3401" s="18" t="s">
        <v>4669</v>
      </c>
      <c r="B3401" s="24" t="s">
        <v>5553</v>
      </c>
      <c r="C3401" s="20">
        <v>45685</v>
      </c>
      <c r="D3401" s="11">
        <v>7119.93082185</v>
      </c>
      <c r="E3401" s="27">
        <f t="shared" si="252"/>
        <v>7925.9069908834199</v>
      </c>
      <c r="F3401" s="6">
        <f t="shared" si="253"/>
        <v>10303.679088148447</v>
      </c>
      <c r="G3401" s="7">
        <f t="shared" si="254"/>
        <v>11096.269787236788</v>
      </c>
      <c r="H3401" s="8">
        <f t="shared" si="255"/>
        <v>11888.860486325129</v>
      </c>
      <c r="I3401" s="9">
        <f t="shared" si="256"/>
        <v>12681.451185413473</v>
      </c>
    </row>
    <row r="3402" spans="1:9" x14ac:dyDescent="0.35">
      <c r="A3402" s="18" t="s">
        <v>4670</v>
      </c>
      <c r="B3402" s="24" t="s">
        <v>5559</v>
      </c>
      <c r="C3402" s="20">
        <v>45685</v>
      </c>
      <c r="D3402" s="11">
        <v>5982.9970200000016</v>
      </c>
      <c r="E3402" s="27">
        <f t="shared" si="252"/>
        <v>6660.272282664002</v>
      </c>
      <c r="F3402" s="6">
        <f t="shared" si="253"/>
        <v>8658.3539674632029</v>
      </c>
      <c r="G3402" s="7">
        <f t="shared" si="254"/>
        <v>9324.381195729602</v>
      </c>
      <c r="H3402" s="8">
        <f t="shared" si="255"/>
        <v>9990.408423996003</v>
      </c>
      <c r="I3402" s="9">
        <f t="shared" si="256"/>
        <v>10656.435652262404</v>
      </c>
    </row>
    <row r="3403" spans="1:9" x14ac:dyDescent="0.35">
      <c r="A3403" s="18" t="s">
        <v>4745</v>
      </c>
      <c r="B3403" s="24" t="s">
        <v>5566</v>
      </c>
      <c r="C3403" s="20">
        <v>45685</v>
      </c>
      <c r="D3403" s="11">
        <v>5360.2064785500015</v>
      </c>
      <c r="E3403" s="27">
        <f t="shared" si="252"/>
        <v>5966.9818519218616</v>
      </c>
      <c r="F3403" s="6">
        <f t="shared" si="253"/>
        <v>7757.0764074984199</v>
      </c>
      <c r="G3403" s="7">
        <f t="shared" si="254"/>
        <v>8353.7745926906064</v>
      </c>
      <c r="H3403" s="8">
        <f t="shared" si="255"/>
        <v>8950.4727778827928</v>
      </c>
      <c r="I3403" s="9">
        <f t="shared" si="256"/>
        <v>9547.1709630749792</v>
      </c>
    </row>
    <row r="3404" spans="1:9" x14ac:dyDescent="0.35">
      <c r="A3404" s="18" t="s">
        <v>4830</v>
      </c>
      <c r="B3404" s="24" t="s">
        <v>5563</v>
      </c>
      <c r="C3404" s="20">
        <v>45685</v>
      </c>
      <c r="D3404" s="11">
        <v>864.57594300000017</v>
      </c>
      <c r="E3404" s="27">
        <f t="shared" si="252"/>
        <v>962.44593974760028</v>
      </c>
      <c r="F3404" s="6">
        <f t="shared" si="253"/>
        <v>1251.1797216718803</v>
      </c>
      <c r="G3404" s="7">
        <f t="shared" si="254"/>
        <v>1347.4243156466403</v>
      </c>
      <c r="H3404" s="8">
        <f t="shared" si="255"/>
        <v>1443.6689096214004</v>
      </c>
      <c r="I3404" s="9">
        <f t="shared" si="256"/>
        <v>1539.9135035961606</v>
      </c>
    </row>
    <row r="3405" spans="1:9" x14ac:dyDescent="0.35">
      <c r="A3405" s="18" t="s">
        <v>5564</v>
      </c>
      <c r="B3405" s="24" t="s">
        <v>5565</v>
      </c>
      <c r="C3405" s="20">
        <v>45685</v>
      </c>
      <c r="D3405" s="11">
        <v>864.57594300000017</v>
      </c>
      <c r="E3405" s="27">
        <f t="shared" si="252"/>
        <v>962.44593974760028</v>
      </c>
      <c r="F3405" s="6">
        <f t="shared" si="253"/>
        <v>1251.1797216718803</v>
      </c>
      <c r="G3405" s="7">
        <f t="shared" si="254"/>
        <v>1347.4243156466403</v>
      </c>
      <c r="H3405" s="8">
        <f t="shared" si="255"/>
        <v>1443.6689096214004</v>
      </c>
      <c r="I3405" s="9">
        <f t="shared" si="256"/>
        <v>1539.9135035961606</v>
      </c>
    </row>
    <row r="3406" spans="1:9" x14ac:dyDescent="0.35">
      <c r="A3406" s="18" t="s">
        <v>4998</v>
      </c>
      <c r="B3406" s="24" t="s">
        <v>5550</v>
      </c>
      <c r="C3406" s="20">
        <v>45685</v>
      </c>
      <c r="D3406" s="11">
        <v>14475.894163499999</v>
      </c>
      <c r="E3406" s="27">
        <f t="shared" si="252"/>
        <v>16114.5653828082</v>
      </c>
      <c r="F3406" s="6">
        <f t="shared" si="253"/>
        <v>20948.93499765066</v>
      </c>
      <c r="G3406" s="7">
        <f t="shared" si="254"/>
        <v>22560.391535931478</v>
      </c>
      <c r="H3406" s="8">
        <f t="shared" si="255"/>
        <v>24171.848074212299</v>
      </c>
      <c r="I3406" s="9">
        <f t="shared" si="256"/>
        <v>25783.304612493121</v>
      </c>
    </row>
    <row r="3407" spans="1:9" x14ac:dyDescent="0.35">
      <c r="A3407" s="18" t="s">
        <v>4999</v>
      </c>
      <c r="B3407" s="24" t="s">
        <v>5551</v>
      </c>
      <c r="C3407" s="20">
        <v>45685</v>
      </c>
      <c r="D3407" s="11">
        <v>14475.894163499999</v>
      </c>
      <c r="E3407" s="27">
        <f t="shared" si="252"/>
        <v>16114.5653828082</v>
      </c>
      <c r="F3407" s="6">
        <f t="shared" si="253"/>
        <v>20948.93499765066</v>
      </c>
      <c r="G3407" s="7">
        <f t="shared" si="254"/>
        <v>22560.391535931478</v>
      </c>
      <c r="H3407" s="8">
        <f t="shared" si="255"/>
        <v>24171.848074212299</v>
      </c>
      <c r="I3407" s="9">
        <f t="shared" si="256"/>
        <v>25783.304612493121</v>
      </c>
    </row>
    <row r="3408" spans="1:9" x14ac:dyDescent="0.35">
      <c r="A3408" s="18" t="s">
        <v>5000</v>
      </c>
      <c r="B3408" s="24" t="s">
        <v>5544</v>
      </c>
      <c r="C3408" s="20">
        <v>45685</v>
      </c>
      <c r="D3408" s="11">
        <v>14475.894163499999</v>
      </c>
      <c r="E3408" s="27">
        <f t="shared" si="252"/>
        <v>16114.5653828082</v>
      </c>
      <c r="F3408" s="6">
        <f t="shared" si="253"/>
        <v>20948.93499765066</v>
      </c>
      <c r="G3408" s="7">
        <f t="shared" si="254"/>
        <v>22560.391535931478</v>
      </c>
      <c r="H3408" s="8">
        <f t="shared" si="255"/>
        <v>24171.848074212299</v>
      </c>
      <c r="I3408" s="9">
        <f t="shared" si="256"/>
        <v>25783.304612493121</v>
      </c>
    </row>
    <row r="3409" spans="1:9" x14ac:dyDescent="0.35">
      <c r="A3409" s="18" t="s">
        <v>5001</v>
      </c>
      <c r="B3409" s="24" t="s">
        <v>5545</v>
      </c>
      <c r="C3409" s="20">
        <v>45685</v>
      </c>
      <c r="D3409" s="11">
        <v>14475.894163499999</v>
      </c>
      <c r="E3409" s="27">
        <f t="shared" si="252"/>
        <v>16114.5653828082</v>
      </c>
      <c r="F3409" s="6">
        <f t="shared" si="253"/>
        <v>20948.93499765066</v>
      </c>
      <c r="G3409" s="7">
        <f t="shared" si="254"/>
        <v>22560.391535931478</v>
      </c>
      <c r="H3409" s="8">
        <f t="shared" si="255"/>
        <v>24171.848074212299</v>
      </c>
      <c r="I3409" s="9">
        <f t="shared" si="256"/>
        <v>25783.304612493121</v>
      </c>
    </row>
    <row r="3410" spans="1:9" x14ac:dyDescent="0.35">
      <c r="A3410" s="18" t="s">
        <v>5546</v>
      </c>
      <c r="B3410" s="24" t="s">
        <v>5548</v>
      </c>
      <c r="C3410" s="20">
        <v>45685</v>
      </c>
      <c r="D3410" s="11">
        <v>14475.894163499999</v>
      </c>
      <c r="E3410" s="27">
        <f t="shared" si="252"/>
        <v>16114.5653828082</v>
      </c>
      <c r="F3410" s="6">
        <f t="shared" si="253"/>
        <v>20948.93499765066</v>
      </c>
      <c r="G3410" s="7">
        <f t="shared" si="254"/>
        <v>22560.391535931478</v>
      </c>
      <c r="H3410" s="8">
        <f t="shared" si="255"/>
        <v>24171.848074212299</v>
      </c>
      <c r="I3410" s="9">
        <f t="shared" si="256"/>
        <v>25783.304612493121</v>
      </c>
    </row>
    <row r="3411" spans="1:9" x14ac:dyDescent="0.35">
      <c r="A3411" s="18" t="s">
        <v>5547</v>
      </c>
      <c r="B3411" s="24" t="s">
        <v>5549</v>
      </c>
      <c r="C3411" s="20">
        <v>45685</v>
      </c>
      <c r="D3411" s="11">
        <v>14475.894163499999</v>
      </c>
      <c r="E3411" s="27">
        <f t="shared" ref="E3411:E3474" si="257">D3411*1.21*0.92</f>
        <v>16114.5653828082</v>
      </c>
      <c r="F3411" s="6">
        <f t="shared" si="253"/>
        <v>20948.93499765066</v>
      </c>
      <c r="G3411" s="7">
        <f t="shared" si="254"/>
        <v>22560.391535931478</v>
      </c>
      <c r="H3411" s="8">
        <f t="shared" si="255"/>
        <v>24171.848074212299</v>
      </c>
      <c r="I3411" s="9">
        <f t="shared" si="256"/>
        <v>25783.304612493121</v>
      </c>
    </row>
    <row r="3412" spans="1:9" x14ac:dyDescent="0.35">
      <c r="A3412" s="24">
        <v>4709</v>
      </c>
      <c r="B3412" s="24" t="s">
        <v>6270</v>
      </c>
      <c r="C3412" s="20">
        <v>45685</v>
      </c>
      <c r="D3412" s="11">
        <v>1147.1246209500002</v>
      </c>
      <c r="E3412" s="27">
        <f t="shared" si="257"/>
        <v>1276.9791280415404</v>
      </c>
      <c r="F3412" s="6">
        <f t="shared" si="253"/>
        <v>1660.0728664540027</v>
      </c>
      <c r="G3412" s="7">
        <f t="shared" si="254"/>
        <v>1787.7707792581566</v>
      </c>
      <c r="H3412" s="8">
        <f t="shared" si="255"/>
        <v>1915.4686920623108</v>
      </c>
      <c r="I3412" s="9">
        <f t="shared" si="256"/>
        <v>2043.1666048664647</v>
      </c>
    </row>
    <row r="3413" spans="1:9" x14ac:dyDescent="0.35">
      <c r="A3413" s="24">
        <v>4710</v>
      </c>
      <c r="B3413" s="24" t="s">
        <v>5511</v>
      </c>
      <c r="C3413" s="20">
        <v>45685</v>
      </c>
      <c r="D3413" s="11">
        <v>7178.9389518000007</v>
      </c>
      <c r="E3413" s="27">
        <f t="shared" si="257"/>
        <v>7991.5948411437612</v>
      </c>
      <c r="F3413" s="6">
        <f t="shared" si="253"/>
        <v>10389.07329348689</v>
      </c>
      <c r="G3413" s="7">
        <f t="shared" si="254"/>
        <v>11188.232777601264</v>
      </c>
      <c r="H3413" s="8">
        <f t="shared" si="255"/>
        <v>11987.392261715642</v>
      </c>
      <c r="I3413" s="9">
        <f t="shared" si="256"/>
        <v>12786.551745830018</v>
      </c>
    </row>
    <row r="3414" spans="1:9" x14ac:dyDescent="0.35">
      <c r="A3414" s="18" t="s">
        <v>3117</v>
      </c>
      <c r="B3414" s="24" t="s">
        <v>6271</v>
      </c>
      <c r="C3414" s="20">
        <v>45685</v>
      </c>
      <c r="D3414" s="11">
        <v>2169.6582600000002</v>
      </c>
      <c r="E3414" s="27">
        <f t="shared" si="257"/>
        <v>2415.2635750320001</v>
      </c>
      <c r="F3414" s="6">
        <f t="shared" si="253"/>
        <v>3139.8426475416004</v>
      </c>
      <c r="G3414" s="7">
        <f t="shared" si="254"/>
        <v>3381.3690050447999</v>
      </c>
      <c r="H3414" s="8">
        <f t="shared" si="255"/>
        <v>3622.8953625479999</v>
      </c>
      <c r="I3414" s="9">
        <f t="shared" si="256"/>
        <v>3864.4217200512003</v>
      </c>
    </row>
    <row r="3415" spans="1:9" ht="18" x14ac:dyDescent="0.4">
      <c r="A3415" s="19"/>
      <c r="B3415" s="19" t="s">
        <v>6543</v>
      </c>
      <c r="D3415" s="11">
        <v>0</v>
      </c>
      <c r="E3415" s="27">
        <f t="shared" si="257"/>
        <v>0</v>
      </c>
      <c r="F3415" s="6">
        <f t="shared" si="253"/>
        <v>0</v>
      </c>
      <c r="G3415" s="7">
        <f t="shared" si="254"/>
        <v>0</v>
      </c>
      <c r="H3415" s="8">
        <f t="shared" si="255"/>
        <v>0</v>
      </c>
      <c r="I3415" s="9">
        <f t="shared" si="256"/>
        <v>0</v>
      </c>
    </row>
    <row r="3416" spans="1:9" x14ac:dyDescent="0.35">
      <c r="A3416" s="24" t="s">
        <v>1095</v>
      </c>
      <c r="B3416" s="24" t="s">
        <v>6544</v>
      </c>
      <c r="C3416" s="20">
        <v>45566</v>
      </c>
      <c r="D3416" s="11">
        <v>9963.7465200000006</v>
      </c>
      <c r="E3416" s="27">
        <f t="shared" si="257"/>
        <v>11091.642626064002</v>
      </c>
      <c r="F3416" s="6">
        <f t="shared" si="253"/>
        <v>14419.135413883203</v>
      </c>
      <c r="G3416" s="7">
        <f t="shared" si="254"/>
        <v>15528.299676489602</v>
      </c>
      <c r="H3416" s="8">
        <f t="shared" si="255"/>
        <v>16637.463939096004</v>
      </c>
      <c r="I3416" s="9">
        <f t="shared" si="256"/>
        <v>17746.628201702402</v>
      </c>
    </row>
    <row r="3417" spans="1:9" x14ac:dyDescent="0.35">
      <c r="A3417" s="24" t="s">
        <v>1096</v>
      </c>
      <c r="B3417" s="24" t="s">
        <v>5592</v>
      </c>
      <c r="C3417" s="20">
        <v>45566</v>
      </c>
      <c r="D3417" s="11">
        <v>32399.672760000001</v>
      </c>
      <c r="E3417" s="27">
        <f t="shared" si="257"/>
        <v>36067.315716432007</v>
      </c>
      <c r="F3417" s="6">
        <f t="shared" si="253"/>
        <v>46887.51043136161</v>
      </c>
      <c r="G3417" s="7">
        <f t="shared" si="254"/>
        <v>50494.242003004809</v>
      </c>
      <c r="H3417" s="8">
        <f t="shared" si="255"/>
        <v>54100.973574648015</v>
      </c>
      <c r="I3417" s="9">
        <f t="shared" si="256"/>
        <v>57707.705146291213</v>
      </c>
    </row>
    <row r="3418" spans="1:9" x14ac:dyDescent="0.35">
      <c r="A3418" s="24" t="s">
        <v>359</v>
      </c>
      <c r="B3418" s="24" t="s">
        <v>5593</v>
      </c>
      <c r="C3418" s="20">
        <v>45566</v>
      </c>
      <c r="D3418" s="11">
        <v>3631.7626800000007</v>
      </c>
      <c r="E3418" s="27">
        <f t="shared" si="257"/>
        <v>4042.8782153760008</v>
      </c>
      <c r="F3418" s="6">
        <f t="shared" si="253"/>
        <v>5255.7416799888015</v>
      </c>
      <c r="G3418" s="7">
        <f t="shared" si="254"/>
        <v>5660.029501526401</v>
      </c>
      <c r="H3418" s="8">
        <f t="shared" si="255"/>
        <v>6064.3173230640014</v>
      </c>
      <c r="I3418" s="9">
        <f t="shared" si="256"/>
        <v>6468.6051446016018</v>
      </c>
    </row>
    <row r="3419" spans="1:9" x14ac:dyDescent="0.35">
      <c r="A3419" s="24" t="s">
        <v>360</v>
      </c>
      <c r="B3419" s="24" t="s">
        <v>5594</v>
      </c>
      <c r="C3419" s="20">
        <v>45566</v>
      </c>
      <c r="D3419" s="11">
        <v>5172.6675000000005</v>
      </c>
      <c r="E3419" s="27">
        <f t="shared" si="257"/>
        <v>5758.2134610000012</v>
      </c>
      <c r="F3419" s="6">
        <f t="shared" si="253"/>
        <v>7485.6774993000017</v>
      </c>
      <c r="G3419" s="7">
        <f t="shared" si="254"/>
        <v>8061.4988454000013</v>
      </c>
      <c r="H3419" s="8">
        <f t="shared" si="255"/>
        <v>8637.3201915000027</v>
      </c>
      <c r="I3419" s="9">
        <f t="shared" si="256"/>
        <v>9213.1415376000023</v>
      </c>
    </row>
    <row r="3420" spans="1:9" x14ac:dyDescent="0.35">
      <c r="A3420" s="24" t="s">
        <v>365</v>
      </c>
      <c r="B3420" s="24" t="s">
        <v>5595</v>
      </c>
      <c r="C3420" s="20">
        <v>45566</v>
      </c>
      <c r="D3420" s="11">
        <v>9806.1709200000005</v>
      </c>
      <c r="E3420" s="27">
        <f t="shared" si="257"/>
        <v>10916.229468144002</v>
      </c>
      <c r="F3420" s="6">
        <f t="shared" si="253"/>
        <v>14191.098308587203</v>
      </c>
      <c r="G3420" s="7">
        <f t="shared" si="254"/>
        <v>15282.721255401601</v>
      </c>
      <c r="H3420" s="8">
        <f t="shared" si="255"/>
        <v>16374.344202216002</v>
      </c>
      <c r="I3420" s="9">
        <f t="shared" si="256"/>
        <v>17465.967149030403</v>
      </c>
    </row>
    <row r="3421" spans="1:9" ht="15.75" customHeight="1" x14ac:dyDescent="0.4">
      <c r="B3421" s="19" t="s">
        <v>358</v>
      </c>
      <c r="D3421" s="11">
        <v>0</v>
      </c>
      <c r="E3421" s="27">
        <f t="shared" si="257"/>
        <v>0</v>
      </c>
      <c r="F3421" s="6">
        <f t="shared" si="253"/>
        <v>0</v>
      </c>
      <c r="G3421" s="7">
        <f t="shared" si="254"/>
        <v>0</v>
      </c>
      <c r="H3421" s="8">
        <f t="shared" si="255"/>
        <v>0</v>
      </c>
      <c r="I3421" s="9">
        <f t="shared" si="256"/>
        <v>0</v>
      </c>
    </row>
    <row r="3422" spans="1:9" x14ac:dyDescent="0.35">
      <c r="A3422" s="18" t="s">
        <v>1099</v>
      </c>
      <c r="B3422" s="18" t="s">
        <v>933</v>
      </c>
      <c r="C3422" s="20">
        <v>45363</v>
      </c>
      <c r="D3422" s="11">
        <v>784.80000000000007</v>
      </c>
      <c r="E3422" s="27">
        <f t="shared" si="257"/>
        <v>873.63936000000012</v>
      </c>
      <c r="F3422" s="6">
        <f t="shared" si="253"/>
        <v>1135.7311680000003</v>
      </c>
      <c r="G3422" s="7">
        <f t="shared" si="254"/>
        <v>1223.095104</v>
      </c>
      <c r="H3422" s="8">
        <f t="shared" si="255"/>
        <v>1310.4590400000002</v>
      </c>
      <c r="I3422" s="9">
        <f t="shared" si="256"/>
        <v>1397.8229760000004</v>
      </c>
    </row>
    <row r="3423" spans="1:9" x14ac:dyDescent="0.35">
      <c r="A3423" s="18" t="s">
        <v>1100</v>
      </c>
      <c r="B3423" s="18" t="s">
        <v>1492</v>
      </c>
      <c r="C3423" s="20">
        <v>45629</v>
      </c>
      <c r="D3423" s="11">
        <v>687.7</v>
      </c>
      <c r="E3423" s="27">
        <f t="shared" si="257"/>
        <v>765.54764000000011</v>
      </c>
      <c r="F3423" s="6">
        <f t="shared" si="253"/>
        <v>995.21193200000016</v>
      </c>
      <c r="G3423" s="7">
        <f t="shared" si="254"/>
        <v>1071.7666960000001</v>
      </c>
      <c r="H3423" s="8">
        <f t="shared" si="255"/>
        <v>1148.3214600000001</v>
      </c>
      <c r="I3423" s="9">
        <f t="shared" si="256"/>
        <v>1224.8762240000003</v>
      </c>
    </row>
    <row r="3424" spans="1:9" x14ac:dyDescent="0.35">
      <c r="A3424" s="18" t="s">
        <v>1101</v>
      </c>
      <c r="B3424" s="18" t="s">
        <v>1493</v>
      </c>
      <c r="C3424" s="20">
        <v>45629</v>
      </c>
      <c r="D3424" s="11">
        <v>901.53</v>
      </c>
      <c r="E3424" s="27">
        <f t="shared" si="257"/>
        <v>1003.583196</v>
      </c>
      <c r="F3424" s="6">
        <f t="shared" si="253"/>
        <v>1304.6581548000001</v>
      </c>
      <c r="G3424" s="7">
        <f t="shared" si="254"/>
        <v>1405.0164743999999</v>
      </c>
      <c r="H3424" s="8">
        <f t="shared" si="255"/>
        <v>1505.3747940000001</v>
      </c>
      <c r="I3424" s="9">
        <f t="shared" si="256"/>
        <v>1605.7331136000003</v>
      </c>
    </row>
    <row r="3425" spans="1:9" x14ac:dyDescent="0.35">
      <c r="A3425" s="18" t="s">
        <v>1102</v>
      </c>
      <c r="B3425" s="18" t="s">
        <v>934</v>
      </c>
      <c r="C3425" s="20">
        <v>45688</v>
      </c>
      <c r="D3425" s="11">
        <v>1593</v>
      </c>
      <c r="E3425" s="27">
        <f t="shared" si="257"/>
        <v>1773.3276000000001</v>
      </c>
      <c r="F3425" s="6">
        <f t="shared" si="253"/>
        <v>2305.3258800000003</v>
      </c>
      <c r="G3425" s="7">
        <f t="shared" si="254"/>
        <v>2482.6586400000001</v>
      </c>
      <c r="H3425" s="8">
        <f t="shared" si="255"/>
        <v>2659.9913999999999</v>
      </c>
      <c r="I3425" s="9">
        <f t="shared" si="256"/>
        <v>2837.3241600000001</v>
      </c>
    </row>
    <row r="3426" spans="1:9" x14ac:dyDescent="0.35">
      <c r="A3426" s="18" t="s">
        <v>3224</v>
      </c>
      <c r="B3426" s="18" t="s">
        <v>3225</v>
      </c>
      <c r="C3426" s="20">
        <v>45688</v>
      </c>
      <c r="D3426" s="11">
        <v>2416.5</v>
      </c>
      <c r="E3426" s="27">
        <f t="shared" si="257"/>
        <v>2690.0477999999998</v>
      </c>
      <c r="F3426" s="6">
        <f t="shared" si="253"/>
        <v>3497.06214</v>
      </c>
      <c r="G3426" s="7">
        <f t="shared" si="254"/>
        <v>3766.0669199999993</v>
      </c>
      <c r="H3426" s="8">
        <f t="shared" si="255"/>
        <v>4035.0716999999995</v>
      </c>
      <c r="I3426" s="9">
        <f t="shared" si="256"/>
        <v>4304.0764799999997</v>
      </c>
    </row>
    <row r="3427" spans="1:9" x14ac:dyDescent="0.35">
      <c r="A3427" s="18" t="s">
        <v>362</v>
      </c>
      <c r="B3427" s="18" t="s">
        <v>361</v>
      </c>
      <c r="C3427" s="20">
        <v>45363</v>
      </c>
      <c r="D3427" s="11">
        <v>172.17000000000002</v>
      </c>
      <c r="E3427" s="27">
        <f t="shared" si="257"/>
        <v>191.65964400000001</v>
      </c>
      <c r="F3427" s="6">
        <f t="shared" si="253"/>
        <v>249.15753720000004</v>
      </c>
      <c r="G3427" s="7">
        <f t="shared" si="254"/>
        <v>268.32350159999999</v>
      </c>
      <c r="H3427" s="8">
        <f t="shared" si="255"/>
        <v>287.48946599999999</v>
      </c>
      <c r="I3427" s="9">
        <f t="shared" si="256"/>
        <v>306.65543040000006</v>
      </c>
    </row>
    <row r="3428" spans="1:9" x14ac:dyDescent="0.35">
      <c r="A3428" s="18" t="s">
        <v>364</v>
      </c>
      <c r="B3428" s="18" t="s">
        <v>363</v>
      </c>
      <c r="C3428" s="20">
        <v>45363</v>
      </c>
      <c r="D3428" s="11">
        <v>320.40000000000003</v>
      </c>
      <c r="E3428" s="27">
        <f t="shared" si="257"/>
        <v>356.66928000000001</v>
      </c>
      <c r="F3428" s="6">
        <f t="shared" si="253"/>
        <v>463.67006400000002</v>
      </c>
      <c r="G3428" s="7">
        <f t="shared" si="254"/>
        <v>499.33699200000001</v>
      </c>
      <c r="H3428" s="8">
        <f t="shared" si="255"/>
        <v>535.00391999999999</v>
      </c>
      <c r="I3428" s="9">
        <f t="shared" si="256"/>
        <v>570.67084800000009</v>
      </c>
    </row>
    <row r="3429" spans="1:9" x14ac:dyDescent="0.35">
      <c r="A3429" s="18" t="s">
        <v>310</v>
      </c>
      <c r="C3429" s="20">
        <v>45363</v>
      </c>
      <c r="D3429" s="11">
        <v>0</v>
      </c>
      <c r="E3429" s="27">
        <f t="shared" si="257"/>
        <v>0</v>
      </c>
      <c r="F3429" s="6">
        <f t="shared" si="253"/>
        <v>0</v>
      </c>
      <c r="G3429" s="7">
        <f t="shared" si="254"/>
        <v>0</v>
      </c>
      <c r="H3429" s="8">
        <f t="shared" si="255"/>
        <v>0</v>
      </c>
      <c r="I3429" s="9">
        <f t="shared" si="256"/>
        <v>0</v>
      </c>
    </row>
    <row r="3430" spans="1:9" x14ac:dyDescent="0.35">
      <c r="A3430" s="18" t="s">
        <v>3274</v>
      </c>
      <c r="B3430" s="18" t="s">
        <v>3275</v>
      </c>
      <c r="C3430" s="20">
        <v>45363</v>
      </c>
      <c r="D3430" s="11">
        <v>1493</v>
      </c>
      <c r="E3430" s="27">
        <f t="shared" si="257"/>
        <v>1662.0076000000001</v>
      </c>
      <c r="F3430" s="6">
        <f t="shared" si="253"/>
        <v>2160.6098800000004</v>
      </c>
      <c r="G3430" s="7">
        <f t="shared" si="254"/>
        <v>2326.8106400000001</v>
      </c>
      <c r="H3430" s="8">
        <f t="shared" si="255"/>
        <v>2493.0114000000003</v>
      </c>
      <c r="I3430" s="9">
        <f t="shared" si="256"/>
        <v>2659.2121600000005</v>
      </c>
    </row>
    <row r="3431" spans="1:9" ht="15.75" customHeight="1" x14ac:dyDescent="0.4">
      <c r="B3431" s="19" t="s">
        <v>4090</v>
      </c>
      <c r="D3431" s="11">
        <v>0</v>
      </c>
      <c r="E3431" s="27">
        <f t="shared" si="257"/>
        <v>0</v>
      </c>
      <c r="F3431" s="6">
        <f t="shared" si="253"/>
        <v>0</v>
      </c>
      <c r="G3431" s="7">
        <f t="shared" si="254"/>
        <v>0</v>
      </c>
      <c r="H3431" s="8">
        <f t="shared" si="255"/>
        <v>0</v>
      </c>
      <c r="I3431" s="9">
        <f t="shared" si="256"/>
        <v>0</v>
      </c>
    </row>
    <row r="3432" spans="1:9" x14ac:dyDescent="0.35">
      <c r="A3432" s="18" t="s">
        <v>1097</v>
      </c>
      <c r="B3432" s="18" t="s">
        <v>3385</v>
      </c>
      <c r="C3432" s="20">
        <v>45405</v>
      </c>
      <c r="D3432" s="11">
        <v>735.90400000000011</v>
      </c>
      <c r="E3432" s="27">
        <f t="shared" si="257"/>
        <v>819.20833280000011</v>
      </c>
      <c r="F3432" s="6">
        <f t="shared" si="253"/>
        <v>1064.9708326400003</v>
      </c>
      <c r="G3432" s="7">
        <f t="shared" si="254"/>
        <v>1146.8916659200002</v>
      </c>
      <c r="H3432" s="8">
        <f t="shared" si="255"/>
        <v>1228.8124992000003</v>
      </c>
      <c r="I3432" s="9">
        <f t="shared" si="256"/>
        <v>1310.7333324800002</v>
      </c>
    </row>
    <row r="3433" spans="1:9" x14ac:dyDescent="0.35">
      <c r="A3433" s="18" t="s">
        <v>1098</v>
      </c>
      <c r="B3433" s="18" t="s">
        <v>3386</v>
      </c>
      <c r="C3433" s="20">
        <v>45405</v>
      </c>
      <c r="D3433" s="11">
        <v>1116.5440000000001</v>
      </c>
      <c r="E3433" s="27">
        <f t="shared" si="257"/>
        <v>1242.9367808000002</v>
      </c>
      <c r="F3433" s="6">
        <f t="shared" si="253"/>
        <v>1615.8178150400004</v>
      </c>
      <c r="G3433" s="7">
        <f t="shared" si="254"/>
        <v>1740.1114931200002</v>
      </c>
      <c r="H3433" s="8">
        <f t="shared" si="255"/>
        <v>1864.4051712000003</v>
      </c>
      <c r="I3433" s="9">
        <f t="shared" si="256"/>
        <v>1988.6988492800003</v>
      </c>
    </row>
    <row r="3434" spans="1:9" x14ac:dyDescent="0.35">
      <c r="A3434" s="18" t="s">
        <v>164</v>
      </c>
      <c r="B3434" s="18" t="s">
        <v>3288</v>
      </c>
      <c r="C3434" s="20">
        <v>45405</v>
      </c>
      <c r="D3434" s="11">
        <v>723.22</v>
      </c>
      <c r="E3434" s="27">
        <f t="shared" si="257"/>
        <v>805.08850399999994</v>
      </c>
      <c r="F3434" s="6">
        <f t="shared" si="253"/>
        <v>1046.6150551999999</v>
      </c>
      <c r="G3434" s="7">
        <f t="shared" si="254"/>
        <v>1127.1239055999999</v>
      </c>
      <c r="H3434" s="8">
        <f t="shared" si="255"/>
        <v>1207.632756</v>
      </c>
      <c r="I3434" s="9">
        <f t="shared" si="256"/>
        <v>1288.1416064</v>
      </c>
    </row>
    <row r="3435" spans="1:9" x14ac:dyDescent="0.35">
      <c r="A3435" s="18" t="s">
        <v>165</v>
      </c>
      <c r="B3435" s="18" t="s">
        <v>3289</v>
      </c>
      <c r="C3435" s="20">
        <v>45405</v>
      </c>
      <c r="D3435" s="11">
        <v>1196</v>
      </c>
      <c r="E3435" s="27">
        <f t="shared" si="257"/>
        <v>1331.3871999999999</v>
      </c>
      <c r="F3435" s="6">
        <f t="shared" si="253"/>
        <v>1730.8033599999999</v>
      </c>
      <c r="G3435" s="7">
        <f t="shared" si="254"/>
        <v>1863.9420799999998</v>
      </c>
      <c r="H3435" s="8">
        <f t="shared" si="255"/>
        <v>1997.0807999999997</v>
      </c>
      <c r="I3435" s="9">
        <f t="shared" si="256"/>
        <v>2130.2195200000001</v>
      </c>
    </row>
    <row r="3436" spans="1:9" x14ac:dyDescent="0.35">
      <c r="A3436" s="18" t="s">
        <v>166</v>
      </c>
      <c r="B3436" s="18" t="s">
        <v>935</v>
      </c>
      <c r="C3436" s="20">
        <v>45405</v>
      </c>
      <c r="D3436" s="11">
        <v>0</v>
      </c>
      <c r="E3436" s="27">
        <f t="shared" si="257"/>
        <v>0</v>
      </c>
      <c r="F3436" s="6">
        <f t="shared" si="253"/>
        <v>0</v>
      </c>
      <c r="G3436" s="7">
        <f t="shared" si="254"/>
        <v>0</v>
      </c>
      <c r="H3436" s="8">
        <f t="shared" si="255"/>
        <v>0</v>
      </c>
      <c r="I3436" s="9">
        <f t="shared" si="256"/>
        <v>0</v>
      </c>
    </row>
    <row r="3437" spans="1:9" ht="18" x14ac:dyDescent="0.4">
      <c r="B3437" s="19" t="s">
        <v>5017</v>
      </c>
      <c r="D3437" s="11">
        <v>0</v>
      </c>
      <c r="E3437" s="27">
        <f t="shared" si="257"/>
        <v>0</v>
      </c>
      <c r="F3437" s="6">
        <f t="shared" si="253"/>
        <v>0</v>
      </c>
      <c r="G3437" s="7">
        <f t="shared" si="254"/>
        <v>0</v>
      </c>
      <c r="H3437" s="8">
        <f t="shared" si="255"/>
        <v>0</v>
      </c>
      <c r="I3437" s="9">
        <f t="shared" si="256"/>
        <v>0</v>
      </c>
    </row>
    <row r="3438" spans="1:9" x14ac:dyDescent="0.35">
      <c r="A3438" s="18" t="s">
        <v>5018</v>
      </c>
      <c r="B3438" s="18" t="s">
        <v>5022</v>
      </c>
      <c r="C3438" s="20">
        <v>45673</v>
      </c>
      <c r="D3438" s="11">
        <v>1388.9618958454473</v>
      </c>
      <c r="E3438" s="27">
        <f t="shared" si="257"/>
        <v>1546.192382455152</v>
      </c>
      <c r="F3438" s="6">
        <f t="shared" si="253"/>
        <v>2010.0500971916977</v>
      </c>
      <c r="G3438" s="7">
        <f t="shared" si="254"/>
        <v>2164.6693354372128</v>
      </c>
      <c r="H3438" s="8">
        <f t="shared" si="255"/>
        <v>2319.2885736827279</v>
      </c>
      <c r="I3438" s="9">
        <f t="shared" si="256"/>
        <v>2473.9078119282435</v>
      </c>
    </row>
    <row r="3439" spans="1:9" x14ac:dyDescent="0.35">
      <c r="A3439" s="18" t="s">
        <v>5019</v>
      </c>
      <c r="B3439" s="18" t="s">
        <v>5021</v>
      </c>
      <c r="C3439" s="20">
        <v>45673</v>
      </c>
      <c r="D3439" s="11">
        <v>1552.7445390002708</v>
      </c>
      <c r="E3439" s="27">
        <f t="shared" si="257"/>
        <v>1728.5152208151014</v>
      </c>
      <c r="F3439" s="6">
        <f t="shared" si="253"/>
        <v>2247.0697870596318</v>
      </c>
      <c r="G3439" s="7">
        <f t="shared" si="254"/>
        <v>2419.921309141142</v>
      </c>
      <c r="H3439" s="8">
        <f t="shared" si="255"/>
        <v>2592.7728312226523</v>
      </c>
      <c r="I3439" s="9">
        <f t="shared" si="256"/>
        <v>2765.6243533041625</v>
      </c>
    </row>
    <row r="3440" spans="1:9" x14ac:dyDescent="0.35">
      <c r="A3440" s="18" t="s">
        <v>5020</v>
      </c>
      <c r="B3440" s="18" t="s">
        <v>5023</v>
      </c>
      <c r="C3440" s="20">
        <v>45673</v>
      </c>
      <c r="D3440" s="11">
        <v>2543.9485871840043</v>
      </c>
      <c r="E3440" s="27">
        <f t="shared" si="257"/>
        <v>2831.9235672532336</v>
      </c>
      <c r="F3440" s="6">
        <f t="shared" si="253"/>
        <v>3681.5006374292038</v>
      </c>
      <c r="G3440" s="7">
        <f t="shared" si="254"/>
        <v>3964.6929941545268</v>
      </c>
      <c r="H3440" s="8">
        <f t="shared" si="255"/>
        <v>4247.8853508798502</v>
      </c>
      <c r="I3440" s="9">
        <f t="shared" si="256"/>
        <v>4531.0777076051736</v>
      </c>
    </row>
    <row r="3441" spans="1:9" x14ac:dyDescent="0.35">
      <c r="A3441" s="18" t="s">
        <v>5043</v>
      </c>
      <c r="B3441" s="18" t="s">
        <v>5044</v>
      </c>
      <c r="C3441" s="20">
        <v>45673</v>
      </c>
      <c r="D3441" s="11">
        <v>2958.7228133553108</v>
      </c>
      <c r="E3441" s="27">
        <f t="shared" si="257"/>
        <v>3293.6502358271318</v>
      </c>
      <c r="F3441" s="6">
        <f t="shared" si="253"/>
        <v>4281.7453065752716</v>
      </c>
      <c r="G3441" s="7">
        <f t="shared" si="254"/>
        <v>4611.1103301579842</v>
      </c>
      <c r="H3441" s="8">
        <f t="shared" si="255"/>
        <v>4940.4753537406978</v>
      </c>
      <c r="I3441" s="9">
        <f t="shared" si="256"/>
        <v>5269.8403773234113</v>
      </c>
    </row>
    <row r="3442" spans="1:9" x14ac:dyDescent="0.35">
      <c r="A3442" s="18" t="s">
        <v>5045</v>
      </c>
      <c r="B3442" s="18" t="s">
        <v>5046</v>
      </c>
      <c r="C3442" s="20">
        <v>45673</v>
      </c>
      <c r="D3442" s="11">
        <v>3830.6188440342912</v>
      </c>
      <c r="E3442" s="27">
        <f t="shared" si="257"/>
        <v>4264.2448971789727</v>
      </c>
      <c r="F3442" s="6">
        <f t="shared" si="253"/>
        <v>5543.5183663326643</v>
      </c>
      <c r="G3442" s="7">
        <f t="shared" si="254"/>
        <v>5969.9428560505612</v>
      </c>
      <c r="H3442" s="8">
        <f t="shared" si="255"/>
        <v>6396.367345768459</v>
      </c>
      <c r="I3442" s="9">
        <f t="shared" si="256"/>
        <v>6822.7918354863568</v>
      </c>
    </row>
    <row r="3443" spans="1:9" x14ac:dyDescent="0.35">
      <c r="A3443" s="18" t="s">
        <v>5047</v>
      </c>
      <c r="B3443" s="18" t="s">
        <v>5049</v>
      </c>
      <c r="C3443" s="20">
        <v>45673</v>
      </c>
      <c r="D3443" s="11">
        <v>3131.0136457649292</v>
      </c>
      <c r="E3443" s="27">
        <f t="shared" si="257"/>
        <v>3485.4443904655191</v>
      </c>
      <c r="F3443" s="6">
        <f t="shared" si="253"/>
        <v>4531.0777076051745</v>
      </c>
      <c r="G3443" s="7">
        <f t="shared" si="254"/>
        <v>4879.6221466517263</v>
      </c>
      <c r="H3443" s="8">
        <f t="shared" si="255"/>
        <v>5228.1665856982781</v>
      </c>
      <c r="I3443" s="9">
        <f t="shared" si="256"/>
        <v>5576.7110247448309</v>
      </c>
    </row>
    <row r="3444" spans="1:9" x14ac:dyDescent="0.35">
      <c r="A3444" s="18" t="s">
        <v>5048</v>
      </c>
      <c r="B3444" s="18" t="s">
        <v>5050</v>
      </c>
      <c r="C3444" s="20">
        <v>45673</v>
      </c>
      <c r="D3444" s="11">
        <v>3982.2579807072689</v>
      </c>
      <c r="E3444" s="27">
        <f t="shared" si="257"/>
        <v>4433.0495841233314</v>
      </c>
      <c r="F3444" s="6">
        <f t="shared" ref="F3444:F3507" si="258">E3444*1.3</f>
        <v>5762.9644593603307</v>
      </c>
      <c r="G3444" s="7">
        <f t="shared" ref="G3444:G3507" si="259">E3444*1.4</f>
        <v>6206.2694177726635</v>
      </c>
      <c r="H3444" s="8">
        <f t="shared" ref="H3444:H3507" si="260">E3444*1.5</f>
        <v>6649.5743761849972</v>
      </c>
      <c r="I3444" s="9">
        <f t="shared" ref="I3444:I3507" si="261">E3444*1.6</f>
        <v>7092.8793345973309</v>
      </c>
    </row>
    <row r="3445" spans="1:9" x14ac:dyDescent="0.35">
      <c r="A3445" s="18" t="s">
        <v>5052</v>
      </c>
      <c r="B3445" s="18" t="s">
        <v>5051</v>
      </c>
      <c r="C3445" s="20">
        <v>45673</v>
      </c>
      <c r="D3445" s="11">
        <v>4992.4894339517296</v>
      </c>
      <c r="E3445" s="27">
        <f t="shared" si="257"/>
        <v>5557.6392378750661</v>
      </c>
      <c r="F3445" s="6">
        <f t="shared" si="258"/>
        <v>7224.9310092375863</v>
      </c>
      <c r="G3445" s="7">
        <f t="shared" si="259"/>
        <v>7780.6949330250918</v>
      </c>
      <c r="H3445" s="8">
        <f t="shared" si="260"/>
        <v>8336.4588568125982</v>
      </c>
      <c r="I3445" s="9">
        <f t="shared" si="261"/>
        <v>8892.2227806001065</v>
      </c>
    </row>
    <row r="3446" spans="1:9" x14ac:dyDescent="0.35">
      <c r="A3446" s="18" t="s">
        <v>5054</v>
      </c>
      <c r="B3446" s="18" t="s">
        <v>5056</v>
      </c>
      <c r="C3446" s="20">
        <v>45673</v>
      </c>
      <c r="D3446" s="11">
        <v>6364.8184950000013</v>
      </c>
      <c r="E3446" s="27">
        <f t="shared" si="257"/>
        <v>7085.3159486340019</v>
      </c>
      <c r="F3446" s="6">
        <f t="shared" si="258"/>
        <v>9210.910733224202</v>
      </c>
      <c r="G3446" s="7">
        <f t="shared" si="259"/>
        <v>9919.4423280876017</v>
      </c>
      <c r="H3446" s="8">
        <f t="shared" si="260"/>
        <v>10627.973922951003</v>
      </c>
      <c r="I3446" s="9">
        <f t="shared" si="261"/>
        <v>11336.505517814403</v>
      </c>
    </row>
    <row r="3447" spans="1:9" x14ac:dyDescent="0.35">
      <c r="A3447" s="18" t="s">
        <v>5055</v>
      </c>
      <c r="B3447" s="18" t="s">
        <v>5057</v>
      </c>
      <c r="C3447" s="20">
        <v>45673</v>
      </c>
      <c r="D3447" s="11">
        <v>9859.8416175000002</v>
      </c>
      <c r="E3447" s="27">
        <f t="shared" si="257"/>
        <v>10975.975688601</v>
      </c>
      <c r="F3447" s="6">
        <f t="shared" si="258"/>
        <v>14268.7683951813</v>
      </c>
      <c r="G3447" s="7">
        <f t="shared" si="259"/>
        <v>15366.365964041399</v>
      </c>
      <c r="H3447" s="8">
        <f t="shared" si="260"/>
        <v>16463.9635329015</v>
      </c>
      <c r="I3447" s="9">
        <f t="shared" si="261"/>
        <v>17561.561101761599</v>
      </c>
    </row>
    <row r="3448" spans="1:9" x14ac:dyDescent="0.35">
      <c r="A3448" s="18" t="s">
        <v>5117</v>
      </c>
      <c r="B3448" s="18" t="s">
        <v>5118</v>
      </c>
      <c r="C3448" s="20">
        <v>45673</v>
      </c>
      <c r="D3448" s="11">
        <v>2437.5962214990554</v>
      </c>
      <c r="E3448" s="27">
        <f t="shared" si="257"/>
        <v>2713.5321137727483</v>
      </c>
      <c r="F3448" s="6">
        <f t="shared" si="258"/>
        <v>3527.5917479045729</v>
      </c>
      <c r="G3448" s="7">
        <f t="shared" si="259"/>
        <v>3798.9449592818473</v>
      </c>
      <c r="H3448" s="8">
        <f t="shared" si="260"/>
        <v>4070.2981706591227</v>
      </c>
      <c r="I3448" s="9">
        <f t="shared" si="261"/>
        <v>4341.6513820363971</v>
      </c>
    </row>
    <row r="3449" spans="1:9" x14ac:dyDescent="0.35">
      <c r="A3449" s="18" t="s">
        <v>6200</v>
      </c>
      <c r="B3449" s="18" t="s">
        <v>6201</v>
      </c>
      <c r="C3449" s="20">
        <v>45673</v>
      </c>
      <c r="D3449" s="11">
        <v>5075.5988744999995</v>
      </c>
      <c r="E3449" s="27">
        <f t="shared" si="257"/>
        <v>5650.1566670933998</v>
      </c>
      <c r="F3449" s="6">
        <f t="shared" si="258"/>
        <v>7345.2036672214199</v>
      </c>
      <c r="G3449" s="7">
        <f t="shared" si="259"/>
        <v>7910.2193339307596</v>
      </c>
      <c r="H3449" s="8">
        <f t="shared" si="260"/>
        <v>8475.2350006400993</v>
      </c>
      <c r="I3449" s="9">
        <f t="shared" si="261"/>
        <v>9040.2506673494408</v>
      </c>
    </row>
    <row r="3450" spans="1:9" x14ac:dyDescent="0.35">
      <c r="A3450" s="18" t="s">
        <v>5119</v>
      </c>
      <c r="B3450" s="18" t="s">
        <v>5120</v>
      </c>
      <c r="C3450" s="20">
        <v>45673</v>
      </c>
      <c r="D3450" s="11">
        <v>7108.3143261900022</v>
      </c>
      <c r="E3450" s="27">
        <f t="shared" si="257"/>
        <v>7912.9755079147108</v>
      </c>
      <c r="F3450" s="6">
        <f t="shared" si="258"/>
        <v>10286.868160289125</v>
      </c>
      <c r="G3450" s="7">
        <f t="shared" si="259"/>
        <v>11078.165711080594</v>
      </c>
      <c r="H3450" s="8">
        <f t="shared" si="260"/>
        <v>11869.463261872066</v>
      </c>
      <c r="I3450" s="9">
        <f t="shared" si="261"/>
        <v>12660.760812663539</v>
      </c>
    </row>
    <row r="3451" spans="1:9" x14ac:dyDescent="0.35">
      <c r="A3451" s="18" t="s">
        <v>5121</v>
      </c>
      <c r="B3451" s="18" t="s">
        <v>5122</v>
      </c>
      <c r="C3451" s="20">
        <v>45673</v>
      </c>
      <c r="D3451" s="11">
        <v>11017.763410500005</v>
      </c>
      <c r="E3451" s="27">
        <f t="shared" si="257"/>
        <v>12264.974228568606</v>
      </c>
      <c r="F3451" s="6">
        <f t="shared" si="258"/>
        <v>15944.466497139189</v>
      </c>
      <c r="G3451" s="7">
        <f t="shared" si="259"/>
        <v>17170.963919996047</v>
      </c>
      <c r="H3451" s="8">
        <f t="shared" si="260"/>
        <v>18397.461342852908</v>
      </c>
      <c r="I3451" s="9">
        <f t="shared" si="261"/>
        <v>19623.958765709769</v>
      </c>
    </row>
    <row r="3452" spans="1:9" x14ac:dyDescent="0.35">
      <c r="A3452" s="18" t="s">
        <v>5507</v>
      </c>
      <c r="B3452" s="18" t="s">
        <v>5508</v>
      </c>
      <c r="C3452" s="20">
        <v>45673</v>
      </c>
      <c r="D3452" s="11">
        <v>6883.1251071299666</v>
      </c>
      <c r="E3452" s="27">
        <f t="shared" si="257"/>
        <v>7662.294869257079</v>
      </c>
      <c r="F3452" s="6">
        <f t="shared" si="258"/>
        <v>9960.9833300342034</v>
      </c>
      <c r="G3452" s="7">
        <f t="shared" si="259"/>
        <v>10727.212816959909</v>
      </c>
      <c r="H3452" s="8">
        <f t="shared" si="260"/>
        <v>11493.442303885618</v>
      </c>
      <c r="I3452" s="9">
        <f t="shared" si="261"/>
        <v>12259.671790811328</v>
      </c>
    </row>
    <row r="3453" spans="1:9" ht="15.75" customHeight="1" x14ac:dyDescent="0.4">
      <c r="B3453" s="19" t="s">
        <v>367</v>
      </c>
      <c r="D3453" s="11">
        <v>0</v>
      </c>
      <c r="E3453" s="27">
        <f t="shared" si="257"/>
        <v>0</v>
      </c>
      <c r="F3453" s="6">
        <f t="shared" si="258"/>
        <v>0</v>
      </c>
      <c r="G3453" s="7">
        <f t="shared" si="259"/>
        <v>0</v>
      </c>
      <c r="H3453" s="8">
        <f t="shared" si="260"/>
        <v>0</v>
      </c>
      <c r="I3453" s="9">
        <f t="shared" si="261"/>
        <v>0</v>
      </c>
    </row>
    <row r="3454" spans="1:9" x14ac:dyDescent="0.35">
      <c r="A3454" s="18" t="s">
        <v>366</v>
      </c>
      <c r="B3454" s="18" t="s">
        <v>5526</v>
      </c>
      <c r="C3454" s="20">
        <v>45677</v>
      </c>
      <c r="D3454" s="11">
        <v>2162.4876000000004</v>
      </c>
      <c r="E3454" s="27">
        <f t="shared" si="257"/>
        <v>2407.2811963200006</v>
      </c>
      <c r="F3454" s="6">
        <f t="shared" si="258"/>
        <v>3129.4655552160011</v>
      </c>
      <c r="G3454" s="7">
        <f t="shared" si="259"/>
        <v>3370.1936748480007</v>
      </c>
      <c r="H3454" s="8">
        <f t="shared" si="260"/>
        <v>3610.9217944800012</v>
      </c>
      <c r="I3454" s="9">
        <f t="shared" si="261"/>
        <v>3851.6499141120012</v>
      </c>
    </row>
    <row r="3455" spans="1:9" x14ac:dyDescent="0.35">
      <c r="A3455" s="18" t="s">
        <v>368</v>
      </c>
      <c r="B3455" s="18" t="s">
        <v>5527</v>
      </c>
      <c r="C3455" s="20">
        <v>45677</v>
      </c>
      <c r="D3455" s="11">
        <v>3245.0213249999997</v>
      </c>
      <c r="E3455" s="27">
        <f t="shared" si="257"/>
        <v>3612.3577389899997</v>
      </c>
      <c r="F3455" s="6">
        <f t="shared" si="258"/>
        <v>4696.0650606869995</v>
      </c>
      <c r="G3455" s="7">
        <f t="shared" si="259"/>
        <v>5057.3008345859989</v>
      </c>
      <c r="H3455" s="8">
        <f t="shared" si="260"/>
        <v>5418.5366084849993</v>
      </c>
      <c r="I3455" s="9">
        <f t="shared" si="261"/>
        <v>5779.7723823839997</v>
      </c>
    </row>
    <row r="3456" spans="1:9" x14ac:dyDescent="0.35">
      <c r="A3456" s="18" t="s">
        <v>1849</v>
      </c>
      <c r="B3456" s="18" t="s">
        <v>5528</v>
      </c>
      <c r="C3456" s="20">
        <v>45677</v>
      </c>
      <c r="D3456" s="11">
        <v>6828.5763000000006</v>
      </c>
      <c r="E3456" s="27">
        <f t="shared" si="257"/>
        <v>7601.5711371600019</v>
      </c>
      <c r="F3456" s="6">
        <f t="shared" si="258"/>
        <v>9882.0424783080034</v>
      </c>
      <c r="G3456" s="7">
        <f t="shared" si="259"/>
        <v>10642.199592024002</v>
      </c>
      <c r="H3456" s="8">
        <f t="shared" si="260"/>
        <v>11402.356705740003</v>
      </c>
      <c r="I3456" s="9">
        <f t="shared" si="261"/>
        <v>12162.513819456004</v>
      </c>
    </row>
    <row r="3457" spans="1:9" x14ac:dyDescent="0.35">
      <c r="A3457" s="18" t="s">
        <v>1850</v>
      </c>
      <c r="B3457" s="18" t="s">
        <v>5529</v>
      </c>
      <c r="C3457" s="20">
        <v>45677</v>
      </c>
      <c r="D3457" s="11">
        <v>11702.916225000003</v>
      </c>
      <c r="E3457" s="27">
        <f t="shared" si="257"/>
        <v>13027.686341670003</v>
      </c>
      <c r="F3457" s="6">
        <f t="shared" si="258"/>
        <v>16935.992244171004</v>
      </c>
      <c r="G3457" s="7">
        <f t="shared" si="259"/>
        <v>18238.760878338002</v>
      </c>
      <c r="H3457" s="8">
        <f t="shared" si="260"/>
        <v>19541.529512505003</v>
      </c>
      <c r="I3457" s="9">
        <f t="shared" si="261"/>
        <v>20844.298146672008</v>
      </c>
    </row>
    <row r="3458" spans="1:9" ht="15.75" customHeight="1" x14ac:dyDescent="0.4">
      <c r="B3458" s="19" t="s">
        <v>369</v>
      </c>
      <c r="D3458" s="11">
        <v>0</v>
      </c>
      <c r="E3458" s="27">
        <f t="shared" si="257"/>
        <v>0</v>
      </c>
      <c r="F3458" s="6">
        <f t="shared" si="258"/>
        <v>0</v>
      </c>
      <c r="G3458" s="7">
        <f t="shared" si="259"/>
        <v>0</v>
      </c>
      <c r="H3458" s="8">
        <f t="shared" si="260"/>
        <v>0</v>
      </c>
      <c r="I3458" s="9">
        <f t="shared" si="261"/>
        <v>0</v>
      </c>
    </row>
    <row r="3459" spans="1:9" x14ac:dyDescent="0.35">
      <c r="A3459" s="18" t="s">
        <v>370</v>
      </c>
      <c r="B3459" s="18" t="s">
        <v>373</v>
      </c>
      <c r="C3459" s="20">
        <v>45544</v>
      </c>
      <c r="D3459" s="11">
        <v>1458.9877899999999</v>
      </c>
      <c r="E3459" s="27">
        <f t="shared" si="257"/>
        <v>1624.1452078279999</v>
      </c>
      <c r="F3459" s="6">
        <f t="shared" si="258"/>
        <v>2111.3887701764002</v>
      </c>
      <c r="G3459" s="7">
        <f t="shared" si="259"/>
        <v>2273.8032909591998</v>
      </c>
      <c r="H3459" s="8">
        <f t="shared" si="260"/>
        <v>2436.2178117419999</v>
      </c>
      <c r="I3459" s="9">
        <f t="shared" si="261"/>
        <v>2598.6323325247999</v>
      </c>
    </row>
    <row r="3460" spans="1:9" x14ac:dyDescent="0.35">
      <c r="A3460" s="18" t="s">
        <v>371</v>
      </c>
      <c r="B3460" s="18" t="s">
        <v>374</v>
      </c>
      <c r="C3460" s="20">
        <v>45544</v>
      </c>
      <c r="D3460" s="11">
        <v>2602.6</v>
      </c>
      <c r="E3460" s="27">
        <f t="shared" si="257"/>
        <v>2897.21432</v>
      </c>
      <c r="F3460" s="6">
        <f t="shared" si="258"/>
        <v>3766.378616</v>
      </c>
      <c r="G3460" s="7">
        <f t="shared" si="259"/>
        <v>4056.1000479999998</v>
      </c>
      <c r="H3460" s="8">
        <f t="shared" si="260"/>
        <v>4345.8214800000005</v>
      </c>
      <c r="I3460" s="9">
        <f t="shared" si="261"/>
        <v>4635.5429119999999</v>
      </c>
    </row>
    <row r="3461" spans="1:9" x14ac:dyDescent="0.35">
      <c r="A3461" s="18" t="s">
        <v>372</v>
      </c>
      <c r="B3461" s="18" t="s">
        <v>375</v>
      </c>
      <c r="C3461" s="20">
        <v>45544</v>
      </c>
      <c r="D3461" s="11">
        <v>4147</v>
      </c>
      <c r="E3461" s="27">
        <f t="shared" si="257"/>
        <v>4616.4404000000004</v>
      </c>
      <c r="F3461" s="6">
        <f t="shared" si="258"/>
        <v>6001.3725200000008</v>
      </c>
      <c r="G3461" s="7">
        <f t="shared" si="259"/>
        <v>6463.01656</v>
      </c>
      <c r="H3461" s="8">
        <f t="shared" si="260"/>
        <v>6924.6606000000011</v>
      </c>
      <c r="I3461" s="9">
        <f t="shared" si="261"/>
        <v>7386.3046400000012</v>
      </c>
    </row>
    <row r="3462" spans="1:9" ht="18" x14ac:dyDescent="0.4">
      <c r="B3462" s="19" t="s">
        <v>6073</v>
      </c>
      <c r="D3462" s="11">
        <v>0</v>
      </c>
      <c r="E3462" s="27">
        <f t="shared" si="257"/>
        <v>0</v>
      </c>
      <c r="F3462" s="6">
        <f t="shared" si="258"/>
        <v>0</v>
      </c>
      <c r="G3462" s="7">
        <f t="shared" si="259"/>
        <v>0</v>
      </c>
      <c r="H3462" s="8">
        <f t="shared" si="260"/>
        <v>0</v>
      </c>
      <c r="I3462" s="9">
        <f t="shared" si="261"/>
        <v>0</v>
      </c>
    </row>
    <row r="3463" spans="1:9" x14ac:dyDescent="0.35">
      <c r="A3463" s="18" t="s">
        <v>1296</v>
      </c>
      <c r="B3463" s="18" t="s">
        <v>6074</v>
      </c>
      <c r="C3463" s="20">
        <v>45673</v>
      </c>
      <c r="D3463" s="11">
        <v>2370.9487390031532</v>
      </c>
      <c r="E3463" s="27">
        <f t="shared" si="257"/>
        <v>2639.3401362583104</v>
      </c>
      <c r="F3463" s="6">
        <f t="shared" si="258"/>
        <v>3431.1421771358036</v>
      </c>
      <c r="G3463" s="7">
        <f t="shared" si="259"/>
        <v>3695.0761907616343</v>
      </c>
      <c r="H3463" s="8">
        <f t="shared" si="260"/>
        <v>3959.0102043874658</v>
      </c>
      <c r="I3463" s="9">
        <f t="shared" si="261"/>
        <v>4222.9442180132964</v>
      </c>
    </row>
    <row r="3464" spans="1:9" x14ac:dyDescent="0.35">
      <c r="A3464" s="18" t="s">
        <v>1297</v>
      </c>
      <c r="B3464" s="18" t="s">
        <v>6075</v>
      </c>
      <c r="C3464" s="20">
        <v>45673</v>
      </c>
      <c r="D3464" s="11">
        <v>5440.7787461430516</v>
      </c>
      <c r="E3464" s="27">
        <f t="shared" si="257"/>
        <v>6056.6749002064453</v>
      </c>
      <c r="F3464" s="6">
        <f t="shared" si="258"/>
        <v>7873.6773702683795</v>
      </c>
      <c r="G3464" s="7">
        <f t="shared" si="259"/>
        <v>8479.3448602890221</v>
      </c>
      <c r="H3464" s="8">
        <f t="shared" si="260"/>
        <v>9085.0123503096675</v>
      </c>
      <c r="I3464" s="9">
        <f t="shared" si="261"/>
        <v>9690.6798403303128</v>
      </c>
    </row>
    <row r="3465" spans="1:9" x14ac:dyDescent="0.35">
      <c r="A3465" s="18" t="s">
        <v>1298</v>
      </c>
      <c r="B3465" s="18" t="s">
        <v>6076</v>
      </c>
      <c r="C3465" s="20">
        <v>45673</v>
      </c>
      <c r="D3465" s="11">
        <v>10297.168718588142</v>
      </c>
      <c r="E3465" s="27">
        <f t="shared" si="257"/>
        <v>11462.80821753232</v>
      </c>
      <c r="F3465" s="6">
        <f t="shared" si="258"/>
        <v>14901.650682792017</v>
      </c>
      <c r="G3465" s="7">
        <f t="shared" si="259"/>
        <v>16047.931504545246</v>
      </c>
      <c r="H3465" s="8">
        <f t="shared" si="260"/>
        <v>17194.212326298479</v>
      </c>
      <c r="I3465" s="9">
        <f t="shared" si="261"/>
        <v>18340.493148051712</v>
      </c>
    </row>
    <row r="3466" spans="1:9" x14ac:dyDescent="0.35">
      <c r="A3466" s="18" t="s">
        <v>1299</v>
      </c>
      <c r="B3466" s="18" t="s">
        <v>6077</v>
      </c>
      <c r="C3466" s="20">
        <v>45673</v>
      </c>
      <c r="D3466" s="11">
        <v>949.33359972158439</v>
      </c>
      <c r="E3466" s="27">
        <f t="shared" si="257"/>
        <v>1056.7981632100677</v>
      </c>
      <c r="F3466" s="6">
        <f t="shared" si="258"/>
        <v>1373.837612173088</v>
      </c>
      <c r="G3466" s="7">
        <f t="shared" si="259"/>
        <v>1479.5174284940947</v>
      </c>
      <c r="H3466" s="8">
        <f t="shared" si="260"/>
        <v>1585.1972448151016</v>
      </c>
      <c r="I3466" s="9">
        <f t="shared" si="261"/>
        <v>1690.8770611361085</v>
      </c>
    </row>
    <row r="3467" spans="1:9" x14ac:dyDescent="0.35">
      <c r="A3467" s="18" t="s">
        <v>1300</v>
      </c>
      <c r="B3467" s="18" t="s">
        <v>6078</v>
      </c>
      <c r="C3467" s="20">
        <v>45673</v>
      </c>
      <c r="D3467" s="11">
        <v>2344.7108756942653</v>
      </c>
      <c r="E3467" s="27">
        <f t="shared" si="257"/>
        <v>2610.1321468228562</v>
      </c>
      <c r="F3467" s="6">
        <f t="shared" si="258"/>
        <v>3393.1717908697133</v>
      </c>
      <c r="G3467" s="7">
        <f t="shared" si="259"/>
        <v>3654.1850055519985</v>
      </c>
      <c r="H3467" s="8">
        <f t="shared" si="260"/>
        <v>3915.1982202342842</v>
      </c>
      <c r="I3467" s="9">
        <f t="shared" si="261"/>
        <v>4176.2114349165704</v>
      </c>
    </row>
    <row r="3468" spans="1:9" x14ac:dyDescent="0.35">
      <c r="A3468" s="18" t="s">
        <v>1093</v>
      </c>
      <c r="B3468" s="18" t="s">
        <v>6079</v>
      </c>
      <c r="C3468" s="20">
        <v>45673</v>
      </c>
      <c r="D3468" s="11">
        <v>3518.258943691802</v>
      </c>
      <c r="E3468" s="27">
        <f t="shared" si="257"/>
        <v>3916.5258561177134</v>
      </c>
      <c r="F3468" s="6">
        <f t="shared" si="258"/>
        <v>5091.4836129530277</v>
      </c>
      <c r="G3468" s="7">
        <f t="shared" si="259"/>
        <v>5483.1361985647982</v>
      </c>
      <c r="H3468" s="8">
        <f t="shared" si="260"/>
        <v>5874.7887841765696</v>
      </c>
      <c r="I3468" s="9">
        <f t="shared" si="261"/>
        <v>6266.4413697883419</v>
      </c>
    </row>
    <row r="3469" spans="1:9" x14ac:dyDescent="0.35">
      <c r="A3469" s="18" t="s">
        <v>1094</v>
      </c>
      <c r="B3469" s="18" t="s">
        <v>6132</v>
      </c>
      <c r="C3469" s="20">
        <v>45673</v>
      </c>
      <c r="D3469" s="11">
        <v>835.90540000000021</v>
      </c>
      <c r="E3469" s="27">
        <f t="shared" si="257"/>
        <v>930.52989128000024</v>
      </c>
      <c r="F3469" s="6">
        <f t="shared" si="258"/>
        <v>1209.6888586640005</v>
      </c>
      <c r="G3469" s="7">
        <f t="shared" si="259"/>
        <v>1302.7418477920003</v>
      </c>
      <c r="H3469" s="8">
        <f t="shared" si="260"/>
        <v>1395.7948369200003</v>
      </c>
      <c r="I3469" s="9">
        <f t="shared" si="261"/>
        <v>1488.8478260480006</v>
      </c>
    </row>
    <row r="3470" spans="1:9" x14ac:dyDescent="0.35">
      <c r="A3470" s="18" t="s">
        <v>1103</v>
      </c>
      <c r="B3470" s="24" t="s">
        <v>6080</v>
      </c>
      <c r="C3470" s="20">
        <v>45673</v>
      </c>
      <c r="D3470" s="11">
        <v>1934.4461039552887</v>
      </c>
      <c r="E3470" s="27">
        <f t="shared" si="257"/>
        <v>2153.4254029230274</v>
      </c>
      <c r="F3470" s="6">
        <f t="shared" si="258"/>
        <v>2799.4530237999356</v>
      </c>
      <c r="G3470" s="7">
        <f t="shared" si="259"/>
        <v>3014.7955640922382</v>
      </c>
      <c r="H3470" s="8">
        <f t="shared" si="260"/>
        <v>3230.1381043845413</v>
      </c>
      <c r="I3470" s="9">
        <f t="shared" si="261"/>
        <v>3445.4806446768439</v>
      </c>
    </row>
    <row r="3471" spans="1:9" x14ac:dyDescent="0.35">
      <c r="A3471" s="18" t="s">
        <v>1104</v>
      </c>
      <c r="B3471" s="24" t="s">
        <v>6081</v>
      </c>
      <c r="C3471" s="20">
        <v>45673</v>
      </c>
      <c r="D3471" s="11">
        <v>2731.123044425161</v>
      </c>
      <c r="E3471" s="27">
        <f t="shared" si="257"/>
        <v>3040.286173054089</v>
      </c>
      <c r="F3471" s="6">
        <f t="shared" si="258"/>
        <v>3952.3720249703156</v>
      </c>
      <c r="G3471" s="7">
        <f t="shared" si="259"/>
        <v>4256.4006422757247</v>
      </c>
      <c r="H3471" s="8">
        <f t="shared" si="260"/>
        <v>4560.429259581133</v>
      </c>
      <c r="I3471" s="9">
        <f t="shared" si="261"/>
        <v>4864.4578768865422</v>
      </c>
    </row>
    <row r="3472" spans="1:9" x14ac:dyDescent="0.35">
      <c r="A3472" s="18" t="s">
        <v>163</v>
      </c>
      <c r="B3472" s="24" t="s">
        <v>6082</v>
      </c>
      <c r="C3472" s="20">
        <v>45673</v>
      </c>
      <c r="D3472" s="11">
        <v>6046.6348625482833</v>
      </c>
      <c r="E3472" s="27">
        <f t="shared" si="257"/>
        <v>6731.1139289887487</v>
      </c>
      <c r="F3472" s="6">
        <f t="shared" si="258"/>
        <v>8750.4481076853735</v>
      </c>
      <c r="G3472" s="7">
        <f t="shared" si="259"/>
        <v>9423.5595005842479</v>
      </c>
      <c r="H3472" s="8">
        <f t="shared" si="260"/>
        <v>10096.670893483122</v>
      </c>
      <c r="I3472" s="9">
        <f t="shared" si="261"/>
        <v>10769.782286381998</v>
      </c>
    </row>
    <row r="3473" spans="1:9" x14ac:dyDescent="0.35">
      <c r="A3473" s="18" t="s">
        <v>167</v>
      </c>
      <c r="B3473" s="24" t="s">
        <v>6083</v>
      </c>
      <c r="C3473" s="20">
        <v>45673</v>
      </c>
      <c r="D3473" s="11">
        <v>11425.396840870324</v>
      </c>
      <c r="E3473" s="27">
        <f t="shared" si="257"/>
        <v>12718.751763256845</v>
      </c>
      <c r="F3473" s="6">
        <f t="shared" si="258"/>
        <v>16534.377292233898</v>
      </c>
      <c r="G3473" s="7">
        <f t="shared" si="259"/>
        <v>17806.252468559582</v>
      </c>
      <c r="H3473" s="8">
        <f t="shared" si="260"/>
        <v>19078.127644885266</v>
      </c>
      <c r="I3473" s="9">
        <f t="shared" si="261"/>
        <v>20350.002821210954</v>
      </c>
    </row>
    <row r="3474" spans="1:9" x14ac:dyDescent="0.35">
      <c r="A3474" s="18" t="s">
        <v>168</v>
      </c>
      <c r="B3474" s="24" t="s">
        <v>6084</v>
      </c>
      <c r="C3474" s="20">
        <v>45673</v>
      </c>
      <c r="D3474" s="11">
        <v>20918.732838086169</v>
      </c>
      <c r="E3474" s="27">
        <f t="shared" si="257"/>
        <v>23286.733395357525</v>
      </c>
      <c r="F3474" s="6">
        <f t="shared" si="258"/>
        <v>30272.753413964783</v>
      </c>
      <c r="G3474" s="7">
        <f t="shared" si="259"/>
        <v>32601.426753500535</v>
      </c>
      <c r="H3474" s="8">
        <f t="shared" si="260"/>
        <v>34930.100093036286</v>
      </c>
      <c r="I3474" s="9">
        <f t="shared" si="261"/>
        <v>37258.773432572045</v>
      </c>
    </row>
    <row r="3475" spans="1:9" ht="15.75" customHeight="1" x14ac:dyDescent="0.4">
      <c r="B3475" s="19" t="s">
        <v>376</v>
      </c>
      <c r="D3475" s="11">
        <v>0</v>
      </c>
      <c r="E3475" s="27">
        <f t="shared" ref="E3475:E3538" si="262">D3475*1.21*0.92</f>
        <v>0</v>
      </c>
      <c r="F3475" s="6">
        <f t="shared" si="258"/>
        <v>0</v>
      </c>
      <c r="G3475" s="7">
        <f t="shared" si="259"/>
        <v>0</v>
      </c>
      <c r="H3475" s="8">
        <f t="shared" si="260"/>
        <v>0</v>
      </c>
      <c r="I3475" s="9">
        <f t="shared" si="261"/>
        <v>0</v>
      </c>
    </row>
    <row r="3476" spans="1:9" x14ac:dyDescent="0.35">
      <c r="A3476" s="18" t="s">
        <v>825</v>
      </c>
      <c r="B3476" s="18" t="s">
        <v>1254</v>
      </c>
      <c r="C3476" s="20">
        <v>45544</v>
      </c>
      <c r="D3476" s="11">
        <v>28196.349480000004</v>
      </c>
      <c r="E3476" s="27">
        <f t="shared" si="262"/>
        <v>31388.176241136007</v>
      </c>
      <c r="F3476" s="6">
        <f t="shared" si="258"/>
        <v>40804.629113476811</v>
      </c>
      <c r="G3476" s="7">
        <f t="shared" si="259"/>
        <v>43943.446737590406</v>
      </c>
      <c r="H3476" s="8">
        <f t="shared" si="260"/>
        <v>47082.264361704008</v>
      </c>
      <c r="I3476" s="9">
        <f t="shared" si="261"/>
        <v>50221.081985817611</v>
      </c>
    </row>
    <row r="3477" spans="1:9" x14ac:dyDescent="0.35">
      <c r="A3477" s="18" t="s">
        <v>826</v>
      </c>
      <c r="B3477" s="18" t="s">
        <v>1255</v>
      </c>
      <c r="C3477" s="20">
        <v>45544</v>
      </c>
      <c r="D3477" s="11">
        <v>31471.544520000007</v>
      </c>
      <c r="E3477" s="27">
        <f t="shared" si="262"/>
        <v>35034.123359664009</v>
      </c>
      <c r="F3477" s="6">
        <f t="shared" si="258"/>
        <v>45544.360367563211</v>
      </c>
      <c r="G3477" s="7">
        <f t="shared" si="259"/>
        <v>49047.772703529612</v>
      </c>
      <c r="H3477" s="8">
        <f t="shared" si="260"/>
        <v>52551.185039496013</v>
      </c>
      <c r="I3477" s="9">
        <f t="shared" si="261"/>
        <v>56054.597375462414</v>
      </c>
    </row>
    <row r="3478" spans="1:9" x14ac:dyDescent="0.35">
      <c r="A3478" s="18" t="s">
        <v>827</v>
      </c>
      <c r="B3478" s="18" t="s">
        <v>1256</v>
      </c>
      <c r="C3478" s="20">
        <v>45544</v>
      </c>
      <c r="D3478" s="11">
        <v>33471.107280000004</v>
      </c>
      <c r="E3478" s="27">
        <f t="shared" si="262"/>
        <v>37260.036624095999</v>
      </c>
      <c r="F3478" s="6">
        <f t="shared" si="258"/>
        <v>48438.047611324801</v>
      </c>
      <c r="G3478" s="7">
        <f t="shared" si="259"/>
        <v>52164.051273734396</v>
      </c>
      <c r="H3478" s="8">
        <f t="shared" si="260"/>
        <v>55890.054936143999</v>
      </c>
      <c r="I3478" s="9">
        <f t="shared" si="261"/>
        <v>59616.058598553602</v>
      </c>
    </row>
    <row r="3479" spans="1:9" x14ac:dyDescent="0.35">
      <c r="A3479" s="18" t="s">
        <v>828</v>
      </c>
      <c r="B3479" s="18" t="s">
        <v>1257</v>
      </c>
      <c r="C3479" s="20">
        <v>45544</v>
      </c>
      <c r="D3479" s="11">
        <v>27607.089502819308</v>
      </c>
      <c r="E3479" s="27">
        <f t="shared" si="262"/>
        <v>30732.212034538454</v>
      </c>
      <c r="F3479" s="6">
        <f t="shared" si="258"/>
        <v>39951.875644899992</v>
      </c>
      <c r="G3479" s="7">
        <f t="shared" si="259"/>
        <v>43025.096848353831</v>
      </c>
      <c r="H3479" s="8">
        <f t="shared" si="260"/>
        <v>46098.318051807684</v>
      </c>
      <c r="I3479" s="9">
        <f t="shared" si="261"/>
        <v>49171.53925526153</v>
      </c>
    </row>
    <row r="3480" spans="1:9" ht="18" x14ac:dyDescent="0.4">
      <c r="B3480" s="19" t="s">
        <v>4654</v>
      </c>
      <c r="D3480" s="11">
        <v>0</v>
      </c>
      <c r="E3480" s="27">
        <f t="shared" si="262"/>
        <v>0</v>
      </c>
      <c r="F3480" s="6">
        <f t="shared" si="258"/>
        <v>0</v>
      </c>
      <c r="G3480" s="7">
        <f t="shared" si="259"/>
        <v>0</v>
      </c>
      <c r="H3480" s="8">
        <f t="shared" si="260"/>
        <v>0</v>
      </c>
      <c r="I3480" s="9">
        <f t="shared" si="261"/>
        <v>0</v>
      </c>
    </row>
    <row r="3481" spans="1:9" x14ac:dyDescent="0.35">
      <c r="A3481" s="18" t="s">
        <v>580</v>
      </c>
      <c r="B3481" s="18" t="s">
        <v>2794</v>
      </c>
      <c r="C3481" s="20">
        <v>45544</v>
      </c>
      <c r="D3481" s="11">
        <v>20016.828000000001</v>
      </c>
      <c r="E3481" s="27">
        <f t="shared" si="262"/>
        <v>22282.732929600003</v>
      </c>
      <c r="F3481" s="6">
        <f t="shared" si="258"/>
        <v>28967.552808480003</v>
      </c>
      <c r="G3481" s="7">
        <f t="shared" si="259"/>
        <v>31195.826101440001</v>
      </c>
      <c r="H3481" s="8">
        <f t="shared" si="260"/>
        <v>33424.099394400007</v>
      </c>
      <c r="I3481" s="9">
        <f t="shared" si="261"/>
        <v>35652.372687360003</v>
      </c>
    </row>
    <row r="3482" spans="1:9" x14ac:dyDescent="0.35">
      <c r="A3482" s="18" t="s">
        <v>581</v>
      </c>
      <c r="B3482" s="18" t="s">
        <v>2795</v>
      </c>
      <c r="C3482" s="20">
        <v>45544</v>
      </c>
      <c r="D3482" s="11">
        <v>21856.99</v>
      </c>
      <c r="E3482" s="27">
        <f t="shared" si="262"/>
        <v>24331.201268000001</v>
      </c>
      <c r="F3482" s="6">
        <f t="shared" si="258"/>
        <v>31630.561648400002</v>
      </c>
      <c r="G3482" s="7">
        <f t="shared" si="259"/>
        <v>34063.681775199999</v>
      </c>
      <c r="H3482" s="8">
        <f t="shared" si="260"/>
        <v>36496.801901999999</v>
      </c>
      <c r="I3482" s="9">
        <f t="shared" si="261"/>
        <v>38929.9220288</v>
      </c>
    </row>
    <row r="3483" spans="1:9" x14ac:dyDescent="0.35">
      <c r="A3483" s="18" t="s">
        <v>582</v>
      </c>
      <c r="B3483" s="18" t="s">
        <v>2796</v>
      </c>
      <c r="C3483" s="20">
        <v>45544</v>
      </c>
      <c r="D3483" s="11">
        <v>23545.08</v>
      </c>
      <c r="E3483" s="27">
        <f t="shared" si="262"/>
        <v>26210.383056000002</v>
      </c>
      <c r="F3483" s="6">
        <f t="shared" si="258"/>
        <v>34073.497972800003</v>
      </c>
      <c r="G3483" s="7">
        <f t="shared" si="259"/>
        <v>36694.536278400003</v>
      </c>
      <c r="H3483" s="8">
        <f t="shared" si="260"/>
        <v>39315.574584000002</v>
      </c>
      <c r="I3483" s="9">
        <f t="shared" si="261"/>
        <v>41936.612889600008</v>
      </c>
    </row>
    <row r="3484" spans="1:9" ht="18" x14ac:dyDescent="0.4">
      <c r="A3484" s="42"/>
      <c r="B3484" s="34" t="s">
        <v>5470</v>
      </c>
      <c r="C3484" s="29"/>
      <c r="D3484" s="11">
        <v>0</v>
      </c>
      <c r="E3484" s="27">
        <f t="shared" si="262"/>
        <v>0</v>
      </c>
      <c r="F3484" s="6">
        <f t="shared" si="258"/>
        <v>0</v>
      </c>
      <c r="G3484" s="7">
        <f t="shared" si="259"/>
        <v>0</v>
      </c>
      <c r="H3484" s="8">
        <f t="shared" si="260"/>
        <v>0</v>
      </c>
      <c r="I3484" s="9">
        <f t="shared" si="261"/>
        <v>0</v>
      </c>
    </row>
    <row r="3485" spans="1:9" x14ac:dyDescent="0.35">
      <c r="A3485" s="28" t="s">
        <v>5471</v>
      </c>
      <c r="B3485" s="28" t="s">
        <v>5473</v>
      </c>
      <c r="C3485" s="29">
        <v>45731</v>
      </c>
      <c r="D3485" s="11">
        <v>27512.5</v>
      </c>
      <c r="E3485" s="27">
        <f t="shared" si="262"/>
        <v>30626.915000000001</v>
      </c>
      <c r="F3485" s="6">
        <f t="shared" si="258"/>
        <v>39814.989500000003</v>
      </c>
      <c r="G3485" s="7">
        <f t="shared" si="259"/>
        <v>42877.680999999997</v>
      </c>
      <c r="H3485" s="8">
        <f t="shared" si="260"/>
        <v>45940.372499999998</v>
      </c>
      <c r="I3485" s="9">
        <f t="shared" si="261"/>
        <v>49003.064000000006</v>
      </c>
    </row>
    <row r="3486" spans="1:9" x14ac:dyDescent="0.35">
      <c r="A3486" s="28" t="s">
        <v>5472</v>
      </c>
      <c r="B3486" s="28" t="s">
        <v>5475</v>
      </c>
      <c r="C3486" s="29">
        <v>45731</v>
      </c>
      <c r="D3486" s="11">
        <v>29125</v>
      </c>
      <c r="E3486" s="27">
        <f t="shared" si="262"/>
        <v>32421.95</v>
      </c>
      <c r="F3486" s="6">
        <f t="shared" si="258"/>
        <v>42148.535000000003</v>
      </c>
      <c r="G3486" s="7">
        <f t="shared" si="259"/>
        <v>45390.729999999996</v>
      </c>
      <c r="H3486" s="8">
        <f t="shared" si="260"/>
        <v>48632.925000000003</v>
      </c>
      <c r="I3486" s="9">
        <f t="shared" si="261"/>
        <v>51875.12</v>
      </c>
    </row>
    <row r="3487" spans="1:9" ht="18" x14ac:dyDescent="0.4">
      <c r="B3487" s="19" t="s">
        <v>5474</v>
      </c>
      <c r="D3487" s="11">
        <v>0</v>
      </c>
      <c r="E3487" s="27">
        <f t="shared" si="262"/>
        <v>0</v>
      </c>
      <c r="F3487" s="6">
        <f t="shared" si="258"/>
        <v>0</v>
      </c>
      <c r="G3487" s="7">
        <f t="shared" si="259"/>
        <v>0</v>
      </c>
      <c r="H3487" s="8">
        <f t="shared" si="260"/>
        <v>0</v>
      </c>
      <c r="I3487" s="9">
        <f t="shared" si="261"/>
        <v>0</v>
      </c>
    </row>
    <row r="3488" spans="1:9" x14ac:dyDescent="0.35">
      <c r="A3488" s="18" t="s">
        <v>5476</v>
      </c>
      <c r="B3488" s="18" t="s">
        <v>5478</v>
      </c>
      <c r="C3488" s="20">
        <v>45363</v>
      </c>
      <c r="D3488" s="11">
        <v>10009.907627598343</v>
      </c>
      <c r="E3488" s="27">
        <f t="shared" si="262"/>
        <v>11143.029171042475</v>
      </c>
      <c r="F3488" s="6">
        <f t="shared" si="258"/>
        <v>14485.937922355219</v>
      </c>
      <c r="G3488" s="7">
        <f t="shared" si="259"/>
        <v>15600.240839459464</v>
      </c>
      <c r="H3488" s="8">
        <f t="shared" si="260"/>
        <v>16714.543756563711</v>
      </c>
      <c r="I3488" s="9">
        <f t="shared" si="261"/>
        <v>17828.846673667962</v>
      </c>
    </row>
    <row r="3489" spans="1:9" x14ac:dyDescent="0.35">
      <c r="A3489" s="18" t="s">
        <v>5477</v>
      </c>
      <c r="B3489" s="18" t="s">
        <v>5479</v>
      </c>
      <c r="C3489" s="20">
        <v>45363</v>
      </c>
      <c r="D3489" s="11">
        <v>10542.544914204494</v>
      </c>
      <c r="E3489" s="27">
        <f t="shared" si="262"/>
        <v>11735.960998492443</v>
      </c>
      <c r="F3489" s="6">
        <f t="shared" si="258"/>
        <v>15256.749298040177</v>
      </c>
      <c r="G3489" s="7">
        <f t="shared" si="259"/>
        <v>16430.345397889418</v>
      </c>
      <c r="H3489" s="8">
        <f t="shared" si="260"/>
        <v>17603.941497738662</v>
      </c>
      <c r="I3489" s="9">
        <f t="shared" si="261"/>
        <v>18777.537597587911</v>
      </c>
    </row>
    <row r="3490" spans="1:9" ht="15.75" customHeight="1" x14ac:dyDescent="0.4">
      <c r="B3490" s="19" t="s">
        <v>2579</v>
      </c>
      <c r="D3490" s="11">
        <v>0</v>
      </c>
      <c r="E3490" s="27">
        <f t="shared" si="262"/>
        <v>0</v>
      </c>
      <c r="F3490" s="6">
        <f t="shared" si="258"/>
        <v>0</v>
      </c>
      <c r="G3490" s="7">
        <f t="shared" si="259"/>
        <v>0</v>
      </c>
      <c r="H3490" s="8">
        <f t="shared" si="260"/>
        <v>0</v>
      </c>
      <c r="I3490" s="9">
        <f t="shared" si="261"/>
        <v>0</v>
      </c>
    </row>
    <row r="3491" spans="1:9" x14ac:dyDescent="0.35">
      <c r="A3491" s="18" t="s">
        <v>169</v>
      </c>
      <c r="B3491" s="18" t="s">
        <v>936</v>
      </c>
      <c r="C3491" s="20">
        <v>45363</v>
      </c>
      <c r="D3491" s="11">
        <v>3247.22</v>
      </c>
      <c r="E3491" s="27">
        <f t="shared" si="262"/>
        <v>3614.8053039999995</v>
      </c>
      <c r="F3491" s="6">
        <f t="shared" si="258"/>
        <v>4699.2468951999999</v>
      </c>
      <c r="G3491" s="7">
        <f t="shared" si="259"/>
        <v>5060.7274255999992</v>
      </c>
      <c r="H3491" s="8">
        <f t="shared" si="260"/>
        <v>5422.2079559999993</v>
      </c>
      <c r="I3491" s="9">
        <f t="shared" si="261"/>
        <v>5783.6884863999994</v>
      </c>
    </row>
    <row r="3492" spans="1:9" x14ac:dyDescent="0.35">
      <c r="A3492" s="18" t="s">
        <v>170</v>
      </c>
      <c r="B3492" s="18" t="s">
        <v>2577</v>
      </c>
      <c r="C3492" s="20">
        <v>45363</v>
      </c>
      <c r="D3492" s="11">
        <v>6071.5088970240431</v>
      </c>
      <c r="E3492" s="27">
        <f t="shared" si="262"/>
        <v>6758.8037041671651</v>
      </c>
      <c r="F3492" s="6">
        <f t="shared" si="258"/>
        <v>8786.4448154173151</v>
      </c>
      <c r="G3492" s="7">
        <f t="shared" si="259"/>
        <v>9462.32518583403</v>
      </c>
      <c r="H3492" s="8">
        <f t="shared" si="260"/>
        <v>10138.205556250748</v>
      </c>
      <c r="I3492" s="9">
        <f t="shared" si="261"/>
        <v>10814.085926667465</v>
      </c>
    </row>
    <row r="3493" spans="1:9" x14ac:dyDescent="0.35">
      <c r="A3493" s="18" t="s">
        <v>171</v>
      </c>
      <c r="B3493" s="18" t="s">
        <v>890</v>
      </c>
      <c r="C3493" s="20">
        <v>45363</v>
      </c>
      <c r="D3493" s="11">
        <v>3740.97</v>
      </c>
      <c r="E3493" s="27">
        <f t="shared" si="262"/>
        <v>4164.4478040000004</v>
      </c>
      <c r="F3493" s="6">
        <f t="shared" si="258"/>
        <v>5413.7821452000007</v>
      </c>
      <c r="G3493" s="7">
        <f t="shared" si="259"/>
        <v>5830.2269256</v>
      </c>
      <c r="H3493" s="8">
        <f t="shared" si="260"/>
        <v>6246.671706000001</v>
      </c>
      <c r="I3493" s="9">
        <f t="shared" si="261"/>
        <v>6663.1164864000011</v>
      </c>
    </row>
    <row r="3494" spans="1:9" x14ac:dyDescent="0.35">
      <c r="A3494" s="18" t="s">
        <v>172</v>
      </c>
      <c r="B3494" s="18" t="s">
        <v>2578</v>
      </c>
      <c r="C3494" s="20">
        <v>45363</v>
      </c>
      <c r="D3494" s="11">
        <v>7317.3028659786341</v>
      </c>
      <c r="E3494" s="27">
        <f t="shared" si="262"/>
        <v>8145.6215504074153</v>
      </c>
      <c r="F3494" s="6">
        <f t="shared" si="258"/>
        <v>10589.308015529639</v>
      </c>
      <c r="G3494" s="7">
        <f t="shared" si="259"/>
        <v>11403.870170570381</v>
      </c>
      <c r="H3494" s="8">
        <f t="shared" si="260"/>
        <v>12218.432325611124</v>
      </c>
      <c r="I3494" s="9">
        <f t="shared" si="261"/>
        <v>13032.994480651865</v>
      </c>
    </row>
    <row r="3495" spans="1:9" x14ac:dyDescent="0.35">
      <c r="A3495" s="18" t="s">
        <v>311</v>
      </c>
      <c r="B3495" s="18" t="s">
        <v>313</v>
      </c>
      <c r="C3495" s="20">
        <v>45391</v>
      </c>
      <c r="D3495" s="11">
        <v>760.4</v>
      </c>
      <c r="E3495" s="27">
        <f t="shared" si="262"/>
        <v>846.47727999999995</v>
      </c>
      <c r="F3495" s="6">
        <f t="shared" si="258"/>
        <v>1100.420464</v>
      </c>
      <c r="G3495" s="7">
        <f t="shared" si="259"/>
        <v>1185.068192</v>
      </c>
      <c r="H3495" s="8">
        <f t="shared" si="260"/>
        <v>1269.7159199999999</v>
      </c>
      <c r="I3495" s="9">
        <f t="shared" si="261"/>
        <v>1354.363648</v>
      </c>
    </row>
    <row r="3496" spans="1:9" x14ac:dyDescent="0.35">
      <c r="A3496" s="18" t="s">
        <v>312</v>
      </c>
      <c r="B3496" s="18" t="s">
        <v>314</v>
      </c>
      <c r="C3496" s="20">
        <v>45391</v>
      </c>
      <c r="D3496" s="11">
        <v>815.4</v>
      </c>
      <c r="E3496" s="27">
        <f t="shared" si="262"/>
        <v>907.70327999999995</v>
      </c>
      <c r="F3496" s="6">
        <f t="shared" si="258"/>
        <v>1180.0142639999999</v>
      </c>
      <c r="G3496" s="7">
        <f t="shared" si="259"/>
        <v>1270.7845919999997</v>
      </c>
      <c r="H3496" s="8">
        <f t="shared" si="260"/>
        <v>1361.55492</v>
      </c>
      <c r="I3496" s="9">
        <f t="shared" si="261"/>
        <v>1452.3252480000001</v>
      </c>
    </row>
    <row r="3497" spans="1:9" x14ac:dyDescent="0.35">
      <c r="A3497" s="18" t="s">
        <v>4869</v>
      </c>
      <c r="B3497" s="18" t="s">
        <v>4870</v>
      </c>
      <c r="C3497" s="20">
        <v>45391</v>
      </c>
      <c r="D3497" s="11">
        <v>881.9</v>
      </c>
      <c r="E3497" s="27">
        <f t="shared" si="262"/>
        <v>981.73108000000002</v>
      </c>
      <c r="F3497" s="6">
        <f t="shared" si="258"/>
        <v>1276.2504040000001</v>
      </c>
      <c r="G3497" s="7">
        <f t="shared" si="259"/>
        <v>1374.4235119999998</v>
      </c>
      <c r="H3497" s="8">
        <f t="shared" si="260"/>
        <v>1472.59662</v>
      </c>
      <c r="I3497" s="9">
        <f t="shared" si="261"/>
        <v>1570.7697280000002</v>
      </c>
    </row>
    <row r="3498" spans="1:9" ht="15.75" customHeight="1" x14ac:dyDescent="0.4">
      <c r="B3498" s="19" t="s">
        <v>2580</v>
      </c>
      <c r="D3498" s="11">
        <v>0</v>
      </c>
      <c r="E3498" s="27">
        <f t="shared" si="262"/>
        <v>0</v>
      </c>
      <c r="F3498" s="6">
        <f t="shared" si="258"/>
        <v>0</v>
      </c>
      <c r="G3498" s="7">
        <f t="shared" si="259"/>
        <v>0</v>
      </c>
      <c r="H3498" s="8">
        <f t="shared" si="260"/>
        <v>0</v>
      </c>
      <c r="I3498" s="9">
        <f t="shared" si="261"/>
        <v>0</v>
      </c>
    </row>
    <row r="3499" spans="1:9" x14ac:dyDescent="0.35">
      <c r="A3499" s="18" t="s">
        <v>173</v>
      </c>
      <c r="B3499" s="18" t="s">
        <v>891</v>
      </c>
      <c r="C3499" s="20">
        <v>45363</v>
      </c>
      <c r="D3499" s="11">
        <v>0</v>
      </c>
      <c r="E3499" s="27">
        <f t="shared" si="262"/>
        <v>0</v>
      </c>
      <c r="F3499" s="6">
        <f t="shared" si="258"/>
        <v>0</v>
      </c>
      <c r="G3499" s="7">
        <f t="shared" si="259"/>
        <v>0</v>
      </c>
      <c r="H3499" s="8">
        <f t="shared" si="260"/>
        <v>0</v>
      </c>
      <c r="I3499" s="9">
        <f t="shared" si="261"/>
        <v>0</v>
      </c>
    </row>
    <row r="3500" spans="1:9" x14ac:dyDescent="0.35">
      <c r="A3500" s="18" t="s">
        <v>174</v>
      </c>
      <c r="B3500" s="18" t="s">
        <v>892</v>
      </c>
      <c r="C3500" s="20">
        <v>45363</v>
      </c>
      <c r="D3500" s="11">
        <v>0</v>
      </c>
      <c r="E3500" s="27">
        <f t="shared" si="262"/>
        <v>0</v>
      </c>
      <c r="F3500" s="6">
        <f t="shared" si="258"/>
        <v>0</v>
      </c>
      <c r="G3500" s="7">
        <f t="shared" si="259"/>
        <v>0</v>
      </c>
      <c r="H3500" s="8">
        <f t="shared" si="260"/>
        <v>0</v>
      </c>
      <c r="I3500" s="9">
        <f t="shared" si="261"/>
        <v>0</v>
      </c>
    </row>
    <row r="3501" spans="1:9" x14ac:dyDescent="0.35">
      <c r="A3501" s="18" t="s">
        <v>175</v>
      </c>
      <c r="B3501" s="18" t="s">
        <v>893</v>
      </c>
      <c r="C3501" s="20">
        <v>45363</v>
      </c>
      <c r="D3501" s="11">
        <v>0</v>
      </c>
      <c r="E3501" s="27">
        <f t="shared" si="262"/>
        <v>0</v>
      </c>
      <c r="F3501" s="6">
        <f t="shared" si="258"/>
        <v>0</v>
      </c>
      <c r="G3501" s="7">
        <f t="shared" si="259"/>
        <v>0</v>
      </c>
      <c r="H3501" s="8">
        <f t="shared" si="260"/>
        <v>0</v>
      </c>
      <c r="I3501" s="9">
        <f t="shared" si="261"/>
        <v>0</v>
      </c>
    </row>
    <row r="3502" spans="1:9" x14ac:dyDescent="0.35">
      <c r="A3502" s="18" t="s">
        <v>176</v>
      </c>
      <c r="B3502" s="18" t="s">
        <v>453</v>
      </c>
      <c r="C3502" s="20">
        <v>45363</v>
      </c>
      <c r="D3502" s="11">
        <v>0</v>
      </c>
      <c r="E3502" s="27">
        <f t="shared" si="262"/>
        <v>0</v>
      </c>
      <c r="F3502" s="6">
        <f t="shared" si="258"/>
        <v>0</v>
      </c>
      <c r="G3502" s="7">
        <f t="shared" si="259"/>
        <v>0</v>
      </c>
      <c r="H3502" s="8">
        <f t="shared" si="260"/>
        <v>0</v>
      </c>
      <c r="I3502" s="9">
        <f t="shared" si="261"/>
        <v>0</v>
      </c>
    </row>
    <row r="3503" spans="1:9" x14ac:dyDescent="0.35">
      <c r="A3503" s="18" t="s">
        <v>177</v>
      </c>
      <c r="B3503" s="18" t="s">
        <v>447</v>
      </c>
      <c r="C3503" s="20">
        <v>45363</v>
      </c>
      <c r="D3503" s="11">
        <v>0</v>
      </c>
      <c r="E3503" s="27">
        <f t="shared" si="262"/>
        <v>0</v>
      </c>
      <c r="F3503" s="6">
        <f t="shared" si="258"/>
        <v>0</v>
      </c>
      <c r="G3503" s="7">
        <f t="shared" si="259"/>
        <v>0</v>
      </c>
      <c r="H3503" s="8">
        <f t="shared" si="260"/>
        <v>0</v>
      </c>
      <c r="I3503" s="9">
        <f t="shared" si="261"/>
        <v>0</v>
      </c>
    </row>
    <row r="3504" spans="1:9" x14ac:dyDescent="0.35">
      <c r="A3504" s="18" t="s">
        <v>178</v>
      </c>
      <c r="B3504" s="18" t="s">
        <v>448</v>
      </c>
      <c r="C3504" s="20">
        <v>45363</v>
      </c>
      <c r="D3504" s="11">
        <v>0</v>
      </c>
      <c r="E3504" s="27">
        <f t="shared" si="262"/>
        <v>0</v>
      </c>
      <c r="F3504" s="6">
        <f t="shared" si="258"/>
        <v>0</v>
      </c>
      <c r="G3504" s="7">
        <f t="shared" si="259"/>
        <v>0</v>
      </c>
      <c r="H3504" s="8">
        <f t="shared" si="260"/>
        <v>0</v>
      </c>
      <c r="I3504" s="9">
        <f t="shared" si="261"/>
        <v>0</v>
      </c>
    </row>
    <row r="3505" spans="1:9" x14ac:dyDescent="0.35">
      <c r="A3505" s="18" t="s">
        <v>179</v>
      </c>
      <c r="B3505" s="18" t="s">
        <v>449</v>
      </c>
      <c r="C3505" s="20">
        <v>45688</v>
      </c>
      <c r="D3505" s="11">
        <v>1382.4</v>
      </c>
      <c r="E3505" s="27">
        <f t="shared" si="262"/>
        <v>1538.88768</v>
      </c>
      <c r="F3505" s="6">
        <f t="shared" si="258"/>
        <v>2000.5539840000001</v>
      </c>
      <c r="G3505" s="7">
        <f t="shared" si="259"/>
        <v>2154.4427519999999</v>
      </c>
      <c r="H3505" s="8">
        <f t="shared" si="260"/>
        <v>2308.3315200000002</v>
      </c>
      <c r="I3505" s="9">
        <f t="shared" si="261"/>
        <v>2462.2202880000004</v>
      </c>
    </row>
    <row r="3506" spans="1:9" x14ac:dyDescent="0.35">
      <c r="A3506" s="18" t="s">
        <v>180</v>
      </c>
      <c r="B3506" s="18" t="s">
        <v>450</v>
      </c>
      <c r="C3506" s="20">
        <v>45688</v>
      </c>
      <c r="D3506" s="11">
        <v>2763.4500000000003</v>
      </c>
      <c r="E3506" s="27">
        <f t="shared" si="262"/>
        <v>3076.2725400000004</v>
      </c>
      <c r="F3506" s="6">
        <f t="shared" si="258"/>
        <v>3999.1543020000008</v>
      </c>
      <c r="G3506" s="7">
        <f t="shared" si="259"/>
        <v>4306.7815559999999</v>
      </c>
      <c r="H3506" s="8">
        <f t="shared" si="260"/>
        <v>4614.4088100000008</v>
      </c>
      <c r="I3506" s="9">
        <f t="shared" si="261"/>
        <v>4922.0360640000008</v>
      </c>
    </row>
    <row r="3507" spans="1:9" x14ac:dyDescent="0.35">
      <c r="A3507" s="18" t="s">
        <v>181</v>
      </c>
      <c r="B3507" s="18" t="s">
        <v>451</v>
      </c>
      <c r="C3507" s="20">
        <v>45688</v>
      </c>
      <c r="D3507" s="11">
        <v>2763.4500000000003</v>
      </c>
      <c r="E3507" s="27">
        <f t="shared" si="262"/>
        <v>3076.2725400000004</v>
      </c>
      <c r="F3507" s="6">
        <f t="shared" si="258"/>
        <v>3999.1543020000008</v>
      </c>
      <c r="G3507" s="7">
        <f t="shared" si="259"/>
        <v>4306.7815559999999</v>
      </c>
      <c r="H3507" s="8">
        <f t="shared" si="260"/>
        <v>4614.4088100000008</v>
      </c>
      <c r="I3507" s="9">
        <f t="shared" si="261"/>
        <v>4922.0360640000008</v>
      </c>
    </row>
    <row r="3508" spans="1:9" ht="15.75" customHeight="1" x14ac:dyDescent="0.35">
      <c r="A3508" s="18" t="s">
        <v>1108</v>
      </c>
      <c r="B3508" s="18" t="s">
        <v>452</v>
      </c>
      <c r="C3508" s="20">
        <v>45688</v>
      </c>
      <c r="D3508" s="11">
        <v>1382.4</v>
      </c>
      <c r="E3508" s="27">
        <f t="shared" si="262"/>
        <v>1538.88768</v>
      </c>
      <c r="F3508" s="6">
        <f t="shared" ref="F3508:F3571" si="263">E3508*1.3</f>
        <v>2000.5539840000001</v>
      </c>
      <c r="G3508" s="7">
        <f t="shared" ref="G3508:G3571" si="264">E3508*1.4</f>
        <v>2154.4427519999999</v>
      </c>
      <c r="H3508" s="8">
        <f t="shared" ref="H3508:H3571" si="265">E3508*1.5</f>
        <v>2308.3315200000002</v>
      </c>
      <c r="I3508" s="9">
        <f t="shared" ref="I3508:I3571" si="266">E3508*1.6</f>
        <v>2462.2202880000004</v>
      </c>
    </row>
    <row r="3509" spans="1:9" ht="14.25" customHeight="1" x14ac:dyDescent="0.35">
      <c r="A3509" s="18" t="s">
        <v>1109</v>
      </c>
      <c r="B3509" s="18" t="s">
        <v>454</v>
      </c>
      <c r="C3509" s="20">
        <v>45688</v>
      </c>
      <c r="D3509" s="11">
        <v>2763.4500000000003</v>
      </c>
      <c r="E3509" s="27">
        <f t="shared" si="262"/>
        <v>3076.2725400000004</v>
      </c>
      <c r="F3509" s="6">
        <f t="shared" si="263"/>
        <v>3999.1543020000008</v>
      </c>
      <c r="G3509" s="7">
        <f t="shared" si="264"/>
        <v>4306.7815559999999</v>
      </c>
      <c r="H3509" s="8">
        <f t="shared" si="265"/>
        <v>4614.4088100000008</v>
      </c>
      <c r="I3509" s="9">
        <f t="shared" si="266"/>
        <v>4922.0360640000008</v>
      </c>
    </row>
    <row r="3510" spans="1:9" ht="18.75" customHeight="1" x14ac:dyDescent="0.35">
      <c r="A3510" s="18" t="s">
        <v>224</v>
      </c>
      <c r="B3510" s="18" t="s">
        <v>2685</v>
      </c>
      <c r="C3510" s="20">
        <v>45688</v>
      </c>
      <c r="D3510" s="11">
        <v>2763.4500000000003</v>
      </c>
      <c r="E3510" s="27">
        <f t="shared" si="262"/>
        <v>3076.2725400000004</v>
      </c>
      <c r="F3510" s="6">
        <f t="shared" si="263"/>
        <v>3999.1543020000008</v>
      </c>
      <c r="G3510" s="7">
        <f t="shared" si="264"/>
        <v>4306.7815559999999</v>
      </c>
      <c r="H3510" s="8">
        <f t="shared" si="265"/>
        <v>4614.4088100000008</v>
      </c>
      <c r="I3510" s="9">
        <f t="shared" si="266"/>
        <v>4922.0360640000008</v>
      </c>
    </row>
    <row r="3511" spans="1:9" ht="18" x14ac:dyDescent="0.4">
      <c r="B3511" s="19" t="s">
        <v>586</v>
      </c>
      <c r="D3511" s="11">
        <v>0</v>
      </c>
      <c r="E3511" s="27">
        <f t="shared" si="262"/>
        <v>0</v>
      </c>
      <c r="F3511" s="6">
        <f t="shared" si="263"/>
        <v>0</v>
      </c>
      <c r="G3511" s="7">
        <f t="shared" si="264"/>
        <v>0</v>
      </c>
      <c r="H3511" s="8">
        <f t="shared" si="265"/>
        <v>0</v>
      </c>
      <c r="I3511" s="9">
        <f t="shared" si="266"/>
        <v>0</v>
      </c>
    </row>
    <row r="3512" spans="1:9" x14ac:dyDescent="0.35">
      <c r="A3512" s="18" t="s">
        <v>583</v>
      </c>
      <c r="B3512" s="18" t="s">
        <v>317</v>
      </c>
      <c r="C3512" s="20">
        <v>45629</v>
      </c>
      <c r="D3512" s="11">
        <v>706.79952000000003</v>
      </c>
      <c r="E3512" s="27">
        <f t="shared" si="262"/>
        <v>786.809225664</v>
      </c>
      <c r="F3512" s="6">
        <f t="shared" si="263"/>
        <v>1022.8519933632</v>
      </c>
      <c r="G3512" s="7">
        <f t="shared" si="264"/>
        <v>1101.5329159296</v>
      </c>
      <c r="H3512" s="8">
        <f t="shared" si="265"/>
        <v>1180.2138384959999</v>
      </c>
      <c r="I3512" s="9">
        <f t="shared" si="266"/>
        <v>1258.8947610624</v>
      </c>
    </row>
    <row r="3513" spans="1:9" x14ac:dyDescent="0.35">
      <c r="A3513" s="18" t="s">
        <v>584</v>
      </c>
      <c r="B3513" s="18" t="s">
        <v>316</v>
      </c>
      <c r="C3513" s="20">
        <v>45629</v>
      </c>
      <c r="D3513" s="11">
        <v>1391.6</v>
      </c>
      <c r="E3513" s="27">
        <f t="shared" si="262"/>
        <v>1549.1291199999998</v>
      </c>
      <c r="F3513" s="6">
        <f t="shared" si="263"/>
        <v>2013.8678559999998</v>
      </c>
      <c r="G3513" s="7">
        <f t="shared" si="264"/>
        <v>2168.7807679999996</v>
      </c>
      <c r="H3513" s="8">
        <f t="shared" si="265"/>
        <v>2323.6936799999999</v>
      </c>
      <c r="I3513" s="9">
        <f t="shared" si="266"/>
        <v>2478.6065920000001</v>
      </c>
    </row>
    <row r="3514" spans="1:9" x14ac:dyDescent="0.35">
      <c r="A3514" s="18" t="s">
        <v>585</v>
      </c>
      <c r="B3514" s="18" t="s">
        <v>315</v>
      </c>
      <c r="C3514" s="20">
        <v>45629</v>
      </c>
      <c r="D3514" s="11">
        <v>1143.8</v>
      </c>
      <c r="E3514" s="27">
        <f t="shared" si="262"/>
        <v>1273.2781599999998</v>
      </c>
      <c r="F3514" s="6">
        <f t="shared" si="263"/>
        <v>1655.2616079999998</v>
      </c>
      <c r="G3514" s="7">
        <f t="shared" si="264"/>
        <v>1782.5894239999998</v>
      </c>
      <c r="H3514" s="8">
        <f t="shared" si="265"/>
        <v>1909.9172399999998</v>
      </c>
      <c r="I3514" s="9">
        <f t="shared" si="266"/>
        <v>2037.2450559999997</v>
      </c>
    </row>
    <row r="3515" spans="1:9" ht="18" x14ac:dyDescent="0.4">
      <c r="B3515" s="19" t="s">
        <v>3290</v>
      </c>
      <c r="D3515" s="11">
        <v>0</v>
      </c>
      <c r="E3515" s="27">
        <f t="shared" si="262"/>
        <v>0</v>
      </c>
      <c r="F3515" s="6">
        <f t="shared" si="263"/>
        <v>0</v>
      </c>
      <c r="G3515" s="7">
        <f t="shared" si="264"/>
        <v>0</v>
      </c>
      <c r="H3515" s="8">
        <f t="shared" si="265"/>
        <v>0</v>
      </c>
      <c r="I3515" s="9">
        <f t="shared" si="266"/>
        <v>0</v>
      </c>
    </row>
    <row r="3516" spans="1:9" x14ac:dyDescent="0.35">
      <c r="A3516" s="18" t="s">
        <v>3291</v>
      </c>
      <c r="B3516" s="18" t="s">
        <v>3294</v>
      </c>
      <c r="C3516" s="20">
        <v>45458</v>
      </c>
      <c r="D3516" s="11">
        <v>486</v>
      </c>
      <c r="E3516" s="27">
        <f t="shared" si="262"/>
        <v>541.01519999999994</v>
      </c>
      <c r="F3516" s="6">
        <f t="shared" si="263"/>
        <v>703.31975999999997</v>
      </c>
      <c r="G3516" s="7">
        <f t="shared" si="264"/>
        <v>757.42127999999991</v>
      </c>
      <c r="H3516" s="8">
        <f t="shared" si="265"/>
        <v>811.52279999999996</v>
      </c>
      <c r="I3516" s="9">
        <f t="shared" si="266"/>
        <v>865.6243199999999</v>
      </c>
    </row>
    <row r="3517" spans="1:9" x14ac:dyDescent="0.35">
      <c r="A3517" s="18" t="s">
        <v>3292</v>
      </c>
      <c r="B3517" s="18" t="s">
        <v>3381</v>
      </c>
      <c r="C3517" s="20">
        <v>45458</v>
      </c>
      <c r="D3517" s="11">
        <v>673</v>
      </c>
      <c r="E3517" s="27">
        <f t="shared" si="262"/>
        <v>749.18359999999996</v>
      </c>
      <c r="F3517" s="6">
        <f t="shared" si="263"/>
        <v>973.93867999999998</v>
      </c>
      <c r="G3517" s="7">
        <f t="shared" si="264"/>
        <v>1048.8570399999999</v>
      </c>
      <c r="H3517" s="8">
        <f t="shared" si="265"/>
        <v>1123.7754</v>
      </c>
      <c r="I3517" s="9">
        <f t="shared" si="266"/>
        <v>1198.6937599999999</v>
      </c>
    </row>
    <row r="3518" spans="1:9" x14ac:dyDescent="0.35">
      <c r="A3518" s="18" t="s">
        <v>3293</v>
      </c>
      <c r="B3518" s="18" t="s">
        <v>3382</v>
      </c>
      <c r="C3518" s="20">
        <v>45458</v>
      </c>
      <c r="D3518" s="11">
        <v>936</v>
      </c>
      <c r="E3518" s="27">
        <f t="shared" si="262"/>
        <v>1041.9552000000001</v>
      </c>
      <c r="F3518" s="6">
        <f t="shared" si="263"/>
        <v>1354.5417600000003</v>
      </c>
      <c r="G3518" s="7">
        <f t="shared" si="264"/>
        <v>1458.7372800000001</v>
      </c>
      <c r="H3518" s="8">
        <f t="shared" si="265"/>
        <v>1562.9328</v>
      </c>
      <c r="I3518" s="9">
        <f t="shared" si="266"/>
        <v>1667.1283200000003</v>
      </c>
    </row>
    <row r="3519" spans="1:9" ht="15.75" customHeight="1" x14ac:dyDescent="0.4">
      <c r="B3519" s="19" t="s">
        <v>2797</v>
      </c>
      <c r="D3519" s="11">
        <v>0</v>
      </c>
      <c r="E3519" s="27">
        <f t="shared" si="262"/>
        <v>0</v>
      </c>
      <c r="F3519" s="6">
        <f t="shared" si="263"/>
        <v>0</v>
      </c>
      <c r="G3519" s="7">
        <f t="shared" si="264"/>
        <v>0</v>
      </c>
      <c r="H3519" s="8">
        <f t="shared" si="265"/>
        <v>0</v>
      </c>
      <c r="I3519" s="9">
        <f t="shared" si="266"/>
        <v>0</v>
      </c>
    </row>
    <row r="3520" spans="1:9" x14ac:dyDescent="0.35">
      <c r="A3520" s="18" t="s">
        <v>225</v>
      </c>
      <c r="B3520" s="18" t="s">
        <v>2686</v>
      </c>
      <c r="C3520" s="20">
        <v>45635</v>
      </c>
      <c r="D3520" s="11">
        <v>1111.0132800000001</v>
      </c>
      <c r="E3520" s="27">
        <f t="shared" si="262"/>
        <v>1236.7799832960002</v>
      </c>
      <c r="F3520" s="6">
        <f t="shared" si="263"/>
        <v>1607.8139782848002</v>
      </c>
      <c r="G3520" s="7">
        <f t="shared" si="264"/>
        <v>1731.4919766144001</v>
      </c>
      <c r="H3520" s="8">
        <f t="shared" si="265"/>
        <v>1855.1699749440004</v>
      </c>
      <c r="I3520" s="9">
        <f t="shared" si="266"/>
        <v>1978.8479732736005</v>
      </c>
    </row>
    <row r="3521" spans="1:9" x14ac:dyDescent="0.35">
      <c r="A3521" s="18" t="s">
        <v>226</v>
      </c>
      <c r="B3521" s="18" t="s">
        <v>3266</v>
      </c>
      <c r="C3521" s="20">
        <v>45635</v>
      </c>
      <c r="D3521" s="11">
        <v>1295.3304000000003</v>
      </c>
      <c r="E3521" s="27">
        <f t="shared" si="262"/>
        <v>1441.9618012800004</v>
      </c>
      <c r="F3521" s="6">
        <f t="shared" si="263"/>
        <v>1874.5503416640006</v>
      </c>
      <c r="G3521" s="7">
        <f t="shared" si="264"/>
        <v>2018.7465217920003</v>
      </c>
      <c r="H3521" s="8">
        <f t="shared" si="265"/>
        <v>2162.9427019200007</v>
      </c>
      <c r="I3521" s="9">
        <f t="shared" si="266"/>
        <v>2307.1388820480006</v>
      </c>
    </row>
    <row r="3522" spans="1:9" x14ac:dyDescent="0.35">
      <c r="A3522" s="18" t="s">
        <v>227</v>
      </c>
      <c r="B3522" s="18" t="s">
        <v>2687</v>
      </c>
      <c r="C3522" s="20">
        <v>45635</v>
      </c>
      <c r="D3522" s="11">
        <v>1661.7744</v>
      </c>
      <c r="E3522" s="27">
        <f t="shared" si="262"/>
        <v>1849.88726208</v>
      </c>
      <c r="F3522" s="6">
        <f t="shared" si="263"/>
        <v>2404.8534407040001</v>
      </c>
      <c r="G3522" s="7">
        <f t="shared" si="264"/>
        <v>2589.8421669119998</v>
      </c>
      <c r="H3522" s="8">
        <f t="shared" si="265"/>
        <v>2774.8308931199999</v>
      </c>
      <c r="I3522" s="9">
        <f t="shared" si="266"/>
        <v>2959.819619328</v>
      </c>
    </row>
    <row r="3523" spans="1:9" x14ac:dyDescent="0.35">
      <c r="A3523" s="18" t="s">
        <v>228</v>
      </c>
      <c r="B3523" s="18" t="s">
        <v>2688</v>
      </c>
      <c r="C3523" s="20">
        <v>45635</v>
      </c>
      <c r="D3523" s="11">
        <v>1866.6180000000002</v>
      </c>
      <c r="E3523" s="27">
        <f t="shared" si="262"/>
        <v>2077.9191576000003</v>
      </c>
      <c r="F3523" s="6">
        <f t="shared" si="263"/>
        <v>2701.2949048800006</v>
      </c>
      <c r="G3523" s="7">
        <f t="shared" si="264"/>
        <v>2909.08682064</v>
      </c>
      <c r="H3523" s="8">
        <f t="shared" si="265"/>
        <v>3116.8787364000004</v>
      </c>
      <c r="I3523" s="9">
        <f t="shared" si="266"/>
        <v>3324.6706521600008</v>
      </c>
    </row>
    <row r="3524" spans="1:9" ht="15" customHeight="1" x14ac:dyDescent="0.4">
      <c r="B3524" s="19" t="s">
        <v>518</v>
      </c>
      <c r="D3524" s="11">
        <v>0</v>
      </c>
      <c r="E3524" s="27">
        <f t="shared" si="262"/>
        <v>0</v>
      </c>
      <c r="F3524" s="6">
        <f t="shared" si="263"/>
        <v>0</v>
      </c>
      <c r="G3524" s="7">
        <f t="shared" si="264"/>
        <v>0</v>
      </c>
      <c r="H3524" s="8">
        <f t="shared" si="265"/>
        <v>0</v>
      </c>
      <c r="I3524" s="9">
        <f t="shared" si="266"/>
        <v>0</v>
      </c>
    </row>
    <row r="3525" spans="1:9" x14ac:dyDescent="0.35">
      <c r="A3525" s="18" t="s">
        <v>1509</v>
      </c>
      <c r="B3525" s="18" t="s">
        <v>514</v>
      </c>
      <c r="C3525" s="20">
        <v>45799</v>
      </c>
      <c r="D3525" s="11">
        <v>3426.9196500000007</v>
      </c>
      <c r="E3525" s="27">
        <f t="shared" si="262"/>
        <v>3814.8469543800011</v>
      </c>
      <c r="F3525" s="6">
        <f t="shared" si="263"/>
        <v>4959.3010406940011</v>
      </c>
      <c r="G3525" s="7">
        <f t="shared" si="264"/>
        <v>5340.7857361320011</v>
      </c>
      <c r="H3525" s="8">
        <f t="shared" si="265"/>
        <v>5722.2704315700012</v>
      </c>
      <c r="I3525" s="9">
        <f t="shared" si="266"/>
        <v>6103.7551270080021</v>
      </c>
    </row>
    <row r="3526" spans="1:9" x14ac:dyDescent="0.35">
      <c r="A3526" s="18" t="s">
        <v>1510</v>
      </c>
      <c r="B3526" s="18" t="s">
        <v>515</v>
      </c>
      <c r="C3526" s="20">
        <v>45799</v>
      </c>
      <c r="D3526" s="11">
        <v>6500.2434997500022</v>
      </c>
      <c r="E3526" s="27">
        <f t="shared" si="262"/>
        <v>7236.0710639217023</v>
      </c>
      <c r="F3526" s="6">
        <f t="shared" si="263"/>
        <v>9406.892383098213</v>
      </c>
      <c r="G3526" s="7">
        <f t="shared" si="264"/>
        <v>10130.499489490383</v>
      </c>
      <c r="H3526" s="8">
        <f t="shared" si="265"/>
        <v>10854.106595882553</v>
      </c>
      <c r="I3526" s="9">
        <f t="shared" si="266"/>
        <v>11577.713702274725</v>
      </c>
    </row>
    <row r="3527" spans="1:9" x14ac:dyDescent="0.35">
      <c r="A3527" s="18" t="s">
        <v>1511</v>
      </c>
      <c r="B3527" s="18" t="s">
        <v>516</v>
      </c>
      <c r="C3527" s="20">
        <v>45799</v>
      </c>
      <c r="D3527" s="11">
        <v>12375.074163375004</v>
      </c>
      <c r="E3527" s="27">
        <f t="shared" si="262"/>
        <v>13775.932558669056</v>
      </c>
      <c r="F3527" s="6">
        <f t="shared" si="263"/>
        <v>17908.712326269771</v>
      </c>
      <c r="G3527" s="7">
        <f t="shared" si="264"/>
        <v>19286.305582136676</v>
      </c>
      <c r="H3527" s="8">
        <f t="shared" si="265"/>
        <v>20663.898838003584</v>
      </c>
      <c r="I3527" s="9">
        <f t="shared" si="266"/>
        <v>22041.492093870489</v>
      </c>
    </row>
    <row r="3528" spans="1:9" x14ac:dyDescent="0.35">
      <c r="A3528" s="18" t="s">
        <v>1512</v>
      </c>
      <c r="B3528" s="18" t="s">
        <v>517</v>
      </c>
      <c r="C3528" s="20">
        <v>45799</v>
      </c>
      <c r="D3528" s="11">
        <v>15837.041855250003</v>
      </c>
      <c r="E3528" s="27">
        <f t="shared" si="262"/>
        <v>17629.794993264302</v>
      </c>
      <c r="F3528" s="6">
        <f t="shared" si="263"/>
        <v>22918.733491243594</v>
      </c>
      <c r="G3528" s="7">
        <f t="shared" si="264"/>
        <v>24681.71299057002</v>
      </c>
      <c r="H3528" s="8">
        <f t="shared" si="265"/>
        <v>26444.692489896453</v>
      </c>
      <c r="I3528" s="9">
        <f t="shared" si="266"/>
        <v>28207.671989222887</v>
      </c>
    </row>
    <row r="3529" spans="1:9" x14ac:dyDescent="0.35">
      <c r="A3529" s="18" t="s">
        <v>6107</v>
      </c>
      <c r="B3529" s="18" t="s">
        <v>6108</v>
      </c>
      <c r="C3529" s="20">
        <v>45799</v>
      </c>
      <c r="D3529" s="11">
        <v>20940.555982500005</v>
      </c>
      <c r="E3529" s="27">
        <f t="shared" si="262"/>
        <v>23311.026919719006</v>
      </c>
      <c r="F3529" s="6">
        <f t="shared" si="263"/>
        <v>30304.334995634708</v>
      </c>
      <c r="G3529" s="7">
        <f t="shared" si="264"/>
        <v>32635.437687606605</v>
      </c>
      <c r="H3529" s="8">
        <f t="shared" si="265"/>
        <v>34966.54037957851</v>
      </c>
      <c r="I3529" s="9">
        <f t="shared" si="266"/>
        <v>37297.64307155041</v>
      </c>
    </row>
    <row r="3530" spans="1:9" ht="18.75" customHeight="1" x14ac:dyDescent="0.4">
      <c r="B3530" s="19" t="s">
        <v>1697</v>
      </c>
      <c r="D3530" s="11">
        <v>0</v>
      </c>
      <c r="E3530" s="27">
        <f t="shared" si="262"/>
        <v>0</v>
      </c>
      <c r="F3530" s="6">
        <f t="shared" si="263"/>
        <v>0</v>
      </c>
      <c r="G3530" s="7">
        <f t="shared" si="264"/>
        <v>0</v>
      </c>
      <c r="H3530" s="8">
        <f t="shared" si="265"/>
        <v>0</v>
      </c>
      <c r="I3530" s="9">
        <f t="shared" si="266"/>
        <v>0</v>
      </c>
    </row>
    <row r="3531" spans="1:9" x14ac:dyDescent="0.35">
      <c r="A3531" s="18" t="s">
        <v>1704</v>
      </c>
      <c r="B3531" s="18" t="s">
        <v>1698</v>
      </c>
      <c r="C3531" s="20">
        <v>45598</v>
      </c>
      <c r="D3531" s="11">
        <v>1540.8596396091355</v>
      </c>
      <c r="E3531" s="27">
        <f t="shared" si="262"/>
        <v>1715.2849508128895</v>
      </c>
      <c r="F3531" s="6">
        <f t="shared" si="263"/>
        <v>2229.8704360567563</v>
      </c>
      <c r="G3531" s="7">
        <f t="shared" si="264"/>
        <v>2401.3989311380451</v>
      </c>
      <c r="H3531" s="8">
        <f t="shared" si="265"/>
        <v>2572.9274262193344</v>
      </c>
      <c r="I3531" s="9">
        <f t="shared" si="266"/>
        <v>2744.4559213006232</v>
      </c>
    </row>
    <row r="3532" spans="1:9" x14ac:dyDescent="0.35">
      <c r="A3532" s="18" t="s">
        <v>1705</v>
      </c>
      <c r="B3532" s="18" t="s">
        <v>3376</v>
      </c>
      <c r="C3532" s="20">
        <v>45598</v>
      </c>
      <c r="D3532" s="11">
        <v>2119.4432987509063</v>
      </c>
      <c r="E3532" s="27">
        <f t="shared" si="262"/>
        <v>2359.3642801695087</v>
      </c>
      <c r="F3532" s="6">
        <f t="shared" si="263"/>
        <v>3067.1735642203612</v>
      </c>
      <c r="G3532" s="7">
        <f t="shared" si="264"/>
        <v>3303.1099922373119</v>
      </c>
      <c r="H3532" s="8">
        <f t="shared" si="265"/>
        <v>3539.046420254263</v>
      </c>
      <c r="I3532" s="9">
        <f t="shared" si="266"/>
        <v>3774.9828482712142</v>
      </c>
    </row>
    <row r="3533" spans="1:9" x14ac:dyDescent="0.35">
      <c r="A3533" s="18" t="s">
        <v>1706</v>
      </c>
      <c r="B3533" s="18" t="s">
        <v>1699</v>
      </c>
      <c r="C3533" s="20">
        <v>45598</v>
      </c>
      <c r="D3533" s="11">
        <v>2411.7803054751685</v>
      </c>
      <c r="E3533" s="27">
        <f t="shared" si="262"/>
        <v>2684.7938360549574</v>
      </c>
      <c r="F3533" s="6">
        <f t="shared" si="263"/>
        <v>3490.2319868714449</v>
      </c>
      <c r="G3533" s="7">
        <f t="shared" si="264"/>
        <v>3758.7113704769399</v>
      </c>
      <c r="H3533" s="8">
        <f t="shared" si="265"/>
        <v>4027.1907540824359</v>
      </c>
      <c r="I3533" s="9">
        <f t="shared" si="266"/>
        <v>4295.6701376879319</v>
      </c>
    </row>
    <row r="3534" spans="1:9" x14ac:dyDescent="0.35">
      <c r="A3534" s="18" t="s">
        <v>1707</v>
      </c>
      <c r="B3534" s="18" t="s">
        <v>1700</v>
      </c>
      <c r="C3534" s="20">
        <v>45598</v>
      </c>
      <c r="D3534" s="11">
        <v>3995.2724252315938</v>
      </c>
      <c r="E3534" s="27">
        <f t="shared" si="262"/>
        <v>4447.5372637678101</v>
      </c>
      <c r="F3534" s="6">
        <f t="shared" si="263"/>
        <v>5781.7984428981536</v>
      </c>
      <c r="G3534" s="7">
        <f t="shared" si="264"/>
        <v>6226.5521692749335</v>
      </c>
      <c r="H3534" s="8">
        <f t="shared" si="265"/>
        <v>6671.3058956517152</v>
      </c>
      <c r="I3534" s="9">
        <f t="shared" si="266"/>
        <v>7116.059622028497</v>
      </c>
    </row>
    <row r="3535" spans="1:9" x14ac:dyDescent="0.35">
      <c r="A3535" s="18" t="s">
        <v>1708</v>
      </c>
      <c r="B3535" s="18" t="s">
        <v>1701</v>
      </c>
      <c r="C3535" s="20">
        <v>45598</v>
      </c>
      <c r="D3535" s="11">
        <v>1540.8596396091355</v>
      </c>
      <c r="E3535" s="27">
        <f t="shared" si="262"/>
        <v>1715.2849508128895</v>
      </c>
      <c r="F3535" s="6">
        <f t="shared" si="263"/>
        <v>2229.8704360567563</v>
      </c>
      <c r="G3535" s="7">
        <f t="shared" si="264"/>
        <v>2401.3989311380451</v>
      </c>
      <c r="H3535" s="8">
        <f t="shared" si="265"/>
        <v>2572.9274262193344</v>
      </c>
      <c r="I3535" s="9">
        <f t="shared" si="266"/>
        <v>2744.4559213006232</v>
      </c>
    </row>
    <row r="3536" spans="1:9" x14ac:dyDescent="0.35">
      <c r="A3536" s="18" t="s">
        <v>3377</v>
      </c>
      <c r="B3536" s="18" t="s">
        <v>3378</v>
      </c>
      <c r="C3536" s="20">
        <v>45598</v>
      </c>
      <c r="D3536" s="11">
        <v>2119.4432987509063</v>
      </c>
      <c r="E3536" s="27">
        <f t="shared" si="262"/>
        <v>2359.3642801695087</v>
      </c>
      <c r="F3536" s="6">
        <f t="shared" si="263"/>
        <v>3067.1735642203612</v>
      </c>
      <c r="G3536" s="7">
        <f t="shared" si="264"/>
        <v>3303.1099922373119</v>
      </c>
      <c r="H3536" s="8">
        <f t="shared" si="265"/>
        <v>3539.046420254263</v>
      </c>
      <c r="I3536" s="9">
        <f t="shared" si="266"/>
        <v>3774.9828482712142</v>
      </c>
    </row>
    <row r="3537" spans="1:9" x14ac:dyDescent="0.35">
      <c r="A3537" s="18" t="s">
        <v>1709</v>
      </c>
      <c r="B3537" s="18" t="s">
        <v>1702</v>
      </c>
      <c r="C3537" s="20">
        <v>45598</v>
      </c>
      <c r="D3537" s="11">
        <v>2411.7803054751685</v>
      </c>
      <c r="E3537" s="27">
        <f t="shared" si="262"/>
        <v>2684.7938360549574</v>
      </c>
      <c r="F3537" s="6">
        <f t="shared" si="263"/>
        <v>3490.2319868714449</v>
      </c>
      <c r="G3537" s="7">
        <f t="shared" si="264"/>
        <v>3758.7113704769399</v>
      </c>
      <c r="H3537" s="8">
        <f t="shared" si="265"/>
        <v>4027.1907540824359</v>
      </c>
      <c r="I3537" s="9">
        <f t="shared" si="266"/>
        <v>4295.6701376879319</v>
      </c>
    </row>
    <row r="3538" spans="1:9" x14ac:dyDescent="0.35">
      <c r="A3538" s="18" t="s">
        <v>1710</v>
      </c>
      <c r="B3538" s="18" t="s">
        <v>1703</v>
      </c>
      <c r="C3538" s="20">
        <v>45598</v>
      </c>
      <c r="D3538" s="11">
        <v>3995.2724252315938</v>
      </c>
      <c r="E3538" s="27">
        <f t="shared" si="262"/>
        <v>4447.5372637678101</v>
      </c>
      <c r="F3538" s="6">
        <f t="shared" si="263"/>
        <v>5781.7984428981536</v>
      </c>
      <c r="G3538" s="7">
        <f t="shared" si="264"/>
        <v>6226.5521692749335</v>
      </c>
      <c r="H3538" s="8">
        <f t="shared" si="265"/>
        <v>6671.3058956517152</v>
      </c>
      <c r="I3538" s="9">
        <f t="shared" si="266"/>
        <v>7116.059622028497</v>
      </c>
    </row>
    <row r="3539" spans="1:9" ht="18" x14ac:dyDescent="0.4">
      <c r="B3539" s="19" t="s">
        <v>4746</v>
      </c>
      <c r="D3539" s="11">
        <v>0</v>
      </c>
      <c r="E3539" s="27">
        <f t="shared" ref="E3539:E3602" si="267">D3539*1.21*0.92</f>
        <v>0</v>
      </c>
      <c r="F3539" s="6">
        <f t="shared" si="263"/>
        <v>0</v>
      </c>
      <c r="G3539" s="7">
        <f t="shared" si="264"/>
        <v>0</v>
      </c>
      <c r="H3539" s="8">
        <f t="shared" si="265"/>
        <v>0</v>
      </c>
      <c r="I3539" s="9">
        <f t="shared" si="266"/>
        <v>0</v>
      </c>
    </row>
    <row r="3540" spans="1:9" x14ac:dyDescent="0.35">
      <c r="A3540" s="18" t="s">
        <v>4747</v>
      </c>
      <c r="B3540" s="18" t="s">
        <v>4748</v>
      </c>
      <c r="C3540" s="20">
        <v>45517</v>
      </c>
      <c r="D3540" s="11">
        <v>45.514590103368555</v>
      </c>
      <c r="E3540" s="27">
        <f t="shared" si="267"/>
        <v>50.666841703069878</v>
      </c>
      <c r="F3540" s="6">
        <f t="shared" si="263"/>
        <v>65.866894213990847</v>
      </c>
      <c r="G3540" s="7">
        <f t="shared" si="264"/>
        <v>70.933578384297817</v>
      </c>
      <c r="H3540" s="8">
        <f t="shared" si="265"/>
        <v>76.000262554604817</v>
      </c>
      <c r="I3540" s="9">
        <f t="shared" si="266"/>
        <v>81.066946724911816</v>
      </c>
    </row>
    <row r="3541" spans="1:9" x14ac:dyDescent="0.35">
      <c r="A3541" s="18" t="s">
        <v>4750</v>
      </c>
      <c r="B3541" s="18" t="s">
        <v>4749</v>
      </c>
      <c r="C3541" s="20">
        <v>45517</v>
      </c>
      <c r="D3541" s="11">
        <v>45.514590103368555</v>
      </c>
      <c r="E3541" s="27">
        <f t="shared" si="267"/>
        <v>50.666841703069878</v>
      </c>
      <c r="F3541" s="6">
        <f t="shared" si="263"/>
        <v>65.866894213990847</v>
      </c>
      <c r="G3541" s="7">
        <f t="shared" si="264"/>
        <v>70.933578384297817</v>
      </c>
      <c r="H3541" s="8">
        <f t="shared" si="265"/>
        <v>76.000262554604817</v>
      </c>
      <c r="I3541" s="9">
        <f t="shared" si="266"/>
        <v>81.066946724911816</v>
      </c>
    </row>
    <row r="3542" spans="1:9" x14ac:dyDescent="0.35">
      <c r="A3542" s="18" t="s">
        <v>4751</v>
      </c>
      <c r="B3542" s="18" t="s">
        <v>4752</v>
      </c>
      <c r="C3542" s="20">
        <v>45517</v>
      </c>
      <c r="D3542" s="11">
        <v>341.35942577526407</v>
      </c>
      <c r="E3542" s="27">
        <f t="shared" si="267"/>
        <v>380.00131277302393</v>
      </c>
      <c r="F3542" s="6">
        <f t="shared" si="263"/>
        <v>494.00170660493114</v>
      </c>
      <c r="G3542" s="7">
        <f t="shared" si="264"/>
        <v>532.00183788223342</v>
      </c>
      <c r="H3542" s="8">
        <f t="shared" si="265"/>
        <v>570.00196915953586</v>
      </c>
      <c r="I3542" s="9">
        <f t="shared" si="266"/>
        <v>608.0021004368383</v>
      </c>
    </row>
    <row r="3543" spans="1:9" x14ac:dyDescent="0.35">
      <c r="A3543" s="18" t="s">
        <v>4754</v>
      </c>
      <c r="B3543" s="18" t="s">
        <v>4753</v>
      </c>
      <c r="C3543" s="20">
        <v>45517</v>
      </c>
      <c r="D3543" s="11">
        <v>323.85381419704544</v>
      </c>
      <c r="E3543" s="27">
        <f t="shared" si="267"/>
        <v>360.51406596415097</v>
      </c>
      <c r="F3543" s="6">
        <f t="shared" si="263"/>
        <v>468.66828575339628</v>
      </c>
      <c r="G3543" s="7">
        <f t="shared" si="264"/>
        <v>504.71969234981134</v>
      </c>
      <c r="H3543" s="8">
        <f t="shared" si="265"/>
        <v>540.7710989462264</v>
      </c>
      <c r="I3543" s="9">
        <f t="shared" si="266"/>
        <v>576.82250554264158</v>
      </c>
    </row>
    <row r="3544" spans="1:9" x14ac:dyDescent="0.35">
      <c r="A3544" s="18" t="s">
        <v>4755</v>
      </c>
      <c r="B3544" s="18" t="s">
        <v>4756</v>
      </c>
      <c r="C3544" s="20">
        <v>45517</v>
      </c>
      <c r="D3544" s="11">
        <v>105.03366946931203</v>
      </c>
      <c r="E3544" s="27">
        <f t="shared" si="267"/>
        <v>116.92348085323815</v>
      </c>
      <c r="F3544" s="6">
        <f t="shared" si="263"/>
        <v>152.0005251092096</v>
      </c>
      <c r="G3544" s="7">
        <f t="shared" si="264"/>
        <v>163.69287319453341</v>
      </c>
      <c r="H3544" s="8">
        <f t="shared" si="265"/>
        <v>175.38522127985721</v>
      </c>
      <c r="I3544" s="9">
        <f t="shared" si="266"/>
        <v>187.07756936518103</v>
      </c>
    </row>
    <row r="3545" spans="1:9" x14ac:dyDescent="0.35">
      <c r="A3545" s="18" t="s">
        <v>4758</v>
      </c>
      <c r="B3545" s="18" t="s">
        <v>4757</v>
      </c>
      <c r="C3545" s="20">
        <v>45517</v>
      </c>
      <c r="D3545" s="11">
        <v>105.03366946931203</v>
      </c>
      <c r="E3545" s="27">
        <f t="shared" si="267"/>
        <v>116.92348085323815</v>
      </c>
      <c r="F3545" s="6">
        <f t="shared" si="263"/>
        <v>152.0005251092096</v>
      </c>
      <c r="G3545" s="7">
        <f t="shared" si="264"/>
        <v>163.69287319453341</v>
      </c>
      <c r="H3545" s="8">
        <f t="shared" si="265"/>
        <v>175.38522127985721</v>
      </c>
      <c r="I3545" s="9">
        <f t="shared" si="266"/>
        <v>187.07756936518103</v>
      </c>
    </row>
    <row r="3546" spans="1:9" x14ac:dyDescent="0.35">
      <c r="A3546" s="18" t="s">
        <v>4759</v>
      </c>
      <c r="B3546" s="18" t="s">
        <v>4760</v>
      </c>
      <c r="C3546" s="20">
        <v>45517</v>
      </c>
      <c r="D3546" s="11">
        <v>113.78647525842138</v>
      </c>
      <c r="E3546" s="27">
        <f t="shared" si="267"/>
        <v>126.66710425767467</v>
      </c>
      <c r="F3546" s="6">
        <f t="shared" si="263"/>
        <v>164.66723553497707</v>
      </c>
      <c r="G3546" s="7">
        <f t="shared" si="264"/>
        <v>177.33394596074453</v>
      </c>
      <c r="H3546" s="8">
        <f t="shared" si="265"/>
        <v>190.00065638651199</v>
      </c>
      <c r="I3546" s="9">
        <f t="shared" si="266"/>
        <v>202.66736681227948</v>
      </c>
    </row>
    <row r="3547" spans="1:9" x14ac:dyDescent="0.35">
      <c r="A3547" s="18" t="s">
        <v>4761</v>
      </c>
      <c r="B3547" s="18" t="s">
        <v>4764</v>
      </c>
      <c r="C3547" s="20">
        <v>45517</v>
      </c>
      <c r="D3547" s="11">
        <v>96.280863680202714</v>
      </c>
      <c r="E3547" s="27">
        <f t="shared" si="267"/>
        <v>107.17985744880166</v>
      </c>
      <c r="F3547" s="6">
        <f t="shared" si="263"/>
        <v>139.33381468344217</v>
      </c>
      <c r="G3547" s="7">
        <f t="shared" si="264"/>
        <v>150.05180042832231</v>
      </c>
      <c r="H3547" s="8">
        <f t="shared" si="265"/>
        <v>160.76978617320248</v>
      </c>
      <c r="I3547" s="9">
        <f t="shared" si="266"/>
        <v>171.48777191808267</v>
      </c>
    </row>
    <row r="3548" spans="1:9" x14ac:dyDescent="0.35">
      <c r="A3548" s="18" t="s">
        <v>4762</v>
      </c>
      <c r="B3548" s="18" t="s">
        <v>4765</v>
      </c>
      <c r="C3548" s="20">
        <v>45517</v>
      </c>
      <c r="D3548" s="11">
        <v>87.52805789109334</v>
      </c>
      <c r="E3548" s="27">
        <f t="shared" si="267"/>
        <v>97.436234044365108</v>
      </c>
      <c r="F3548" s="6">
        <f t="shared" si="263"/>
        <v>126.66710425767465</v>
      </c>
      <c r="G3548" s="7">
        <f t="shared" si="264"/>
        <v>136.41072766211113</v>
      </c>
      <c r="H3548" s="8">
        <f t="shared" si="265"/>
        <v>146.15435106654766</v>
      </c>
      <c r="I3548" s="9">
        <f t="shared" si="266"/>
        <v>155.8979744709842</v>
      </c>
    </row>
    <row r="3549" spans="1:9" x14ac:dyDescent="0.35">
      <c r="A3549" s="18" t="s">
        <v>4763</v>
      </c>
      <c r="B3549" s="18" t="s">
        <v>4766</v>
      </c>
      <c r="C3549" s="20">
        <v>45517</v>
      </c>
      <c r="D3549" s="11">
        <v>96.280863680202714</v>
      </c>
      <c r="E3549" s="27">
        <f t="shared" si="267"/>
        <v>107.17985744880166</v>
      </c>
      <c r="F3549" s="6">
        <f t="shared" si="263"/>
        <v>139.33381468344217</v>
      </c>
      <c r="G3549" s="7">
        <f t="shared" si="264"/>
        <v>150.05180042832231</v>
      </c>
      <c r="H3549" s="8">
        <f t="shared" si="265"/>
        <v>160.76978617320248</v>
      </c>
      <c r="I3549" s="9">
        <f t="shared" si="266"/>
        <v>171.48777191808267</v>
      </c>
    </row>
    <row r="3550" spans="1:9" x14ac:dyDescent="0.35">
      <c r="A3550" s="18" t="s">
        <v>4769</v>
      </c>
      <c r="B3550" s="18" t="s">
        <v>4771</v>
      </c>
      <c r="C3550" s="20">
        <v>45517</v>
      </c>
      <c r="D3550" s="11">
        <v>131.29208683664004</v>
      </c>
      <c r="E3550" s="27">
        <f t="shared" si="267"/>
        <v>146.15435106654769</v>
      </c>
      <c r="F3550" s="6">
        <f t="shared" si="263"/>
        <v>190.00065638651199</v>
      </c>
      <c r="G3550" s="7">
        <f t="shared" si="264"/>
        <v>204.61609149316675</v>
      </c>
      <c r="H3550" s="8">
        <f t="shared" si="265"/>
        <v>219.23152659982154</v>
      </c>
      <c r="I3550" s="9">
        <f t="shared" si="266"/>
        <v>233.84696170647632</v>
      </c>
    </row>
    <row r="3551" spans="1:9" x14ac:dyDescent="0.35">
      <c r="A3551" s="18" t="s">
        <v>4770</v>
      </c>
      <c r="B3551" s="18" t="s">
        <v>4772</v>
      </c>
      <c r="C3551" s="20">
        <v>45517</v>
      </c>
      <c r="D3551" s="11">
        <v>140.04489262574936</v>
      </c>
      <c r="E3551" s="27">
        <f t="shared" si="267"/>
        <v>155.8979744709842</v>
      </c>
      <c r="F3551" s="6">
        <f t="shared" si="263"/>
        <v>202.66736681227945</v>
      </c>
      <c r="G3551" s="7">
        <f t="shared" si="264"/>
        <v>218.25716425937787</v>
      </c>
      <c r="H3551" s="8">
        <f t="shared" si="265"/>
        <v>233.84696170647629</v>
      </c>
      <c r="I3551" s="9">
        <f t="shared" si="266"/>
        <v>249.43675915357471</v>
      </c>
    </row>
    <row r="3552" spans="1:9" x14ac:dyDescent="0.35">
      <c r="A3552" s="18" t="s">
        <v>4780</v>
      </c>
      <c r="B3552" s="18" t="s">
        <v>4783</v>
      </c>
      <c r="C3552" s="20">
        <v>45517</v>
      </c>
      <c r="D3552" s="11">
        <v>665.21323997230934</v>
      </c>
      <c r="E3552" s="27">
        <f t="shared" si="267"/>
        <v>740.51537873717473</v>
      </c>
      <c r="F3552" s="6">
        <f t="shared" si="263"/>
        <v>962.66999235832714</v>
      </c>
      <c r="G3552" s="7">
        <f t="shared" si="264"/>
        <v>1036.7215302320446</v>
      </c>
      <c r="H3552" s="8">
        <f t="shared" si="265"/>
        <v>1110.7730681057621</v>
      </c>
      <c r="I3552" s="9">
        <f t="shared" si="266"/>
        <v>1184.8246059794797</v>
      </c>
    </row>
    <row r="3553" spans="1:9" x14ac:dyDescent="0.35">
      <c r="A3553" s="18" t="s">
        <v>4781</v>
      </c>
      <c r="B3553" s="18" t="s">
        <v>4784</v>
      </c>
      <c r="C3553" s="20">
        <v>45517</v>
      </c>
      <c r="D3553" s="11">
        <v>630.20201681587218</v>
      </c>
      <c r="E3553" s="27">
        <f t="shared" si="267"/>
        <v>701.54088511942894</v>
      </c>
      <c r="F3553" s="6">
        <f t="shared" si="263"/>
        <v>912.00315065525763</v>
      </c>
      <c r="G3553" s="7">
        <f t="shared" si="264"/>
        <v>982.15723916720049</v>
      </c>
      <c r="H3553" s="8">
        <f t="shared" si="265"/>
        <v>1052.3113276791435</v>
      </c>
      <c r="I3553" s="9">
        <f t="shared" si="266"/>
        <v>1122.4654161910864</v>
      </c>
    </row>
    <row r="3554" spans="1:9" x14ac:dyDescent="0.35">
      <c r="A3554" s="18" t="s">
        <v>4782</v>
      </c>
      <c r="B3554" s="18" t="s">
        <v>4785</v>
      </c>
      <c r="C3554" s="20">
        <v>45517</v>
      </c>
      <c r="D3554" s="11">
        <v>630.20201681587218</v>
      </c>
      <c r="E3554" s="27">
        <f t="shared" si="267"/>
        <v>701.54088511942894</v>
      </c>
      <c r="F3554" s="6">
        <f t="shared" si="263"/>
        <v>912.00315065525763</v>
      </c>
      <c r="G3554" s="7">
        <f t="shared" si="264"/>
        <v>982.15723916720049</v>
      </c>
      <c r="H3554" s="8">
        <f t="shared" si="265"/>
        <v>1052.3113276791435</v>
      </c>
      <c r="I3554" s="9">
        <f t="shared" si="266"/>
        <v>1122.4654161910864</v>
      </c>
    </row>
    <row r="3555" spans="1:9" ht="15.75" customHeight="1" x14ac:dyDescent="0.4">
      <c r="B3555" s="19" t="s">
        <v>2581</v>
      </c>
      <c r="D3555" s="11">
        <v>0</v>
      </c>
      <c r="E3555" s="27">
        <f t="shared" si="267"/>
        <v>0</v>
      </c>
      <c r="F3555" s="6">
        <f t="shared" si="263"/>
        <v>0</v>
      </c>
      <c r="G3555" s="7">
        <f t="shared" si="264"/>
        <v>0</v>
      </c>
      <c r="H3555" s="8">
        <f t="shared" si="265"/>
        <v>0</v>
      </c>
      <c r="I3555" s="9">
        <f t="shared" si="266"/>
        <v>0</v>
      </c>
    </row>
    <row r="3556" spans="1:9" ht="18" x14ac:dyDescent="0.4">
      <c r="A3556" s="18" t="s">
        <v>832</v>
      </c>
      <c r="B3556" s="18" t="s">
        <v>5962</v>
      </c>
      <c r="C3556" s="20">
        <v>45635</v>
      </c>
      <c r="D3556" s="11">
        <v>1433.0150941559286</v>
      </c>
      <c r="E3556" s="27">
        <f t="shared" si="267"/>
        <v>1595.2324028143798</v>
      </c>
      <c r="F3556" s="6">
        <f t="shared" si="263"/>
        <v>2073.8021236586937</v>
      </c>
      <c r="G3556" s="7">
        <f t="shared" si="264"/>
        <v>2233.3253639401314</v>
      </c>
      <c r="H3556" s="8">
        <f t="shared" si="265"/>
        <v>2392.84860422157</v>
      </c>
      <c r="I3556" s="9">
        <f t="shared" si="266"/>
        <v>2552.3718445030081</v>
      </c>
    </row>
    <row r="3557" spans="1:9" x14ac:dyDescent="0.35">
      <c r="A3557" s="18" t="s">
        <v>833</v>
      </c>
      <c r="B3557" s="18" t="s">
        <v>182</v>
      </c>
      <c r="C3557" s="20">
        <v>45635</v>
      </c>
      <c r="D3557" s="11">
        <v>2200</v>
      </c>
      <c r="E3557" s="27">
        <f t="shared" si="267"/>
        <v>2449.04</v>
      </c>
      <c r="F3557" s="6">
        <f t="shared" si="263"/>
        <v>3183.752</v>
      </c>
      <c r="G3557" s="7">
        <f t="shared" si="264"/>
        <v>3428.6559999999999</v>
      </c>
      <c r="H3557" s="8">
        <f t="shared" si="265"/>
        <v>3673.56</v>
      </c>
      <c r="I3557" s="9">
        <f t="shared" si="266"/>
        <v>3918.4639999999999</v>
      </c>
    </row>
    <row r="3558" spans="1:9" ht="18" x14ac:dyDescent="0.4">
      <c r="A3558" s="24">
        <v>4730</v>
      </c>
      <c r="B3558" s="18" t="s">
        <v>5963</v>
      </c>
      <c r="C3558" s="20">
        <v>45635</v>
      </c>
      <c r="D3558" s="11">
        <v>661.39158191812089</v>
      </c>
      <c r="E3558" s="27">
        <f t="shared" si="267"/>
        <v>736.26110899125229</v>
      </c>
      <c r="F3558" s="6">
        <f t="shared" si="263"/>
        <v>957.13944168862804</v>
      </c>
      <c r="G3558" s="7">
        <f t="shared" si="264"/>
        <v>1030.7655525877531</v>
      </c>
      <c r="H3558" s="8">
        <f t="shared" si="265"/>
        <v>1104.3916634868783</v>
      </c>
      <c r="I3558" s="9">
        <f t="shared" si="266"/>
        <v>1178.0177743860038</v>
      </c>
    </row>
    <row r="3559" spans="1:9" ht="18" x14ac:dyDescent="0.4">
      <c r="A3559" s="18" t="s">
        <v>834</v>
      </c>
      <c r="B3559" s="18" t="s">
        <v>5964</v>
      </c>
      <c r="C3559" s="20">
        <v>45635</v>
      </c>
      <c r="D3559" s="11">
        <v>5130.7953021526928</v>
      </c>
      <c r="E3559" s="27">
        <f t="shared" si="267"/>
        <v>5711.6013303563777</v>
      </c>
      <c r="F3559" s="6">
        <f t="shared" si="263"/>
        <v>7425.0817294632916</v>
      </c>
      <c r="G3559" s="7">
        <f t="shared" si="264"/>
        <v>7996.2418624989286</v>
      </c>
      <c r="H3559" s="8">
        <f t="shared" si="265"/>
        <v>8567.4019955345666</v>
      </c>
      <c r="I3559" s="9">
        <f t="shared" si="266"/>
        <v>9138.5621285702055</v>
      </c>
    </row>
    <row r="3560" spans="1:9" ht="18" x14ac:dyDescent="0.4">
      <c r="A3560" s="18" t="s">
        <v>835</v>
      </c>
      <c r="B3560" s="18" t="s">
        <v>5965</v>
      </c>
      <c r="C3560" s="20">
        <v>45635</v>
      </c>
      <c r="D3560" s="11">
        <v>3682.7485811349911</v>
      </c>
      <c r="E3560" s="27">
        <f t="shared" si="267"/>
        <v>4099.6357205194727</v>
      </c>
      <c r="F3560" s="6">
        <f t="shared" si="263"/>
        <v>5329.5264366753145</v>
      </c>
      <c r="G3560" s="7">
        <f t="shared" si="264"/>
        <v>5739.4900087272617</v>
      </c>
      <c r="H3560" s="8">
        <f t="shared" si="265"/>
        <v>6149.453580779209</v>
      </c>
      <c r="I3560" s="9">
        <f t="shared" si="266"/>
        <v>6559.4171528311563</v>
      </c>
    </row>
    <row r="3561" spans="1:9" ht="18" x14ac:dyDescent="0.4">
      <c r="A3561" s="18" t="s">
        <v>836</v>
      </c>
      <c r="B3561" s="18" t="s">
        <v>5966</v>
      </c>
      <c r="C3561" s="20">
        <v>45635</v>
      </c>
      <c r="D3561" s="11">
        <v>1498.1521438902882</v>
      </c>
      <c r="E3561" s="27">
        <f t="shared" si="267"/>
        <v>1667.7429665786688</v>
      </c>
      <c r="F3561" s="6">
        <f t="shared" si="263"/>
        <v>2168.0658565522695</v>
      </c>
      <c r="G3561" s="7">
        <f t="shared" si="264"/>
        <v>2334.8401532101361</v>
      </c>
      <c r="H3561" s="8">
        <f t="shared" si="265"/>
        <v>2501.6144498680032</v>
      </c>
      <c r="I3561" s="9">
        <f t="shared" si="266"/>
        <v>2668.3887465258704</v>
      </c>
    </row>
    <row r="3562" spans="1:9" ht="18" x14ac:dyDescent="0.4">
      <c r="A3562" s="18" t="s">
        <v>837</v>
      </c>
      <c r="B3562" s="18" t="s">
        <v>5967</v>
      </c>
      <c r="C3562" s="20">
        <v>45635</v>
      </c>
      <c r="D3562" s="11">
        <v>588.73871875287261</v>
      </c>
      <c r="E3562" s="27">
        <f t="shared" si="267"/>
        <v>655.3839417156978</v>
      </c>
      <c r="F3562" s="6">
        <f t="shared" si="263"/>
        <v>851.99912423040712</v>
      </c>
      <c r="G3562" s="7">
        <f t="shared" si="264"/>
        <v>917.53751840197685</v>
      </c>
      <c r="H3562" s="8">
        <f t="shared" si="265"/>
        <v>983.0759125735467</v>
      </c>
      <c r="I3562" s="9">
        <f t="shared" si="266"/>
        <v>1048.6143067451164</v>
      </c>
    </row>
    <row r="3563" spans="1:9" ht="18" x14ac:dyDescent="0.4">
      <c r="A3563" s="18" t="s">
        <v>838</v>
      </c>
      <c r="B3563" s="18" t="s">
        <v>5968</v>
      </c>
      <c r="C3563" s="20">
        <v>45635</v>
      </c>
      <c r="D3563" s="11">
        <v>3815.5279517473427</v>
      </c>
      <c r="E3563" s="27">
        <f t="shared" si="267"/>
        <v>4247.4457158851419</v>
      </c>
      <c r="F3563" s="6">
        <f t="shared" si="263"/>
        <v>5521.6794306506845</v>
      </c>
      <c r="G3563" s="7">
        <f t="shared" si="264"/>
        <v>5946.4240022391987</v>
      </c>
      <c r="H3563" s="8">
        <f t="shared" si="265"/>
        <v>6371.1685738277129</v>
      </c>
      <c r="I3563" s="9">
        <f t="shared" si="266"/>
        <v>6795.9131454162271</v>
      </c>
    </row>
    <row r="3564" spans="1:9" ht="18" x14ac:dyDescent="0.4">
      <c r="A3564" s="18" t="s">
        <v>839</v>
      </c>
      <c r="B3564" s="18" t="s">
        <v>5969</v>
      </c>
      <c r="C3564" s="20">
        <v>45635</v>
      </c>
      <c r="D3564" s="11">
        <v>789.16041024321282</v>
      </c>
      <c r="E3564" s="27">
        <f t="shared" si="267"/>
        <v>878.49336868274452</v>
      </c>
      <c r="F3564" s="6">
        <f t="shared" si="263"/>
        <v>1142.0413792875679</v>
      </c>
      <c r="G3564" s="7">
        <f t="shared" si="264"/>
        <v>1229.8907161558423</v>
      </c>
      <c r="H3564" s="8">
        <f t="shared" si="265"/>
        <v>1317.7400530241168</v>
      </c>
      <c r="I3564" s="9">
        <f t="shared" si="266"/>
        <v>1405.5893898923914</v>
      </c>
    </row>
    <row r="3565" spans="1:9" ht="18" x14ac:dyDescent="0.4">
      <c r="A3565" s="18" t="s">
        <v>840</v>
      </c>
      <c r="B3565" s="18" t="s">
        <v>5970</v>
      </c>
      <c r="C3565" s="20">
        <v>45635</v>
      </c>
      <c r="D3565" s="11">
        <v>6313.2832819457026</v>
      </c>
      <c r="E3565" s="27">
        <f t="shared" si="267"/>
        <v>7027.9469494619561</v>
      </c>
      <c r="F3565" s="6">
        <f t="shared" si="263"/>
        <v>9136.3310343005433</v>
      </c>
      <c r="G3565" s="7">
        <f t="shared" si="264"/>
        <v>9839.125729246738</v>
      </c>
      <c r="H3565" s="8">
        <f t="shared" si="265"/>
        <v>10541.920424192935</v>
      </c>
      <c r="I3565" s="9">
        <f t="shared" si="266"/>
        <v>11244.715119139131</v>
      </c>
    </row>
    <row r="3566" spans="1:9" ht="18" x14ac:dyDescent="0.4">
      <c r="A3566" s="18" t="s">
        <v>841</v>
      </c>
      <c r="B3566" s="18" t="s">
        <v>5971</v>
      </c>
      <c r="C3566" s="20">
        <v>45635</v>
      </c>
      <c r="D3566" s="11">
        <v>6313.2832819457026</v>
      </c>
      <c r="E3566" s="27">
        <f t="shared" si="267"/>
        <v>7027.9469494619561</v>
      </c>
      <c r="F3566" s="6">
        <f t="shared" si="263"/>
        <v>9136.3310343005433</v>
      </c>
      <c r="G3566" s="7">
        <f t="shared" si="264"/>
        <v>9839.125729246738</v>
      </c>
      <c r="H3566" s="8">
        <f t="shared" si="265"/>
        <v>10541.920424192935</v>
      </c>
      <c r="I3566" s="9">
        <f t="shared" si="266"/>
        <v>11244.715119139131</v>
      </c>
    </row>
    <row r="3567" spans="1:9" ht="15.75" customHeight="1" x14ac:dyDescent="0.4">
      <c r="B3567" s="19" t="s">
        <v>2582</v>
      </c>
      <c r="D3567" s="11">
        <v>0</v>
      </c>
      <c r="E3567" s="27">
        <f t="shared" si="267"/>
        <v>0</v>
      </c>
      <c r="F3567" s="6">
        <f t="shared" si="263"/>
        <v>0</v>
      </c>
      <c r="G3567" s="7">
        <f t="shared" si="264"/>
        <v>0</v>
      </c>
      <c r="H3567" s="8">
        <f t="shared" si="265"/>
        <v>0</v>
      </c>
      <c r="I3567" s="9">
        <f t="shared" si="266"/>
        <v>0</v>
      </c>
    </row>
    <row r="3568" spans="1:9" ht="18" x14ac:dyDescent="0.4">
      <c r="A3568" s="18" t="s">
        <v>842</v>
      </c>
      <c r="B3568" s="18" t="s">
        <v>5972</v>
      </c>
      <c r="C3568" s="20">
        <v>45588</v>
      </c>
      <c r="D3568" s="11">
        <v>2491.7366935788655</v>
      </c>
      <c r="E3568" s="27">
        <f t="shared" si="267"/>
        <v>2773.801287291993</v>
      </c>
      <c r="F3568" s="6">
        <f t="shared" si="263"/>
        <v>3605.9416734795909</v>
      </c>
      <c r="G3568" s="7">
        <f t="shared" si="264"/>
        <v>3883.3218022087899</v>
      </c>
      <c r="H3568" s="8">
        <f t="shared" si="265"/>
        <v>4160.7019309379893</v>
      </c>
      <c r="I3568" s="9">
        <f t="shared" si="266"/>
        <v>4438.0820596671892</v>
      </c>
    </row>
    <row r="3569" spans="1:9" ht="18" x14ac:dyDescent="0.4">
      <c r="A3569" s="18" t="s">
        <v>843</v>
      </c>
      <c r="B3569" s="18" t="s">
        <v>5973</v>
      </c>
      <c r="C3569" s="20">
        <v>45588</v>
      </c>
      <c r="D3569" s="11">
        <v>10508.149254976415</v>
      </c>
      <c r="E3569" s="27">
        <f t="shared" si="267"/>
        <v>11697.671750639745</v>
      </c>
      <c r="F3569" s="6">
        <f t="shared" si="263"/>
        <v>15206.97327583167</v>
      </c>
      <c r="G3569" s="7">
        <f t="shared" si="264"/>
        <v>16376.740450895642</v>
      </c>
      <c r="H3569" s="8">
        <f t="shared" si="265"/>
        <v>17546.507625959617</v>
      </c>
      <c r="I3569" s="9">
        <f t="shared" si="266"/>
        <v>18716.274801023592</v>
      </c>
    </row>
    <row r="3570" spans="1:9" ht="18" x14ac:dyDescent="0.4">
      <c r="A3570" s="18" t="s">
        <v>844</v>
      </c>
      <c r="B3570" s="18" t="s">
        <v>5974</v>
      </c>
      <c r="C3570" s="20">
        <v>45588</v>
      </c>
      <c r="D3570" s="11">
        <v>11343.525137171197</v>
      </c>
      <c r="E3570" s="27">
        <f t="shared" si="267"/>
        <v>12627.612182698977</v>
      </c>
      <c r="F3570" s="6">
        <f t="shared" si="263"/>
        <v>16415.89583750867</v>
      </c>
      <c r="G3570" s="7">
        <f t="shared" si="264"/>
        <v>17678.657055778567</v>
      </c>
      <c r="H3570" s="8">
        <f t="shared" si="265"/>
        <v>18941.418274048465</v>
      </c>
      <c r="I3570" s="9">
        <f t="shared" si="266"/>
        <v>20204.179492318362</v>
      </c>
    </row>
    <row r="3571" spans="1:9" ht="18" x14ac:dyDescent="0.4">
      <c r="A3571" s="18" t="s">
        <v>845</v>
      </c>
      <c r="B3571" s="18" t="s">
        <v>5975</v>
      </c>
      <c r="C3571" s="20">
        <v>45588</v>
      </c>
      <c r="D3571" s="11">
        <v>11343.525137171197</v>
      </c>
      <c r="E3571" s="27">
        <f t="shared" si="267"/>
        <v>12627.612182698977</v>
      </c>
      <c r="F3571" s="6">
        <f t="shared" si="263"/>
        <v>16415.89583750867</v>
      </c>
      <c r="G3571" s="7">
        <f t="shared" si="264"/>
        <v>17678.657055778567</v>
      </c>
      <c r="H3571" s="8">
        <f t="shared" si="265"/>
        <v>18941.418274048465</v>
      </c>
      <c r="I3571" s="9">
        <f t="shared" si="266"/>
        <v>20204.179492318362</v>
      </c>
    </row>
    <row r="3572" spans="1:9" ht="15.75" customHeight="1" x14ac:dyDescent="0.4">
      <c r="B3572" s="19" t="s">
        <v>2583</v>
      </c>
      <c r="D3572" s="11">
        <v>0</v>
      </c>
      <c r="E3572" s="27">
        <f t="shared" si="267"/>
        <v>0</v>
      </c>
      <c r="F3572" s="6">
        <f t="shared" ref="F3572:F3634" si="268">E3572*1.3</f>
        <v>0</v>
      </c>
      <c r="G3572" s="7">
        <f t="shared" ref="G3572:G3634" si="269">E3572*1.4</f>
        <v>0</v>
      </c>
      <c r="H3572" s="8">
        <f t="shared" ref="H3572:H3634" si="270">E3572*1.5</f>
        <v>0</v>
      </c>
      <c r="I3572" s="9">
        <f t="shared" ref="I3572:I3634" si="271">E3572*1.6</f>
        <v>0</v>
      </c>
    </row>
    <row r="3573" spans="1:9" ht="18" x14ac:dyDescent="0.4">
      <c r="A3573" s="18" t="s">
        <v>846</v>
      </c>
      <c r="B3573" s="18" t="s">
        <v>5976</v>
      </c>
      <c r="C3573" s="20">
        <v>45588</v>
      </c>
      <c r="D3573" s="11">
        <v>8525.4535916781369</v>
      </c>
      <c r="E3573" s="27">
        <f t="shared" si="267"/>
        <v>9490.5349382561017</v>
      </c>
      <c r="F3573" s="6">
        <f t="shared" si="268"/>
        <v>12337.695419732932</v>
      </c>
      <c r="G3573" s="7">
        <f t="shared" si="269"/>
        <v>13286.748913558542</v>
      </c>
      <c r="H3573" s="8">
        <f t="shared" si="270"/>
        <v>14235.802407384152</v>
      </c>
      <c r="I3573" s="9">
        <f t="shared" si="271"/>
        <v>15184.855901209763</v>
      </c>
    </row>
    <row r="3574" spans="1:9" ht="18" x14ac:dyDescent="0.4">
      <c r="A3574" s="18" t="s">
        <v>847</v>
      </c>
      <c r="B3574" s="18" t="s">
        <v>5977</v>
      </c>
      <c r="C3574" s="20">
        <v>45588</v>
      </c>
      <c r="D3574" s="11">
        <v>1584.9333187213713</v>
      </c>
      <c r="E3574" s="27">
        <f t="shared" si="267"/>
        <v>1764.3477704006305</v>
      </c>
      <c r="F3574" s="6">
        <f t="shared" si="268"/>
        <v>2293.6521015208195</v>
      </c>
      <c r="G3574" s="7">
        <f t="shared" si="269"/>
        <v>2470.0868785608823</v>
      </c>
      <c r="H3574" s="8">
        <f t="shared" si="270"/>
        <v>2646.5216556009455</v>
      </c>
      <c r="I3574" s="9">
        <f t="shared" si="271"/>
        <v>2822.9564326410091</v>
      </c>
    </row>
    <row r="3575" spans="1:9" ht="15.75" customHeight="1" x14ac:dyDescent="0.4">
      <c r="B3575" s="19" t="s">
        <v>2584</v>
      </c>
      <c r="D3575" s="11">
        <v>0</v>
      </c>
      <c r="E3575" s="27">
        <f t="shared" si="267"/>
        <v>0</v>
      </c>
      <c r="F3575" s="6">
        <f t="shared" si="268"/>
        <v>0</v>
      </c>
      <c r="G3575" s="7">
        <f t="shared" si="269"/>
        <v>0</v>
      </c>
      <c r="H3575" s="8">
        <f t="shared" si="270"/>
        <v>0</v>
      </c>
      <c r="I3575" s="9">
        <f t="shared" si="271"/>
        <v>0</v>
      </c>
    </row>
    <row r="3576" spans="1:9" x14ac:dyDescent="0.35">
      <c r="A3576" s="18" t="s">
        <v>848</v>
      </c>
      <c r="B3576" s="18" t="s">
        <v>230</v>
      </c>
      <c r="C3576" s="20">
        <v>45629</v>
      </c>
      <c r="D3576" s="11">
        <v>967.25</v>
      </c>
      <c r="E3576" s="27">
        <f t="shared" si="267"/>
        <v>1076.7427</v>
      </c>
      <c r="F3576" s="6">
        <f t="shared" si="268"/>
        <v>1399.7655100000002</v>
      </c>
      <c r="G3576" s="7">
        <f t="shared" si="269"/>
        <v>1507.4397799999999</v>
      </c>
      <c r="H3576" s="8">
        <f t="shared" si="270"/>
        <v>1615.1140500000001</v>
      </c>
      <c r="I3576" s="9">
        <f t="shared" si="271"/>
        <v>1722.7883200000001</v>
      </c>
    </row>
    <row r="3577" spans="1:9" x14ac:dyDescent="0.35">
      <c r="A3577" s="24">
        <v>4690</v>
      </c>
      <c r="B3577" s="18" t="s">
        <v>1979</v>
      </c>
      <c r="C3577" s="20">
        <v>45629</v>
      </c>
      <c r="D3577" s="11">
        <v>760.95</v>
      </c>
      <c r="E3577" s="27">
        <f t="shared" si="267"/>
        <v>847.08954000000006</v>
      </c>
      <c r="F3577" s="6">
        <f t="shared" si="268"/>
        <v>1101.216402</v>
      </c>
      <c r="G3577" s="7">
        <f t="shared" si="269"/>
        <v>1185.925356</v>
      </c>
      <c r="H3577" s="8">
        <f t="shared" si="270"/>
        <v>1270.6343100000001</v>
      </c>
      <c r="I3577" s="9">
        <f t="shared" si="271"/>
        <v>1355.3432640000001</v>
      </c>
    </row>
    <row r="3578" spans="1:9" ht="18" x14ac:dyDescent="0.4">
      <c r="A3578" s="18" t="s">
        <v>849</v>
      </c>
      <c r="B3578" s="18" t="s">
        <v>5978</v>
      </c>
      <c r="C3578" s="20">
        <v>45629</v>
      </c>
      <c r="D3578" s="11">
        <v>223.4</v>
      </c>
      <c r="E3578" s="27">
        <f t="shared" si="267"/>
        <v>248.68888000000004</v>
      </c>
      <c r="F3578" s="6">
        <f t="shared" si="268"/>
        <v>323.29554400000006</v>
      </c>
      <c r="G3578" s="7">
        <f t="shared" si="269"/>
        <v>348.16443200000003</v>
      </c>
      <c r="H3578" s="8">
        <f t="shared" si="270"/>
        <v>373.03332000000006</v>
      </c>
      <c r="I3578" s="9">
        <f t="shared" si="271"/>
        <v>397.90220800000009</v>
      </c>
    </row>
    <row r="3579" spans="1:9" ht="18" x14ac:dyDescent="0.4">
      <c r="A3579" s="18" t="s">
        <v>850</v>
      </c>
      <c r="B3579" s="18" t="s">
        <v>5979</v>
      </c>
      <c r="C3579" s="20">
        <v>45629</v>
      </c>
      <c r="D3579" s="11">
        <v>1161.6613370225825</v>
      </c>
      <c r="E3579" s="27">
        <f t="shared" si="267"/>
        <v>1293.161400373539</v>
      </c>
      <c r="F3579" s="6">
        <f t="shared" si="268"/>
        <v>1681.1098204856007</v>
      </c>
      <c r="G3579" s="7">
        <f t="shared" si="269"/>
        <v>1810.4259605229545</v>
      </c>
      <c r="H3579" s="8">
        <f t="shared" si="270"/>
        <v>1939.7421005603085</v>
      </c>
      <c r="I3579" s="9">
        <f t="shared" si="271"/>
        <v>2069.0582405976625</v>
      </c>
    </row>
    <row r="3580" spans="1:9" ht="18" x14ac:dyDescent="0.4">
      <c r="A3580" s="18" t="s">
        <v>851</v>
      </c>
      <c r="B3580" s="18" t="s">
        <v>5980</v>
      </c>
      <c r="C3580" s="20">
        <v>45629</v>
      </c>
      <c r="D3580" s="11">
        <v>1966</v>
      </c>
      <c r="E3580" s="27">
        <f t="shared" si="267"/>
        <v>2188.5512000000003</v>
      </c>
      <c r="F3580" s="6">
        <f t="shared" si="268"/>
        <v>2845.1165600000004</v>
      </c>
      <c r="G3580" s="7">
        <f t="shared" si="269"/>
        <v>3063.9716800000001</v>
      </c>
      <c r="H3580" s="8">
        <f t="shared" si="270"/>
        <v>3282.8268000000007</v>
      </c>
      <c r="I3580" s="9">
        <f t="shared" si="271"/>
        <v>3501.6819200000009</v>
      </c>
    </row>
    <row r="3581" spans="1:9" ht="18" x14ac:dyDescent="0.4">
      <c r="A3581" s="18" t="s">
        <v>852</v>
      </c>
      <c r="B3581" s="18" t="s">
        <v>5981</v>
      </c>
      <c r="C3581" s="20">
        <v>45629</v>
      </c>
      <c r="D3581" s="11">
        <v>2420.8448832933518</v>
      </c>
      <c r="E3581" s="27">
        <f t="shared" si="267"/>
        <v>2694.8845240821593</v>
      </c>
      <c r="F3581" s="6">
        <f t="shared" si="268"/>
        <v>3503.3498813068072</v>
      </c>
      <c r="G3581" s="7">
        <f t="shared" si="269"/>
        <v>3772.8383337150226</v>
      </c>
      <c r="H3581" s="8">
        <f t="shared" si="270"/>
        <v>4042.3267861232389</v>
      </c>
      <c r="I3581" s="9">
        <f t="shared" si="271"/>
        <v>4311.8152385314552</v>
      </c>
    </row>
    <row r="3582" spans="1:9" x14ac:dyDescent="0.35">
      <c r="A3582" s="18" t="s">
        <v>3285</v>
      </c>
      <c r="B3582" s="18" t="s">
        <v>3286</v>
      </c>
      <c r="C3582" s="20">
        <v>45629</v>
      </c>
      <c r="D3582" s="11">
        <v>4326.3515230111743</v>
      </c>
      <c r="E3582" s="27">
        <f t="shared" si="267"/>
        <v>4816.094515416039</v>
      </c>
      <c r="F3582" s="6">
        <f t="shared" si="268"/>
        <v>6260.9228700408512</v>
      </c>
      <c r="G3582" s="7">
        <f t="shared" si="269"/>
        <v>6742.5323215824546</v>
      </c>
      <c r="H3582" s="8">
        <f t="shared" si="270"/>
        <v>7224.1417731240581</v>
      </c>
      <c r="I3582" s="9">
        <f t="shared" si="271"/>
        <v>7705.7512246656624</v>
      </c>
    </row>
    <row r="3583" spans="1:9" ht="18" x14ac:dyDescent="0.4">
      <c r="A3583" s="18" t="s">
        <v>853</v>
      </c>
      <c r="B3583" s="18" t="s">
        <v>5982</v>
      </c>
      <c r="C3583" s="20">
        <v>45629</v>
      </c>
      <c r="D3583" s="11">
        <v>3306.7918385843623</v>
      </c>
      <c r="E3583" s="27">
        <f t="shared" si="267"/>
        <v>3681.1206747121123</v>
      </c>
      <c r="F3583" s="6">
        <f t="shared" si="268"/>
        <v>4785.4568771257464</v>
      </c>
      <c r="G3583" s="7">
        <f t="shared" si="269"/>
        <v>5153.5689445969565</v>
      </c>
      <c r="H3583" s="8">
        <f t="shared" si="270"/>
        <v>5521.6810120681685</v>
      </c>
      <c r="I3583" s="9">
        <f t="shared" si="271"/>
        <v>5889.7930795393804</v>
      </c>
    </row>
    <row r="3584" spans="1:9" ht="18" x14ac:dyDescent="0.4">
      <c r="A3584" s="18" t="s">
        <v>855</v>
      </c>
      <c r="B3584" s="18" t="s">
        <v>5983</v>
      </c>
      <c r="C3584" s="20">
        <v>45629</v>
      </c>
      <c r="D3584" s="11">
        <v>343.33306739016837</v>
      </c>
      <c r="E3584" s="27">
        <f t="shared" si="267"/>
        <v>382.19837061873545</v>
      </c>
      <c r="F3584" s="6">
        <f t="shared" si="268"/>
        <v>496.85788180435611</v>
      </c>
      <c r="G3584" s="7">
        <f t="shared" si="269"/>
        <v>535.07771886622959</v>
      </c>
      <c r="H3584" s="8">
        <f t="shared" si="270"/>
        <v>573.29755592810318</v>
      </c>
      <c r="I3584" s="9">
        <f t="shared" si="271"/>
        <v>611.51739298997677</v>
      </c>
    </row>
    <row r="3585" spans="1:9" ht="18" x14ac:dyDescent="0.4">
      <c r="A3585" s="18" t="s">
        <v>856</v>
      </c>
      <c r="B3585" s="18" t="s">
        <v>5984</v>
      </c>
      <c r="C3585" s="20">
        <v>45629</v>
      </c>
      <c r="D3585" s="11">
        <v>1324.2846885049346</v>
      </c>
      <c r="E3585" s="27">
        <f t="shared" si="267"/>
        <v>1474.1937152436933</v>
      </c>
      <c r="F3585" s="6">
        <f t="shared" si="268"/>
        <v>1916.4518298168014</v>
      </c>
      <c r="G3585" s="7">
        <f t="shared" si="269"/>
        <v>2063.8712013411705</v>
      </c>
      <c r="H3585" s="8">
        <f t="shared" si="270"/>
        <v>2211.2905728655401</v>
      </c>
      <c r="I3585" s="9">
        <f t="shared" si="271"/>
        <v>2358.7099443899092</v>
      </c>
    </row>
    <row r="3586" spans="1:9" ht="18" x14ac:dyDescent="0.4">
      <c r="A3586" s="18" t="s">
        <v>857</v>
      </c>
      <c r="B3586" s="18" t="s">
        <v>5985</v>
      </c>
      <c r="C3586" s="20">
        <v>45629</v>
      </c>
      <c r="D3586" s="11">
        <v>140.24340386853325</v>
      </c>
      <c r="E3586" s="27">
        <f t="shared" si="267"/>
        <v>156.11895718645121</v>
      </c>
      <c r="F3586" s="6">
        <f t="shared" si="268"/>
        <v>202.95464434238659</v>
      </c>
      <c r="G3586" s="7">
        <f t="shared" si="269"/>
        <v>218.56654006103167</v>
      </c>
      <c r="H3586" s="8">
        <f t="shared" si="270"/>
        <v>234.17843577967682</v>
      </c>
      <c r="I3586" s="9">
        <f t="shared" si="271"/>
        <v>249.79033149832196</v>
      </c>
    </row>
    <row r="3587" spans="1:9" x14ac:dyDescent="0.35">
      <c r="A3587" s="18" t="s">
        <v>858</v>
      </c>
      <c r="B3587" s="18" t="s">
        <v>286</v>
      </c>
      <c r="C3587" s="20">
        <v>45629</v>
      </c>
      <c r="D3587" s="11">
        <v>32.363862431199983</v>
      </c>
      <c r="E3587" s="27">
        <f t="shared" si="267"/>
        <v>36.02745165841182</v>
      </c>
      <c r="F3587" s="6">
        <f t="shared" si="268"/>
        <v>46.835687155935368</v>
      </c>
      <c r="G3587" s="7">
        <f t="shared" si="269"/>
        <v>50.438432321776546</v>
      </c>
      <c r="H3587" s="8">
        <f t="shared" si="270"/>
        <v>54.04117748761773</v>
      </c>
      <c r="I3587" s="9">
        <f t="shared" si="271"/>
        <v>57.643922653458915</v>
      </c>
    </row>
    <row r="3588" spans="1:9" ht="18" x14ac:dyDescent="0.4">
      <c r="A3588" s="18" t="s">
        <v>859</v>
      </c>
      <c r="B3588" s="18" t="s">
        <v>5986</v>
      </c>
      <c r="C3588" s="20">
        <v>45629</v>
      </c>
      <c r="D3588" s="11">
        <v>57.176156961786617</v>
      </c>
      <c r="E3588" s="27">
        <f t="shared" si="267"/>
        <v>63.648497929860859</v>
      </c>
      <c r="F3588" s="6">
        <f t="shared" si="268"/>
        <v>82.743047308819115</v>
      </c>
      <c r="G3588" s="7">
        <f t="shared" si="269"/>
        <v>89.107897101805193</v>
      </c>
      <c r="H3588" s="8">
        <f t="shared" si="270"/>
        <v>95.472746894791285</v>
      </c>
      <c r="I3588" s="9">
        <f t="shared" si="271"/>
        <v>101.83759668777738</v>
      </c>
    </row>
    <row r="3589" spans="1:9" ht="18" x14ac:dyDescent="0.4">
      <c r="A3589" s="18" t="s">
        <v>929</v>
      </c>
      <c r="B3589" s="18" t="s">
        <v>5987</v>
      </c>
      <c r="C3589" s="20">
        <v>45629</v>
      </c>
      <c r="D3589" s="11">
        <v>313.90451875672511</v>
      </c>
      <c r="E3589" s="27">
        <f t="shared" si="267"/>
        <v>349.43851027998642</v>
      </c>
      <c r="F3589" s="6">
        <f t="shared" si="268"/>
        <v>454.27006336398233</v>
      </c>
      <c r="G3589" s="7">
        <f t="shared" si="269"/>
        <v>489.21391439198095</v>
      </c>
      <c r="H3589" s="8">
        <f t="shared" si="270"/>
        <v>524.15776541997957</v>
      </c>
      <c r="I3589" s="9">
        <f t="shared" si="271"/>
        <v>559.10161644797824</v>
      </c>
    </row>
    <row r="3590" spans="1:9" ht="18" x14ac:dyDescent="0.4">
      <c r="A3590" s="18" t="s">
        <v>930</v>
      </c>
      <c r="B3590" s="18" t="s">
        <v>5988</v>
      </c>
      <c r="C3590" s="20">
        <v>45629</v>
      </c>
      <c r="D3590" s="11">
        <v>220</v>
      </c>
      <c r="E3590" s="27">
        <f t="shared" si="267"/>
        <v>244.904</v>
      </c>
      <c r="F3590" s="6">
        <f t="shared" si="268"/>
        <v>318.37520000000001</v>
      </c>
      <c r="G3590" s="7">
        <f t="shared" si="269"/>
        <v>342.86559999999997</v>
      </c>
      <c r="H3590" s="8">
        <f t="shared" si="270"/>
        <v>367.35599999999999</v>
      </c>
      <c r="I3590" s="9">
        <f t="shared" si="271"/>
        <v>391.84640000000002</v>
      </c>
    </row>
    <row r="3591" spans="1:9" ht="18" x14ac:dyDescent="0.4">
      <c r="A3591" s="18" t="s">
        <v>931</v>
      </c>
      <c r="B3591" s="18" t="s">
        <v>5989</v>
      </c>
      <c r="C3591" s="20">
        <v>45629</v>
      </c>
      <c r="D3591" s="11">
        <v>2270.864347255867</v>
      </c>
      <c r="E3591" s="27">
        <f t="shared" si="267"/>
        <v>2527.9261913652308</v>
      </c>
      <c r="F3591" s="6">
        <f t="shared" si="268"/>
        <v>3286.3040487748003</v>
      </c>
      <c r="G3591" s="7">
        <f t="shared" si="269"/>
        <v>3539.096667911323</v>
      </c>
      <c r="H3591" s="8">
        <f t="shared" si="270"/>
        <v>3791.8892870478462</v>
      </c>
      <c r="I3591" s="9">
        <f t="shared" si="271"/>
        <v>4044.6819061843694</v>
      </c>
    </row>
    <row r="3592" spans="1:9" ht="15.75" customHeight="1" x14ac:dyDescent="0.4">
      <c r="B3592" s="19" t="s">
        <v>2586</v>
      </c>
      <c r="D3592" s="11">
        <v>0</v>
      </c>
      <c r="E3592" s="27">
        <f t="shared" si="267"/>
        <v>0</v>
      </c>
      <c r="F3592" s="6">
        <f t="shared" si="268"/>
        <v>0</v>
      </c>
      <c r="G3592" s="7">
        <f t="shared" si="269"/>
        <v>0</v>
      </c>
      <c r="H3592" s="8">
        <f t="shared" si="270"/>
        <v>0</v>
      </c>
      <c r="I3592" s="9">
        <f t="shared" si="271"/>
        <v>0</v>
      </c>
    </row>
    <row r="3593" spans="1:9" ht="18" x14ac:dyDescent="0.4">
      <c r="A3593" s="24">
        <v>4699</v>
      </c>
      <c r="B3593" s="18" t="s">
        <v>5990</v>
      </c>
      <c r="C3593" s="20">
        <v>45591</v>
      </c>
      <c r="D3593" s="11">
        <v>318.27002976590285</v>
      </c>
      <c r="E3593" s="27">
        <f t="shared" si="267"/>
        <v>354.29819713540309</v>
      </c>
      <c r="F3593" s="6">
        <f t="shared" si="268"/>
        <v>460.58765627602401</v>
      </c>
      <c r="G3593" s="7">
        <f t="shared" si="269"/>
        <v>496.01747598956428</v>
      </c>
      <c r="H3593" s="8">
        <f t="shared" si="270"/>
        <v>531.4472957031046</v>
      </c>
      <c r="I3593" s="9">
        <f t="shared" si="271"/>
        <v>566.87711541664498</v>
      </c>
    </row>
    <row r="3594" spans="1:9" ht="18" x14ac:dyDescent="0.4">
      <c r="A3594" s="18" t="s">
        <v>3073</v>
      </c>
      <c r="B3594" s="18" t="s">
        <v>5991</v>
      </c>
      <c r="C3594" s="20">
        <v>45591</v>
      </c>
      <c r="D3594" s="11">
        <v>225.40473871161859</v>
      </c>
      <c r="E3594" s="27">
        <f t="shared" si="267"/>
        <v>250.9205551337738</v>
      </c>
      <c r="F3594" s="6">
        <f t="shared" si="268"/>
        <v>326.19672167390593</v>
      </c>
      <c r="G3594" s="7">
        <f t="shared" si="269"/>
        <v>351.2887771872833</v>
      </c>
      <c r="H3594" s="8">
        <f t="shared" si="270"/>
        <v>376.38083270066068</v>
      </c>
      <c r="I3594" s="9">
        <f t="shared" si="271"/>
        <v>401.47288821403811</v>
      </c>
    </row>
    <row r="3595" spans="1:9" ht="18" x14ac:dyDescent="0.4">
      <c r="A3595" s="18" t="s">
        <v>3074</v>
      </c>
      <c r="B3595" s="18" t="s">
        <v>5992</v>
      </c>
      <c r="C3595" s="20">
        <v>45591</v>
      </c>
      <c r="D3595" s="11">
        <v>731.11500000000012</v>
      </c>
      <c r="E3595" s="27">
        <f t="shared" si="267"/>
        <v>813.87721800000008</v>
      </c>
      <c r="F3595" s="6">
        <f t="shared" si="268"/>
        <v>1058.0403834000001</v>
      </c>
      <c r="G3595" s="7">
        <f t="shared" si="269"/>
        <v>1139.4281052000001</v>
      </c>
      <c r="H3595" s="8">
        <f t="shared" si="270"/>
        <v>1220.8158270000001</v>
      </c>
      <c r="I3595" s="9">
        <f t="shared" si="271"/>
        <v>1302.2035488000001</v>
      </c>
    </row>
    <row r="3596" spans="1:9" ht="18" x14ac:dyDescent="0.4">
      <c r="A3596" s="18" t="s">
        <v>3075</v>
      </c>
      <c r="B3596" s="18" t="s">
        <v>5993</v>
      </c>
      <c r="C3596" s="20">
        <v>45591</v>
      </c>
      <c r="D3596" s="11">
        <v>557.86500000000012</v>
      </c>
      <c r="E3596" s="27">
        <f t="shared" si="267"/>
        <v>621.01531800000021</v>
      </c>
      <c r="F3596" s="6">
        <f t="shared" si="268"/>
        <v>807.31991340000025</v>
      </c>
      <c r="G3596" s="7">
        <f t="shared" si="269"/>
        <v>869.42144520000022</v>
      </c>
      <c r="H3596" s="8">
        <f t="shared" si="270"/>
        <v>931.52297700000031</v>
      </c>
      <c r="I3596" s="9">
        <f t="shared" si="271"/>
        <v>993.6245088000004</v>
      </c>
    </row>
    <row r="3597" spans="1:9" x14ac:dyDescent="0.35">
      <c r="A3597" s="18" t="s">
        <v>3076</v>
      </c>
      <c r="B3597" s="18" t="s">
        <v>287</v>
      </c>
      <c r="C3597" s="20">
        <v>45591</v>
      </c>
      <c r="D3597" s="11">
        <v>115.5</v>
      </c>
      <c r="E3597" s="27">
        <f t="shared" si="267"/>
        <v>128.5746</v>
      </c>
      <c r="F3597" s="6">
        <f t="shared" si="268"/>
        <v>167.14698000000001</v>
      </c>
      <c r="G3597" s="7">
        <f t="shared" si="269"/>
        <v>180.00443999999999</v>
      </c>
      <c r="H3597" s="8">
        <f t="shared" si="270"/>
        <v>192.86189999999999</v>
      </c>
      <c r="I3597" s="9">
        <f t="shared" si="271"/>
        <v>205.71936000000002</v>
      </c>
    </row>
    <row r="3598" spans="1:9" x14ac:dyDescent="0.35">
      <c r="A3598" s="18" t="s">
        <v>3077</v>
      </c>
      <c r="B3598" s="18" t="s">
        <v>2269</v>
      </c>
      <c r="C3598" s="20">
        <v>45591</v>
      </c>
      <c r="D3598" s="11">
        <v>115.5</v>
      </c>
      <c r="E3598" s="27">
        <f t="shared" si="267"/>
        <v>128.5746</v>
      </c>
      <c r="F3598" s="6">
        <f t="shared" si="268"/>
        <v>167.14698000000001</v>
      </c>
      <c r="G3598" s="7">
        <f t="shared" si="269"/>
        <v>180.00443999999999</v>
      </c>
      <c r="H3598" s="8">
        <f t="shared" si="270"/>
        <v>192.86189999999999</v>
      </c>
      <c r="I3598" s="9">
        <f t="shared" si="271"/>
        <v>205.71936000000002</v>
      </c>
    </row>
    <row r="3599" spans="1:9" ht="18" x14ac:dyDescent="0.4">
      <c r="A3599" s="18" t="s">
        <v>3078</v>
      </c>
      <c r="B3599" s="18" t="s">
        <v>5994</v>
      </c>
      <c r="C3599" s="20">
        <v>45591</v>
      </c>
      <c r="D3599" s="11">
        <v>5.9072846433822912</v>
      </c>
      <c r="E3599" s="27">
        <f t="shared" si="267"/>
        <v>6.5759892650131668</v>
      </c>
      <c r="F3599" s="6">
        <f t="shared" si="268"/>
        <v>8.5487860445171169</v>
      </c>
      <c r="G3599" s="7">
        <f t="shared" si="269"/>
        <v>9.2063849710184336</v>
      </c>
      <c r="H3599" s="8">
        <f t="shared" si="270"/>
        <v>9.8639838975197502</v>
      </c>
      <c r="I3599" s="9">
        <f t="shared" si="271"/>
        <v>10.521582824021067</v>
      </c>
    </row>
    <row r="3600" spans="1:9" x14ac:dyDescent="0.35">
      <c r="A3600" s="18" t="s">
        <v>3079</v>
      </c>
      <c r="B3600" s="18" t="s">
        <v>2270</v>
      </c>
      <c r="C3600" s="20">
        <v>45591</v>
      </c>
      <c r="D3600" s="11">
        <v>246.01500000000001</v>
      </c>
      <c r="E3600" s="27">
        <f t="shared" si="267"/>
        <v>273.86389800000001</v>
      </c>
      <c r="F3600" s="6">
        <f t="shared" si="268"/>
        <v>356.0230674</v>
      </c>
      <c r="G3600" s="7">
        <f t="shared" si="269"/>
        <v>383.40945719999996</v>
      </c>
      <c r="H3600" s="8">
        <f t="shared" si="270"/>
        <v>410.79584699999998</v>
      </c>
      <c r="I3600" s="9">
        <f t="shared" si="271"/>
        <v>438.18223680000006</v>
      </c>
    </row>
    <row r="3601" spans="1:9" x14ac:dyDescent="0.35">
      <c r="A3601" s="18" t="s">
        <v>2724</v>
      </c>
      <c r="B3601" s="18" t="s">
        <v>2271</v>
      </c>
      <c r="C3601" s="20">
        <v>45591</v>
      </c>
      <c r="D3601" s="11">
        <v>334.95</v>
      </c>
      <c r="E3601" s="27">
        <f t="shared" si="267"/>
        <v>372.86633999999998</v>
      </c>
      <c r="F3601" s="6">
        <f t="shared" si="268"/>
        <v>484.72624200000001</v>
      </c>
      <c r="G3601" s="7">
        <f t="shared" si="269"/>
        <v>522.01287599999989</v>
      </c>
      <c r="H3601" s="8">
        <f t="shared" si="270"/>
        <v>559.29950999999994</v>
      </c>
      <c r="I3601" s="9">
        <f t="shared" si="271"/>
        <v>596.58614399999999</v>
      </c>
    </row>
    <row r="3602" spans="1:9" x14ac:dyDescent="0.35">
      <c r="A3602" s="18" t="s">
        <v>2725</v>
      </c>
      <c r="B3602" s="18" t="s">
        <v>2272</v>
      </c>
      <c r="C3602" s="20">
        <v>45591</v>
      </c>
      <c r="D3602" s="11">
        <v>135.48150000000001</v>
      </c>
      <c r="E3602" s="27">
        <f t="shared" si="267"/>
        <v>150.81800580000001</v>
      </c>
      <c r="F3602" s="6">
        <f t="shared" si="268"/>
        <v>196.06340754000001</v>
      </c>
      <c r="G3602" s="7">
        <f t="shared" si="269"/>
        <v>211.14520812000001</v>
      </c>
      <c r="H3602" s="8">
        <f t="shared" si="270"/>
        <v>226.2270087</v>
      </c>
      <c r="I3602" s="9">
        <f t="shared" si="271"/>
        <v>241.30880928000002</v>
      </c>
    </row>
    <row r="3603" spans="1:9" x14ac:dyDescent="0.35">
      <c r="A3603" s="18" t="s">
        <v>2726</v>
      </c>
      <c r="B3603" s="18" t="s">
        <v>2273</v>
      </c>
      <c r="C3603" s="20">
        <v>45591</v>
      </c>
      <c r="D3603" s="11">
        <v>150.84299999999999</v>
      </c>
      <c r="E3603" s="27">
        <f t="shared" ref="E3603:E3666" si="272">D3603*1.21*0.92</f>
        <v>167.9184276</v>
      </c>
      <c r="F3603" s="6">
        <f t="shared" si="268"/>
        <v>218.29395588</v>
      </c>
      <c r="G3603" s="7">
        <f t="shared" si="269"/>
        <v>235.08579863999998</v>
      </c>
      <c r="H3603" s="8">
        <f t="shared" si="270"/>
        <v>251.87764140000002</v>
      </c>
      <c r="I3603" s="9">
        <f t="shared" si="271"/>
        <v>268.66948416000002</v>
      </c>
    </row>
    <row r="3604" spans="1:9" x14ac:dyDescent="0.35">
      <c r="A3604" s="18" t="s">
        <v>2727</v>
      </c>
      <c r="B3604" s="18" t="s">
        <v>2274</v>
      </c>
      <c r="C3604" s="20">
        <v>45591</v>
      </c>
      <c r="D3604" s="11">
        <v>248.32500000000005</v>
      </c>
      <c r="E3604" s="27">
        <f t="shared" si="272"/>
        <v>276.4353900000001</v>
      </c>
      <c r="F3604" s="6">
        <f t="shared" si="268"/>
        <v>359.36600700000014</v>
      </c>
      <c r="G3604" s="7">
        <f t="shared" si="269"/>
        <v>387.00954600000011</v>
      </c>
      <c r="H3604" s="8">
        <f t="shared" si="270"/>
        <v>414.65308500000015</v>
      </c>
      <c r="I3604" s="9">
        <f t="shared" si="271"/>
        <v>442.29662400000018</v>
      </c>
    </row>
    <row r="3605" spans="1:9" x14ac:dyDescent="0.35">
      <c r="A3605" s="18" t="s">
        <v>2728</v>
      </c>
      <c r="B3605" s="18" t="s">
        <v>2275</v>
      </c>
      <c r="C3605" s="20">
        <v>45591</v>
      </c>
      <c r="D3605" s="11">
        <v>248.32500000000005</v>
      </c>
      <c r="E3605" s="27">
        <f t="shared" si="272"/>
        <v>276.4353900000001</v>
      </c>
      <c r="F3605" s="6">
        <f t="shared" si="268"/>
        <v>359.36600700000014</v>
      </c>
      <c r="G3605" s="7">
        <f t="shared" si="269"/>
        <v>387.00954600000011</v>
      </c>
      <c r="H3605" s="8">
        <f t="shared" si="270"/>
        <v>414.65308500000015</v>
      </c>
      <c r="I3605" s="9">
        <f t="shared" si="271"/>
        <v>442.29662400000018</v>
      </c>
    </row>
    <row r="3606" spans="1:9" x14ac:dyDescent="0.35">
      <c r="A3606" s="18" t="s">
        <v>2729</v>
      </c>
      <c r="B3606" s="18" t="s">
        <v>2276</v>
      </c>
      <c r="C3606" s="20">
        <v>45591</v>
      </c>
      <c r="D3606" s="11">
        <v>3690.75</v>
      </c>
      <c r="E3606" s="27">
        <f t="shared" si="272"/>
        <v>4108.5429000000004</v>
      </c>
      <c r="F3606" s="6">
        <f t="shared" si="268"/>
        <v>5341.105770000001</v>
      </c>
      <c r="G3606" s="7">
        <f t="shared" si="269"/>
        <v>5751.9600600000003</v>
      </c>
      <c r="H3606" s="8">
        <f t="shared" si="270"/>
        <v>6162.8143500000006</v>
      </c>
      <c r="I3606" s="9">
        <f t="shared" si="271"/>
        <v>6573.6686400000008</v>
      </c>
    </row>
    <row r="3607" spans="1:9" x14ac:dyDescent="0.35">
      <c r="A3607" s="18" t="s">
        <v>2730</v>
      </c>
      <c r="B3607" s="18" t="s">
        <v>2277</v>
      </c>
      <c r="C3607" s="20">
        <v>45591</v>
      </c>
      <c r="D3607" s="11">
        <v>4305</v>
      </c>
      <c r="E3607" s="27">
        <f t="shared" si="272"/>
        <v>4792.326</v>
      </c>
      <c r="F3607" s="6">
        <f t="shared" si="268"/>
        <v>6230.0237999999999</v>
      </c>
      <c r="G3607" s="7">
        <f t="shared" si="269"/>
        <v>6709.2563999999993</v>
      </c>
      <c r="H3607" s="8">
        <f t="shared" si="270"/>
        <v>7188.4889999999996</v>
      </c>
      <c r="I3607" s="9">
        <f t="shared" si="271"/>
        <v>7667.7216000000008</v>
      </c>
    </row>
    <row r="3608" spans="1:9" x14ac:dyDescent="0.35">
      <c r="A3608" s="18" t="s">
        <v>2731</v>
      </c>
      <c r="B3608" s="18" t="s">
        <v>318</v>
      </c>
      <c r="C3608" s="20">
        <v>45591</v>
      </c>
      <c r="D3608" s="11">
        <v>955.5</v>
      </c>
      <c r="E3608" s="27">
        <f t="shared" si="272"/>
        <v>1063.6626000000001</v>
      </c>
      <c r="F3608" s="6">
        <f t="shared" si="268"/>
        <v>1382.7613800000001</v>
      </c>
      <c r="G3608" s="7">
        <f t="shared" si="269"/>
        <v>1489.1276400000002</v>
      </c>
      <c r="H3608" s="8">
        <f t="shared" si="270"/>
        <v>1595.4939000000002</v>
      </c>
      <c r="I3608" s="9">
        <f t="shared" si="271"/>
        <v>1701.8601600000002</v>
      </c>
    </row>
    <row r="3609" spans="1:9" x14ac:dyDescent="0.35">
      <c r="A3609" s="18" t="s">
        <v>2732</v>
      </c>
      <c r="B3609" s="18" t="s">
        <v>2278</v>
      </c>
      <c r="C3609" s="20">
        <v>45591</v>
      </c>
      <c r="D3609" s="11">
        <v>4484.502147071531</v>
      </c>
      <c r="E3609" s="27">
        <f t="shared" si="272"/>
        <v>4992.1477901200287</v>
      </c>
      <c r="F3609" s="6">
        <f t="shared" si="268"/>
        <v>6489.7921271560372</v>
      </c>
      <c r="G3609" s="7">
        <f t="shared" si="269"/>
        <v>6989.0069061680397</v>
      </c>
      <c r="H3609" s="8">
        <f t="shared" si="270"/>
        <v>7488.2216851800431</v>
      </c>
      <c r="I3609" s="9">
        <f t="shared" si="271"/>
        <v>7987.4364641920465</v>
      </c>
    </row>
    <row r="3610" spans="1:9" x14ac:dyDescent="0.35">
      <c r="A3610" s="18" t="s">
        <v>2733</v>
      </c>
      <c r="B3610" s="18" t="s">
        <v>2279</v>
      </c>
      <c r="C3610" s="20">
        <v>45591</v>
      </c>
      <c r="D3610" s="11">
        <v>6740</v>
      </c>
      <c r="E3610" s="27">
        <f t="shared" si="272"/>
        <v>7502.9679999999998</v>
      </c>
      <c r="F3610" s="6">
        <f t="shared" si="268"/>
        <v>9753.858400000001</v>
      </c>
      <c r="G3610" s="7">
        <f t="shared" si="269"/>
        <v>10504.155199999999</v>
      </c>
      <c r="H3610" s="8">
        <f t="shared" si="270"/>
        <v>11254.451999999999</v>
      </c>
      <c r="I3610" s="9">
        <f t="shared" si="271"/>
        <v>12004.748800000001</v>
      </c>
    </row>
    <row r="3611" spans="1:9" x14ac:dyDescent="0.35">
      <c r="A3611" s="18" t="s">
        <v>2734</v>
      </c>
      <c r="B3611" s="18" t="s">
        <v>2280</v>
      </c>
      <c r="C3611" s="20">
        <v>45591</v>
      </c>
      <c r="D3611" s="11">
        <v>3831.365195690561</v>
      </c>
      <c r="E3611" s="27">
        <f t="shared" si="272"/>
        <v>4265.0757358427327</v>
      </c>
      <c r="F3611" s="6">
        <f t="shared" si="268"/>
        <v>5544.5984565955523</v>
      </c>
      <c r="G3611" s="7">
        <f t="shared" si="269"/>
        <v>5971.1060301798252</v>
      </c>
      <c r="H3611" s="8">
        <f t="shared" si="270"/>
        <v>6397.613603764099</v>
      </c>
      <c r="I3611" s="9">
        <f t="shared" si="271"/>
        <v>6824.1211773483728</v>
      </c>
    </row>
    <row r="3612" spans="1:9" x14ac:dyDescent="0.35">
      <c r="A3612" s="18" t="s">
        <v>2735</v>
      </c>
      <c r="B3612" s="18" t="s">
        <v>2281</v>
      </c>
      <c r="C3612" s="20">
        <v>45591</v>
      </c>
      <c r="D3612" s="11">
        <v>6486.4800000000005</v>
      </c>
      <c r="E3612" s="27">
        <f t="shared" si="272"/>
        <v>7220.7495360000003</v>
      </c>
      <c r="F3612" s="6">
        <f t="shared" si="268"/>
        <v>9386.9743968000002</v>
      </c>
      <c r="G3612" s="7">
        <f t="shared" si="269"/>
        <v>10109.049350400001</v>
      </c>
      <c r="H3612" s="8">
        <f t="shared" si="270"/>
        <v>10831.124304000001</v>
      </c>
      <c r="I3612" s="9">
        <f t="shared" si="271"/>
        <v>11553.199257600001</v>
      </c>
    </row>
    <row r="3613" spans="1:9" x14ac:dyDescent="0.35">
      <c r="A3613" s="18" t="s">
        <v>2736</v>
      </c>
      <c r="B3613" s="18" t="s">
        <v>319</v>
      </c>
      <c r="C3613" s="20">
        <v>45591</v>
      </c>
      <c r="D3613" s="11">
        <v>6687.4500000000016</v>
      </c>
      <c r="E3613" s="27">
        <f t="shared" si="272"/>
        <v>7444.4693400000015</v>
      </c>
      <c r="F3613" s="6">
        <f t="shared" si="268"/>
        <v>9677.8101420000021</v>
      </c>
      <c r="G3613" s="7">
        <f t="shared" si="269"/>
        <v>10422.257076000002</v>
      </c>
      <c r="H3613" s="8">
        <f t="shared" si="270"/>
        <v>11166.704010000001</v>
      </c>
      <c r="I3613" s="9">
        <f t="shared" si="271"/>
        <v>11911.150944000003</v>
      </c>
    </row>
    <row r="3614" spans="1:9" x14ac:dyDescent="0.35">
      <c r="A3614" s="18" t="s">
        <v>2737</v>
      </c>
      <c r="B3614" s="18" t="s">
        <v>2282</v>
      </c>
      <c r="C3614" s="20">
        <v>45591</v>
      </c>
      <c r="D3614" s="11">
        <v>525.52500000000009</v>
      </c>
      <c r="E3614" s="27">
        <f t="shared" si="272"/>
        <v>585.01443000000006</v>
      </c>
      <c r="F3614" s="6">
        <f t="shared" si="268"/>
        <v>760.51875900000016</v>
      </c>
      <c r="G3614" s="7">
        <f t="shared" si="269"/>
        <v>819.02020200000004</v>
      </c>
      <c r="H3614" s="8">
        <f t="shared" si="270"/>
        <v>877.52164500000003</v>
      </c>
      <c r="I3614" s="9">
        <f t="shared" si="271"/>
        <v>936.02308800000014</v>
      </c>
    </row>
    <row r="3615" spans="1:9" x14ac:dyDescent="0.35">
      <c r="A3615" s="18" t="s">
        <v>2738</v>
      </c>
      <c r="B3615" s="18" t="s">
        <v>2283</v>
      </c>
      <c r="C3615" s="20">
        <v>45591</v>
      </c>
      <c r="D3615" s="11">
        <v>508.2000000000001</v>
      </c>
      <c r="E3615" s="27">
        <f t="shared" si="272"/>
        <v>565.72824000000014</v>
      </c>
      <c r="F3615" s="6">
        <f t="shared" si="268"/>
        <v>735.44671200000016</v>
      </c>
      <c r="G3615" s="7">
        <f t="shared" si="269"/>
        <v>792.01953600000013</v>
      </c>
      <c r="H3615" s="8">
        <f t="shared" si="270"/>
        <v>848.59236000000021</v>
      </c>
      <c r="I3615" s="9">
        <f t="shared" si="271"/>
        <v>905.16518400000029</v>
      </c>
    </row>
    <row r="3616" spans="1:9" x14ac:dyDescent="0.35">
      <c r="A3616" s="18" t="s">
        <v>2739</v>
      </c>
      <c r="B3616" s="18" t="s">
        <v>2284</v>
      </c>
      <c r="C3616" s="20">
        <v>45591</v>
      </c>
      <c r="D3616" s="11">
        <v>1185.0300000000002</v>
      </c>
      <c r="E3616" s="27">
        <f t="shared" si="272"/>
        <v>1319.1753960000001</v>
      </c>
      <c r="F3616" s="6">
        <f t="shared" si="268"/>
        <v>1714.9280148000003</v>
      </c>
      <c r="G3616" s="7">
        <f t="shared" si="269"/>
        <v>1846.8455544000001</v>
      </c>
      <c r="H3616" s="8">
        <f t="shared" si="270"/>
        <v>1978.7630940000001</v>
      </c>
      <c r="I3616" s="9">
        <f t="shared" si="271"/>
        <v>2110.6806336000004</v>
      </c>
    </row>
    <row r="3617" spans="1:9" x14ac:dyDescent="0.35">
      <c r="A3617" s="18" t="s">
        <v>2740</v>
      </c>
      <c r="B3617" s="18" t="s">
        <v>2285</v>
      </c>
      <c r="C3617" s="20">
        <v>45591</v>
      </c>
      <c r="D3617" s="11">
        <v>3008</v>
      </c>
      <c r="E3617" s="27">
        <f t="shared" si="272"/>
        <v>3348.5056</v>
      </c>
      <c r="F3617" s="6">
        <f t="shared" si="268"/>
        <v>4353.05728</v>
      </c>
      <c r="G3617" s="7">
        <f t="shared" si="269"/>
        <v>4687.9078399999999</v>
      </c>
      <c r="H3617" s="8">
        <f t="shared" si="270"/>
        <v>5022.7583999999997</v>
      </c>
      <c r="I3617" s="9">
        <f t="shared" si="271"/>
        <v>5357.6089600000005</v>
      </c>
    </row>
    <row r="3618" spans="1:9" x14ac:dyDescent="0.35">
      <c r="A3618" s="18" t="s">
        <v>2741</v>
      </c>
      <c r="B3618" s="18" t="s">
        <v>2286</v>
      </c>
      <c r="C3618" s="20">
        <v>45591</v>
      </c>
      <c r="D3618" s="11">
        <v>19.477300854278297</v>
      </c>
      <c r="E3618" s="27">
        <f t="shared" si="272"/>
        <v>21.682131310982601</v>
      </c>
      <c r="F3618" s="6">
        <f t="shared" si="268"/>
        <v>28.186770704277382</v>
      </c>
      <c r="G3618" s="7">
        <f t="shared" si="269"/>
        <v>30.354983835375641</v>
      </c>
      <c r="H3618" s="8">
        <f t="shared" si="270"/>
        <v>32.523196966473904</v>
      </c>
      <c r="I3618" s="9">
        <f t="shared" si="271"/>
        <v>34.691410097572167</v>
      </c>
    </row>
    <row r="3619" spans="1:9" x14ac:dyDescent="0.35">
      <c r="A3619" s="18" t="s">
        <v>2742</v>
      </c>
      <c r="B3619" s="18" t="s">
        <v>2287</v>
      </c>
      <c r="C3619" s="20">
        <v>45591</v>
      </c>
      <c r="D3619" s="11">
        <v>2058.8364874513868</v>
      </c>
      <c r="E3619" s="27">
        <f t="shared" si="272"/>
        <v>2291.8967778308838</v>
      </c>
      <c r="F3619" s="6">
        <f t="shared" si="268"/>
        <v>2979.4658111801491</v>
      </c>
      <c r="G3619" s="7">
        <f t="shared" si="269"/>
        <v>3208.6554889632371</v>
      </c>
      <c r="H3619" s="8">
        <f t="shared" si="270"/>
        <v>3437.845166746326</v>
      </c>
      <c r="I3619" s="9">
        <f t="shared" si="271"/>
        <v>3667.0348445294144</v>
      </c>
    </row>
    <row r="3620" spans="1:9" x14ac:dyDescent="0.35">
      <c r="A3620" s="18" t="s">
        <v>2743</v>
      </c>
      <c r="B3620" s="18" t="s">
        <v>2288</v>
      </c>
      <c r="C3620" s="20">
        <v>45591</v>
      </c>
      <c r="D3620" s="11">
        <v>2058.8364874513868</v>
      </c>
      <c r="E3620" s="27">
        <f t="shared" si="272"/>
        <v>2291.8967778308838</v>
      </c>
      <c r="F3620" s="6">
        <f t="shared" si="268"/>
        <v>2979.4658111801491</v>
      </c>
      <c r="G3620" s="7">
        <f t="shared" si="269"/>
        <v>3208.6554889632371</v>
      </c>
      <c r="H3620" s="8">
        <f t="shared" si="270"/>
        <v>3437.845166746326</v>
      </c>
      <c r="I3620" s="9">
        <f t="shared" si="271"/>
        <v>3667.0348445294144</v>
      </c>
    </row>
    <row r="3621" spans="1:9" x14ac:dyDescent="0.35">
      <c r="A3621" s="18" t="s">
        <v>2744</v>
      </c>
      <c r="B3621" s="18" t="s">
        <v>2289</v>
      </c>
      <c r="C3621" s="20">
        <v>45591</v>
      </c>
      <c r="D3621" s="11">
        <v>3298.7028148593754</v>
      </c>
      <c r="E3621" s="27">
        <f t="shared" si="272"/>
        <v>3672.1159735014567</v>
      </c>
      <c r="F3621" s="6">
        <f t="shared" si="268"/>
        <v>4773.7507655518939</v>
      </c>
      <c r="G3621" s="7">
        <f t="shared" si="269"/>
        <v>5140.9623629020389</v>
      </c>
      <c r="H3621" s="8">
        <f t="shared" si="270"/>
        <v>5508.1739602521848</v>
      </c>
      <c r="I3621" s="9">
        <f t="shared" si="271"/>
        <v>5875.3855576023307</v>
      </c>
    </row>
    <row r="3622" spans="1:9" x14ac:dyDescent="0.35">
      <c r="A3622" s="18" t="s">
        <v>2745</v>
      </c>
      <c r="B3622" s="18" t="s">
        <v>2290</v>
      </c>
      <c r="C3622" s="20">
        <v>45591</v>
      </c>
      <c r="D3622" s="11">
        <v>3298.7028148593754</v>
      </c>
      <c r="E3622" s="27">
        <f t="shared" si="272"/>
        <v>3672.1159735014567</v>
      </c>
      <c r="F3622" s="6">
        <f t="shared" si="268"/>
        <v>4773.7507655518939</v>
      </c>
      <c r="G3622" s="7">
        <f t="shared" si="269"/>
        <v>5140.9623629020389</v>
      </c>
      <c r="H3622" s="8">
        <f t="shared" si="270"/>
        <v>5508.1739602521848</v>
      </c>
      <c r="I3622" s="9">
        <f t="shared" si="271"/>
        <v>5875.3855576023307</v>
      </c>
    </row>
    <row r="3623" spans="1:9" x14ac:dyDescent="0.35">
      <c r="A3623" s="18" t="s">
        <v>2746</v>
      </c>
      <c r="B3623" s="18" t="s">
        <v>2291</v>
      </c>
      <c r="C3623" s="20">
        <v>45591</v>
      </c>
      <c r="D3623" s="11">
        <v>56.000008943834111</v>
      </c>
      <c r="E3623" s="27">
        <f t="shared" si="272"/>
        <v>62.339209956276136</v>
      </c>
      <c r="F3623" s="6">
        <f t="shared" si="268"/>
        <v>81.040972943158977</v>
      </c>
      <c r="G3623" s="7">
        <f t="shared" si="269"/>
        <v>87.27489393878659</v>
      </c>
      <c r="H3623" s="8">
        <f t="shared" si="270"/>
        <v>93.508814934414204</v>
      </c>
      <c r="I3623" s="9">
        <f t="shared" si="271"/>
        <v>99.742735930041817</v>
      </c>
    </row>
    <row r="3624" spans="1:9" x14ac:dyDescent="0.35">
      <c r="A3624" s="18" t="s">
        <v>2747</v>
      </c>
      <c r="B3624" s="18" t="s">
        <v>2292</v>
      </c>
      <c r="C3624" s="20">
        <v>45591</v>
      </c>
      <c r="D3624" s="11">
        <v>56.000008943834111</v>
      </c>
      <c r="E3624" s="27">
        <f t="shared" si="272"/>
        <v>62.339209956276136</v>
      </c>
      <c r="F3624" s="6">
        <f t="shared" si="268"/>
        <v>81.040972943158977</v>
      </c>
      <c r="G3624" s="7">
        <f t="shared" si="269"/>
        <v>87.27489393878659</v>
      </c>
      <c r="H3624" s="8">
        <f t="shared" si="270"/>
        <v>93.508814934414204</v>
      </c>
      <c r="I3624" s="9">
        <f t="shared" si="271"/>
        <v>99.742735930041817</v>
      </c>
    </row>
    <row r="3625" spans="1:9" x14ac:dyDescent="0.35">
      <c r="A3625" s="18" t="s">
        <v>2748</v>
      </c>
      <c r="B3625" s="18" t="s">
        <v>2293</v>
      </c>
      <c r="C3625" s="20">
        <v>45591</v>
      </c>
      <c r="D3625" s="11">
        <v>512.07117942339278</v>
      </c>
      <c r="E3625" s="27">
        <f t="shared" si="272"/>
        <v>570.03763693412077</v>
      </c>
      <c r="F3625" s="6">
        <f t="shared" si="268"/>
        <v>741.04892801435699</v>
      </c>
      <c r="G3625" s="7">
        <f t="shared" si="269"/>
        <v>798.05269170776899</v>
      </c>
      <c r="H3625" s="8">
        <f t="shared" si="270"/>
        <v>855.05645540118121</v>
      </c>
      <c r="I3625" s="9">
        <f t="shared" si="271"/>
        <v>912.06021909459332</v>
      </c>
    </row>
    <row r="3626" spans="1:9" x14ac:dyDescent="0.35">
      <c r="A3626" s="18" t="s">
        <v>2749</v>
      </c>
      <c r="B3626" s="18" t="s">
        <v>2294</v>
      </c>
      <c r="C3626" s="20">
        <v>45591</v>
      </c>
      <c r="D3626" s="11">
        <v>308.29589608424197</v>
      </c>
      <c r="E3626" s="27">
        <f t="shared" si="272"/>
        <v>343.19499152097814</v>
      </c>
      <c r="F3626" s="6">
        <f t="shared" si="268"/>
        <v>446.15348897727159</v>
      </c>
      <c r="G3626" s="7">
        <f t="shared" si="269"/>
        <v>480.47298812936936</v>
      </c>
      <c r="H3626" s="8">
        <f t="shared" si="270"/>
        <v>514.79248728146717</v>
      </c>
      <c r="I3626" s="9">
        <f t="shared" si="271"/>
        <v>549.11198643356499</v>
      </c>
    </row>
    <row r="3627" spans="1:9" ht="18" x14ac:dyDescent="0.4">
      <c r="A3627" s="18" t="s">
        <v>2750</v>
      </c>
      <c r="B3627" s="18" t="s">
        <v>5995</v>
      </c>
      <c r="C3627" s="20">
        <v>45591</v>
      </c>
      <c r="D3627" s="11">
        <v>600.6</v>
      </c>
      <c r="E3627" s="27">
        <f t="shared" si="272"/>
        <v>668.58792000000005</v>
      </c>
      <c r="F3627" s="6">
        <f t="shared" si="268"/>
        <v>869.16429600000015</v>
      </c>
      <c r="G3627" s="7">
        <f t="shared" si="269"/>
        <v>936.02308800000003</v>
      </c>
      <c r="H3627" s="8">
        <f t="shared" si="270"/>
        <v>1002.8818800000001</v>
      </c>
      <c r="I3627" s="9">
        <f t="shared" si="271"/>
        <v>1069.7406720000001</v>
      </c>
    </row>
    <row r="3628" spans="1:9" ht="18" x14ac:dyDescent="0.4">
      <c r="A3628" s="18" t="s">
        <v>2751</v>
      </c>
      <c r="B3628" s="18" t="s">
        <v>5996</v>
      </c>
      <c r="C3628" s="20">
        <v>45591</v>
      </c>
      <c r="D3628" s="11">
        <v>1854</v>
      </c>
      <c r="E3628" s="27">
        <f t="shared" si="272"/>
        <v>2063.8728000000001</v>
      </c>
      <c r="F3628" s="6">
        <f t="shared" si="268"/>
        <v>2683.0346400000003</v>
      </c>
      <c r="G3628" s="7">
        <f t="shared" si="269"/>
        <v>2889.4219199999998</v>
      </c>
      <c r="H3628" s="8">
        <f t="shared" si="270"/>
        <v>3095.8092000000001</v>
      </c>
      <c r="I3628" s="9">
        <f t="shared" si="271"/>
        <v>3302.1964800000005</v>
      </c>
    </row>
    <row r="3629" spans="1:9" ht="18" x14ac:dyDescent="0.4">
      <c r="A3629" s="18" t="s">
        <v>3204</v>
      </c>
      <c r="B3629" s="18" t="s">
        <v>5997</v>
      </c>
      <c r="C3629" s="20">
        <v>45591</v>
      </c>
      <c r="D3629" s="11">
        <v>1763</v>
      </c>
      <c r="E3629" s="27">
        <f t="shared" si="272"/>
        <v>1962.5716</v>
      </c>
      <c r="F3629" s="6">
        <f t="shared" si="268"/>
        <v>2551.3430800000001</v>
      </c>
      <c r="G3629" s="7">
        <f t="shared" si="269"/>
        <v>2747.6002399999998</v>
      </c>
      <c r="H3629" s="8">
        <f t="shared" si="270"/>
        <v>2943.8573999999999</v>
      </c>
      <c r="I3629" s="9">
        <f t="shared" si="271"/>
        <v>3140.11456</v>
      </c>
    </row>
    <row r="3630" spans="1:9" ht="18" x14ac:dyDescent="0.4">
      <c r="A3630" s="18" t="s">
        <v>521</v>
      </c>
      <c r="B3630" s="18" t="s">
        <v>5998</v>
      </c>
      <c r="C3630" s="20">
        <v>45591</v>
      </c>
      <c r="D3630" s="11">
        <v>3956</v>
      </c>
      <c r="E3630" s="27">
        <f t="shared" si="272"/>
        <v>4403.8192000000008</v>
      </c>
      <c r="F3630" s="6">
        <f t="shared" si="268"/>
        <v>5724.9649600000012</v>
      </c>
      <c r="G3630" s="7">
        <f t="shared" si="269"/>
        <v>6165.346880000001</v>
      </c>
      <c r="H3630" s="8">
        <f t="shared" si="270"/>
        <v>6605.7288000000008</v>
      </c>
      <c r="I3630" s="9">
        <f t="shared" si="271"/>
        <v>7046.1107200000015</v>
      </c>
    </row>
    <row r="3631" spans="1:9" x14ac:dyDescent="0.35">
      <c r="A3631" s="18" t="s">
        <v>2752</v>
      </c>
      <c r="B3631" s="18" t="s">
        <v>2295</v>
      </c>
      <c r="C3631" s="20">
        <v>45591</v>
      </c>
      <c r="D3631" s="11">
        <v>144.00697846679327</v>
      </c>
      <c r="E3631" s="27">
        <f t="shared" si="272"/>
        <v>160.30856842923427</v>
      </c>
      <c r="F3631" s="6">
        <f t="shared" si="268"/>
        <v>208.40113895800457</v>
      </c>
      <c r="G3631" s="7">
        <f t="shared" si="269"/>
        <v>224.43199580092795</v>
      </c>
      <c r="H3631" s="8">
        <f t="shared" si="270"/>
        <v>240.46285264385142</v>
      </c>
      <c r="I3631" s="9">
        <f t="shared" si="271"/>
        <v>256.49370948677483</v>
      </c>
    </row>
    <row r="3632" spans="1:9" x14ac:dyDescent="0.35">
      <c r="A3632" s="18" t="s">
        <v>2753</v>
      </c>
      <c r="B3632" s="18" t="s">
        <v>2296</v>
      </c>
      <c r="C3632" s="20">
        <v>45591</v>
      </c>
      <c r="D3632" s="11">
        <v>355.51722808989587</v>
      </c>
      <c r="E3632" s="27">
        <f t="shared" si="272"/>
        <v>395.76177830967208</v>
      </c>
      <c r="F3632" s="6">
        <f t="shared" si="268"/>
        <v>514.49031180257373</v>
      </c>
      <c r="G3632" s="7">
        <f t="shared" si="269"/>
        <v>554.06648963354087</v>
      </c>
      <c r="H3632" s="8">
        <f t="shared" si="270"/>
        <v>593.64266746450812</v>
      </c>
      <c r="I3632" s="9">
        <f t="shared" si="271"/>
        <v>633.21884529547538</v>
      </c>
    </row>
    <row r="3633" spans="1:9" x14ac:dyDescent="0.35">
      <c r="A3633" s="18" t="s">
        <v>2754</v>
      </c>
      <c r="B3633" s="18" t="s">
        <v>2011</v>
      </c>
      <c r="C3633" s="20">
        <v>45591</v>
      </c>
      <c r="D3633" s="11">
        <v>569.27758675154212</v>
      </c>
      <c r="E3633" s="27">
        <f t="shared" si="272"/>
        <v>633.71980957181665</v>
      </c>
      <c r="F3633" s="6">
        <f t="shared" si="268"/>
        <v>823.83575244336168</v>
      </c>
      <c r="G3633" s="7">
        <f t="shared" si="269"/>
        <v>887.20773340054325</v>
      </c>
      <c r="H3633" s="8">
        <f t="shared" si="270"/>
        <v>950.57971435772492</v>
      </c>
      <c r="I3633" s="9">
        <f t="shared" si="271"/>
        <v>1013.9516953149067</v>
      </c>
    </row>
    <row r="3634" spans="1:9" x14ac:dyDescent="0.35">
      <c r="A3634" s="18" t="s">
        <v>2755</v>
      </c>
      <c r="B3634" s="18" t="s">
        <v>320</v>
      </c>
      <c r="C3634" s="20">
        <v>45591</v>
      </c>
      <c r="D3634" s="11">
        <v>14.15</v>
      </c>
      <c r="E3634" s="27">
        <f t="shared" si="272"/>
        <v>15.751780000000002</v>
      </c>
      <c r="F3634" s="6">
        <f t="shared" si="268"/>
        <v>20.477314000000003</v>
      </c>
      <c r="G3634" s="7">
        <f t="shared" si="269"/>
        <v>22.052492000000001</v>
      </c>
      <c r="H3634" s="8">
        <f t="shared" si="270"/>
        <v>23.627670000000002</v>
      </c>
      <c r="I3634" s="9">
        <f t="shared" si="271"/>
        <v>25.202848000000003</v>
      </c>
    </row>
    <row r="3635" spans="1:9" x14ac:dyDescent="0.35">
      <c r="A3635" s="18" t="s">
        <v>4712</v>
      </c>
      <c r="B3635" s="18" t="s">
        <v>867</v>
      </c>
      <c r="C3635" s="20">
        <v>45591</v>
      </c>
      <c r="D3635" s="11">
        <v>480.83794094025927</v>
      </c>
      <c r="E3635" s="27">
        <f t="shared" si="272"/>
        <v>535.26879585469658</v>
      </c>
      <c r="F3635" s="6">
        <f t="shared" ref="F3635:F3703" si="273">E3635*1.3</f>
        <v>695.84943461110561</v>
      </c>
      <c r="G3635" s="7">
        <f t="shared" ref="G3635:G3703" si="274">E3635*1.4</f>
        <v>749.37631419657521</v>
      </c>
      <c r="H3635" s="8">
        <f t="shared" ref="H3635:H3703" si="275">E3635*1.5</f>
        <v>802.90319378204481</v>
      </c>
      <c r="I3635" s="9">
        <f t="shared" ref="I3635:I3703" si="276">E3635*1.6</f>
        <v>856.43007336751452</v>
      </c>
    </row>
    <row r="3636" spans="1:9" x14ac:dyDescent="0.35">
      <c r="A3636" s="18" t="s">
        <v>2756</v>
      </c>
      <c r="B3636" s="18" t="s">
        <v>868</v>
      </c>
      <c r="C3636" s="20">
        <v>45591</v>
      </c>
      <c r="D3636" s="11">
        <v>79.391162812499999</v>
      </c>
      <c r="E3636" s="27">
        <f t="shared" si="272"/>
        <v>88.378242442874992</v>
      </c>
      <c r="F3636" s="6">
        <f t="shared" si="273"/>
        <v>114.89171517573749</v>
      </c>
      <c r="G3636" s="7">
        <f t="shared" si="274"/>
        <v>123.72953942002498</v>
      </c>
      <c r="H3636" s="8">
        <f t="shared" si="275"/>
        <v>132.5673636643125</v>
      </c>
      <c r="I3636" s="9">
        <f t="shared" si="276"/>
        <v>141.4051879086</v>
      </c>
    </row>
    <row r="3637" spans="1:9" x14ac:dyDescent="0.35">
      <c r="A3637" s="18" t="s">
        <v>2757</v>
      </c>
      <c r="B3637" s="18" t="s">
        <v>869</v>
      </c>
      <c r="C3637" s="20">
        <v>45591</v>
      </c>
      <c r="D3637" s="11">
        <v>104.90975085937502</v>
      </c>
      <c r="E3637" s="27">
        <f t="shared" si="272"/>
        <v>116.78553465665627</v>
      </c>
      <c r="F3637" s="6">
        <f t="shared" si="273"/>
        <v>151.82119505365316</v>
      </c>
      <c r="G3637" s="7">
        <f t="shared" si="274"/>
        <v>163.49974851931876</v>
      </c>
      <c r="H3637" s="8">
        <f t="shared" si="275"/>
        <v>175.17830198498439</v>
      </c>
      <c r="I3637" s="9">
        <f t="shared" si="276"/>
        <v>186.85685545065004</v>
      </c>
    </row>
    <row r="3638" spans="1:9" x14ac:dyDescent="0.35">
      <c r="A3638" s="18" t="s">
        <v>2758</v>
      </c>
      <c r="B3638" s="18" t="s">
        <v>870</v>
      </c>
      <c r="C3638" s="20">
        <v>45591</v>
      </c>
      <c r="D3638" s="11">
        <v>395</v>
      </c>
      <c r="E3638" s="27">
        <f t="shared" si="272"/>
        <v>439.714</v>
      </c>
      <c r="F3638" s="6">
        <f t="shared" si="273"/>
        <v>571.62819999999999</v>
      </c>
      <c r="G3638" s="7">
        <f t="shared" si="274"/>
        <v>615.59960000000001</v>
      </c>
      <c r="H3638" s="8">
        <f t="shared" si="275"/>
        <v>659.57100000000003</v>
      </c>
      <c r="I3638" s="9">
        <f t="shared" si="276"/>
        <v>703.54240000000004</v>
      </c>
    </row>
    <row r="3639" spans="1:9" x14ac:dyDescent="0.35">
      <c r="A3639" s="18" t="s">
        <v>2759</v>
      </c>
      <c r="B3639" s="18" t="s">
        <v>871</v>
      </c>
      <c r="C3639" s="20">
        <v>45591</v>
      </c>
      <c r="D3639" s="11">
        <v>420</v>
      </c>
      <c r="E3639" s="27">
        <f t="shared" si="272"/>
        <v>467.54399999999998</v>
      </c>
      <c r="F3639" s="6">
        <f t="shared" si="273"/>
        <v>607.80719999999997</v>
      </c>
      <c r="G3639" s="7">
        <f t="shared" si="274"/>
        <v>654.56159999999988</v>
      </c>
      <c r="H3639" s="8">
        <f t="shared" si="275"/>
        <v>701.31600000000003</v>
      </c>
      <c r="I3639" s="9">
        <f t="shared" si="276"/>
        <v>748.07040000000006</v>
      </c>
    </row>
    <row r="3640" spans="1:9" x14ac:dyDescent="0.35">
      <c r="A3640" s="18" t="s">
        <v>2760</v>
      </c>
      <c r="B3640" s="18" t="s">
        <v>872</v>
      </c>
      <c r="C3640" s="20">
        <v>45591</v>
      </c>
      <c r="D3640" s="11">
        <v>450</v>
      </c>
      <c r="E3640" s="27">
        <f t="shared" si="272"/>
        <v>500.94</v>
      </c>
      <c r="F3640" s="6">
        <f t="shared" si="273"/>
        <v>651.22199999999998</v>
      </c>
      <c r="G3640" s="7">
        <f t="shared" si="274"/>
        <v>701.31599999999992</v>
      </c>
      <c r="H3640" s="8">
        <f t="shared" si="275"/>
        <v>751.41</v>
      </c>
      <c r="I3640" s="9">
        <f t="shared" si="276"/>
        <v>801.50400000000002</v>
      </c>
    </row>
    <row r="3641" spans="1:9" x14ac:dyDescent="0.35">
      <c r="A3641" s="18" t="s">
        <v>2761</v>
      </c>
      <c r="B3641" s="18" t="s">
        <v>873</v>
      </c>
      <c r="C3641" s="20">
        <v>45591</v>
      </c>
      <c r="D3641" s="11">
        <v>120.75</v>
      </c>
      <c r="E3641" s="27">
        <f t="shared" si="272"/>
        <v>134.41890000000001</v>
      </c>
      <c r="F3641" s="6">
        <f t="shared" si="273"/>
        <v>174.74457000000001</v>
      </c>
      <c r="G3641" s="7">
        <f t="shared" si="274"/>
        <v>188.18646000000001</v>
      </c>
      <c r="H3641" s="8">
        <f t="shared" si="275"/>
        <v>201.62835000000001</v>
      </c>
      <c r="I3641" s="9">
        <f t="shared" si="276"/>
        <v>215.07024000000001</v>
      </c>
    </row>
    <row r="3642" spans="1:9" x14ac:dyDescent="0.35">
      <c r="A3642" s="18" t="s">
        <v>2762</v>
      </c>
      <c r="B3642" s="18" t="s">
        <v>874</v>
      </c>
      <c r="C3642" s="20">
        <v>45591</v>
      </c>
      <c r="D3642" s="11">
        <v>120.75</v>
      </c>
      <c r="E3642" s="27">
        <f t="shared" si="272"/>
        <v>134.41890000000001</v>
      </c>
      <c r="F3642" s="6">
        <f t="shared" si="273"/>
        <v>174.74457000000001</v>
      </c>
      <c r="G3642" s="7">
        <f t="shared" si="274"/>
        <v>188.18646000000001</v>
      </c>
      <c r="H3642" s="8">
        <f t="shared" si="275"/>
        <v>201.62835000000001</v>
      </c>
      <c r="I3642" s="9">
        <f t="shared" si="276"/>
        <v>215.07024000000001</v>
      </c>
    </row>
    <row r="3643" spans="1:9" x14ac:dyDescent="0.35">
      <c r="A3643" s="18" t="s">
        <v>2763</v>
      </c>
      <c r="B3643" s="18" t="s">
        <v>875</v>
      </c>
      <c r="C3643" s="20">
        <v>45591</v>
      </c>
      <c r="D3643" s="11">
        <v>227.01992978163551</v>
      </c>
      <c r="E3643" s="27">
        <f t="shared" si="272"/>
        <v>252.71858583291666</v>
      </c>
      <c r="F3643" s="6">
        <f t="shared" si="273"/>
        <v>328.53416158279168</v>
      </c>
      <c r="G3643" s="7">
        <f t="shared" si="274"/>
        <v>353.80602016608333</v>
      </c>
      <c r="H3643" s="8">
        <f t="shared" si="275"/>
        <v>379.07787874937497</v>
      </c>
      <c r="I3643" s="9">
        <f t="shared" si="276"/>
        <v>404.34973733266668</v>
      </c>
    </row>
    <row r="3644" spans="1:9" x14ac:dyDescent="0.35">
      <c r="A3644" s="18" t="s">
        <v>2764</v>
      </c>
      <c r="B3644" s="18" t="s">
        <v>876</v>
      </c>
      <c r="C3644" s="20">
        <v>45591</v>
      </c>
      <c r="D3644" s="11">
        <v>227.01992978163551</v>
      </c>
      <c r="E3644" s="27">
        <f t="shared" si="272"/>
        <v>252.71858583291666</v>
      </c>
      <c r="F3644" s="6">
        <f t="shared" si="273"/>
        <v>328.53416158279168</v>
      </c>
      <c r="G3644" s="7">
        <f t="shared" si="274"/>
        <v>353.80602016608333</v>
      </c>
      <c r="H3644" s="8">
        <f t="shared" si="275"/>
        <v>379.07787874937497</v>
      </c>
      <c r="I3644" s="9">
        <f t="shared" si="276"/>
        <v>404.34973733266668</v>
      </c>
    </row>
    <row r="3645" spans="1:9" ht="18" x14ac:dyDescent="0.4">
      <c r="A3645" s="18" t="s">
        <v>2765</v>
      </c>
      <c r="B3645" s="18" t="s">
        <v>5999</v>
      </c>
      <c r="C3645" s="20">
        <v>45591</v>
      </c>
      <c r="D3645" s="11">
        <v>227.01992978163551</v>
      </c>
      <c r="E3645" s="27">
        <f t="shared" si="272"/>
        <v>252.71858583291666</v>
      </c>
      <c r="F3645" s="6">
        <f t="shared" si="273"/>
        <v>328.53416158279168</v>
      </c>
      <c r="G3645" s="7">
        <f t="shared" si="274"/>
        <v>353.80602016608333</v>
      </c>
      <c r="H3645" s="8">
        <f t="shared" si="275"/>
        <v>379.07787874937497</v>
      </c>
      <c r="I3645" s="9">
        <f t="shared" si="276"/>
        <v>404.34973733266668</v>
      </c>
    </row>
    <row r="3646" spans="1:9" x14ac:dyDescent="0.35">
      <c r="A3646" s="18" t="s">
        <v>2766</v>
      </c>
      <c r="B3646" s="18" t="s">
        <v>877</v>
      </c>
      <c r="C3646" s="20">
        <v>45591</v>
      </c>
      <c r="D3646" s="11">
        <v>591.36000000000013</v>
      </c>
      <c r="E3646" s="27">
        <f t="shared" si="272"/>
        <v>658.30195200000014</v>
      </c>
      <c r="F3646" s="6">
        <f t="shared" si="273"/>
        <v>855.79253760000017</v>
      </c>
      <c r="G3646" s="7">
        <f t="shared" si="274"/>
        <v>921.62273280000011</v>
      </c>
      <c r="H3646" s="8">
        <f t="shared" si="275"/>
        <v>987.45292800000016</v>
      </c>
      <c r="I3646" s="9">
        <f t="shared" si="276"/>
        <v>1053.2831232000003</v>
      </c>
    </row>
    <row r="3647" spans="1:9" x14ac:dyDescent="0.35">
      <c r="A3647" s="18" t="s">
        <v>2767</v>
      </c>
      <c r="B3647" s="18" t="s">
        <v>878</v>
      </c>
      <c r="C3647" s="20">
        <v>45591</v>
      </c>
      <c r="D3647" s="11">
        <v>1617.9817500000001</v>
      </c>
      <c r="E3647" s="27">
        <f t="shared" si="272"/>
        <v>1801.1372841000002</v>
      </c>
      <c r="F3647" s="6">
        <f t="shared" si="273"/>
        <v>2341.4784693300003</v>
      </c>
      <c r="G3647" s="7">
        <f t="shared" si="274"/>
        <v>2521.5921977400003</v>
      </c>
      <c r="H3647" s="8">
        <f t="shared" si="275"/>
        <v>2701.7059261500003</v>
      </c>
      <c r="I3647" s="9">
        <f t="shared" si="276"/>
        <v>2881.8196545600003</v>
      </c>
    </row>
    <row r="3648" spans="1:9" x14ac:dyDescent="0.35">
      <c r="A3648" s="18" t="s">
        <v>2768</v>
      </c>
      <c r="B3648" s="18" t="s">
        <v>879</v>
      </c>
      <c r="C3648" s="20">
        <v>45591</v>
      </c>
      <c r="D3648" s="11">
        <v>1697.8500000000004</v>
      </c>
      <c r="E3648" s="27">
        <f t="shared" si="272"/>
        <v>1890.0466200000003</v>
      </c>
      <c r="F3648" s="6">
        <f t="shared" si="273"/>
        <v>2457.0606060000005</v>
      </c>
      <c r="G3648" s="7">
        <f t="shared" si="274"/>
        <v>2646.0652680000003</v>
      </c>
      <c r="H3648" s="8">
        <f t="shared" si="275"/>
        <v>2835.0699300000006</v>
      </c>
      <c r="I3648" s="9">
        <f t="shared" si="276"/>
        <v>3024.0745920000008</v>
      </c>
    </row>
    <row r="3649" spans="1:9" x14ac:dyDescent="0.35">
      <c r="A3649" s="18" t="s">
        <v>2769</v>
      </c>
      <c r="B3649" s="18" t="s">
        <v>880</v>
      </c>
      <c r="C3649" s="20">
        <v>45591</v>
      </c>
      <c r="D3649" s="11">
        <v>4870</v>
      </c>
      <c r="E3649" s="27">
        <f t="shared" si="272"/>
        <v>5421.2839999999997</v>
      </c>
      <c r="F3649" s="6">
        <f t="shared" si="273"/>
        <v>7047.6691999999994</v>
      </c>
      <c r="G3649" s="7">
        <f t="shared" si="274"/>
        <v>7589.797599999999</v>
      </c>
      <c r="H3649" s="8">
        <f t="shared" si="275"/>
        <v>8131.9259999999995</v>
      </c>
      <c r="I3649" s="9">
        <f t="shared" si="276"/>
        <v>8674.0543999999991</v>
      </c>
    </row>
    <row r="3650" spans="1:9" x14ac:dyDescent="0.35">
      <c r="A3650" s="18" t="s">
        <v>2770</v>
      </c>
      <c r="B3650" s="18" t="s">
        <v>806</v>
      </c>
      <c r="C3650" s="20">
        <v>45591</v>
      </c>
      <c r="D3650" s="11">
        <v>1115.7300000000002</v>
      </c>
      <c r="E3650" s="27">
        <f t="shared" si="272"/>
        <v>1242.0306360000004</v>
      </c>
      <c r="F3650" s="6">
        <f t="shared" si="273"/>
        <v>1614.6398268000005</v>
      </c>
      <c r="G3650" s="7">
        <f t="shared" si="274"/>
        <v>1738.8428904000004</v>
      </c>
      <c r="H3650" s="8">
        <f t="shared" si="275"/>
        <v>1863.0459540000006</v>
      </c>
      <c r="I3650" s="9">
        <f t="shared" si="276"/>
        <v>1987.2490176000008</v>
      </c>
    </row>
    <row r="3651" spans="1:9" x14ac:dyDescent="0.35">
      <c r="A3651" s="18" t="s">
        <v>2771</v>
      </c>
      <c r="B3651" s="18" t="s">
        <v>807</v>
      </c>
      <c r="C3651" s="20">
        <v>45591</v>
      </c>
      <c r="D3651" s="11">
        <v>1115.7300000000002</v>
      </c>
      <c r="E3651" s="27">
        <f t="shared" si="272"/>
        <v>1242.0306360000004</v>
      </c>
      <c r="F3651" s="6">
        <f t="shared" si="273"/>
        <v>1614.6398268000005</v>
      </c>
      <c r="G3651" s="7">
        <f t="shared" si="274"/>
        <v>1738.8428904000004</v>
      </c>
      <c r="H3651" s="8">
        <f t="shared" si="275"/>
        <v>1863.0459540000006</v>
      </c>
      <c r="I3651" s="9">
        <f t="shared" si="276"/>
        <v>1987.2490176000008</v>
      </c>
    </row>
    <row r="3652" spans="1:9" x14ac:dyDescent="0.35">
      <c r="A3652" s="18" t="s">
        <v>2772</v>
      </c>
      <c r="B3652" s="18" t="s">
        <v>808</v>
      </c>
      <c r="C3652" s="20">
        <v>45591</v>
      </c>
      <c r="D3652" s="11">
        <v>1115.7300000000002</v>
      </c>
      <c r="E3652" s="27">
        <f t="shared" si="272"/>
        <v>1242.0306360000004</v>
      </c>
      <c r="F3652" s="6">
        <f t="shared" si="273"/>
        <v>1614.6398268000005</v>
      </c>
      <c r="G3652" s="7">
        <f t="shared" si="274"/>
        <v>1738.8428904000004</v>
      </c>
      <c r="H3652" s="8">
        <f t="shared" si="275"/>
        <v>1863.0459540000006</v>
      </c>
      <c r="I3652" s="9">
        <f t="shared" si="276"/>
        <v>1987.2490176000008</v>
      </c>
    </row>
    <row r="3653" spans="1:9" x14ac:dyDescent="0.35">
      <c r="A3653" s="18" t="s">
        <v>2773</v>
      </c>
      <c r="B3653" s="18" t="s">
        <v>809</v>
      </c>
      <c r="C3653" s="20">
        <v>45591</v>
      </c>
      <c r="D3653" s="11">
        <v>1115.7300000000002</v>
      </c>
      <c r="E3653" s="27">
        <f t="shared" si="272"/>
        <v>1242.0306360000004</v>
      </c>
      <c r="F3653" s="6">
        <f t="shared" si="273"/>
        <v>1614.6398268000005</v>
      </c>
      <c r="G3653" s="7">
        <f t="shared" si="274"/>
        <v>1738.8428904000004</v>
      </c>
      <c r="H3653" s="8">
        <f t="shared" si="275"/>
        <v>1863.0459540000006</v>
      </c>
      <c r="I3653" s="9">
        <f t="shared" si="276"/>
        <v>1987.2490176000008</v>
      </c>
    </row>
    <row r="3654" spans="1:9" x14ac:dyDescent="0.35">
      <c r="A3654" s="18" t="s">
        <v>1092</v>
      </c>
      <c r="B3654" s="18" t="s">
        <v>810</v>
      </c>
      <c r="C3654" s="20">
        <v>45591</v>
      </c>
      <c r="D3654" s="11">
        <v>1115.7300000000002</v>
      </c>
      <c r="E3654" s="27">
        <f t="shared" si="272"/>
        <v>1242.0306360000004</v>
      </c>
      <c r="F3654" s="6">
        <f t="shared" si="273"/>
        <v>1614.6398268000005</v>
      </c>
      <c r="G3654" s="7">
        <f t="shared" si="274"/>
        <v>1738.8428904000004</v>
      </c>
      <c r="H3654" s="8">
        <f t="shared" si="275"/>
        <v>1863.0459540000006</v>
      </c>
      <c r="I3654" s="9">
        <f t="shared" si="276"/>
        <v>1987.2490176000008</v>
      </c>
    </row>
    <row r="3655" spans="1:9" x14ac:dyDescent="0.35">
      <c r="A3655" s="18" t="s">
        <v>2780</v>
      </c>
      <c r="B3655" s="18" t="s">
        <v>811</v>
      </c>
      <c r="C3655" s="20">
        <v>45591</v>
      </c>
      <c r="D3655" s="11">
        <v>1115.7300000000002</v>
      </c>
      <c r="E3655" s="27">
        <f t="shared" si="272"/>
        <v>1242.0306360000004</v>
      </c>
      <c r="F3655" s="6">
        <f t="shared" si="273"/>
        <v>1614.6398268000005</v>
      </c>
      <c r="G3655" s="7">
        <f t="shared" si="274"/>
        <v>1738.8428904000004</v>
      </c>
      <c r="H3655" s="8">
        <f t="shared" si="275"/>
        <v>1863.0459540000006</v>
      </c>
      <c r="I3655" s="9">
        <f t="shared" si="276"/>
        <v>1987.2490176000008</v>
      </c>
    </row>
    <row r="3656" spans="1:9" x14ac:dyDescent="0.35">
      <c r="A3656" s="18" t="s">
        <v>2781</v>
      </c>
      <c r="B3656" s="18" t="s">
        <v>812</v>
      </c>
      <c r="C3656" s="20">
        <v>45591</v>
      </c>
      <c r="D3656" s="11">
        <v>1115.7300000000002</v>
      </c>
      <c r="E3656" s="27">
        <f t="shared" si="272"/>
        <v>1242.0306360000004</v>
      </c>
      <c r="F3656" s="6">
        <f t="shared" si="273"/>
        <v>1614.6398268000005</v>
      </c>
      <c r="G3656" s="7">
        <f t="shared" si="274"/>
        <v>1738.8428904000004</v>
      </c>
      <c r="H3656" s="8">
        <f t="shared" si="275"/>
        <v>1863.0459540000006</v>
      </c>
      <c r="I3656" s="9">
        <f t="shared" si="276"/>
        <v>1987.2490176000008</v>
      </c>
    </row>
    <row r="3657" spans="1:9" x14ac:dyDescent="0.35">
      <c r="A3657" s="18" t="s">
        <v>2782</v>
      </c>
      <c r="B3657" s="18" t="s">
        <v>813</v>
      </c>
      <c r="C3657" s="20">
        <v>45591</v>
      </c>
      <c r="D3657" s="11">
        <v>1115.7300000000002</v>
      </c>
      <c r="E3657" s="27">
        <f t="shared" si="272"/>
        <v>1242.0306360000004</v>
      </c>
      <c r="F3657" s="6">
        <f t="shared" si="273"/>
        <v>1614.6398268000005</v>
      </c>
      <c r="G3657" s="7">
        <f t="shared" si="274"/>
        <v>1738.8428904000004</v>
      </c>
      <c r="H3657" s="8">
        <f t="shared" si="275"/>
        <v>1863.0459540000006</v>
      </c>
      <c r="I3657" s="9">
        <f t="shared" si="276"/>
        <v>1987.2490176000008</v>
      </c>
    </row>
    <row r="3658" spans="1:9" x14ac:dyDescent="0.35">
      <c r="A3658" s="18" t="s">
        <v>2783</v>
      </c>
      <c r="B3658" s="18" t="s">
        <v>881</v>
      </c>
      <c r="C3658" s="20">
        <v>45591</v>
      </c>
      <c r="D3658" s="11">
        <v>4870</v>
      </c>
      <c r="E3658" s="27">
        <f t="shared" si="272"/>
        <v>5421.2839999999997</v>
      </c>
      <c r="F3658" s="6">
        <f t="shared" si="273"/>
        <v>7047.6691999999994</v>
      </c>
      <c r="G3658" s="7">
        <f t="shared" si="274"/>
        <v>7589.797599999999</v>
      </c>
      <c r="H3658" s="8">
        <f t="shared" si="275"/>
        <v>8131.9259999999995</v>
      </c>
      <c r="I3658" s="9">
        <f t="shared" si="276"/>
        <v>8674.0543999999991</v>
      </c>
    </row>
    <row r="3659" spans="1:9" x14ac:dyDescent="0.35">
      <c r="A3659" s="18" t="s">
        <v>2784</v>
      </c>
      <c r="B3659" s="18" t="s">
        <v>882</v>
      </c>
      <c r="C3659" s="20">
        <v>45591</v>
      </c>
      <c r="D3659" s="11">
        <v>3956.4</v>
      </c>
      <c r="E3659" s="27">
        <f t="shared" si="272"/>
        <v>4404.2644799999998</v>
      </c>
      <c r="F3659" s="6">
        <f t="shared" si="273"/>
        <v>5725.5438240000003</v>
      </c>
      <c r="G3659" s="7">
        <f t="shared" si="274"/>
        <v>6165.9702719999996</v>
      </c>
      <c r="H3659" s="8">
        <f t="shared" si="275"/>
        <v>6606.3967199999997</v>
      </c>
      <c r="I3659" s="9">
        <f t="shared" si="276"/>
        <v>7046.8231679999999</v>
      </c>
    </row>
    <row r="3660" spans="1:9" x14ac:dyDescent="0.35">
      <c r="A3660" s="18" t="s">
        <v>661</v>
      </c>
      <c r="B3660" s="18" t="s">
        <v>883</v>
      </c>
      <c r="C3660" s="20">
        <v>45591</v>
      </c>
      <c r="D3660" s="11">
        <v>3956.4</v>
      </c>
      <c r="E3660" s="27">
        <f t="shared" si="272"/>
        <v>4404.2644799999998</v>
      </c>
      <c r="F3660" s="6">
        <f t="shared" si="273"/>
        <v>5725.5438240000003</v>
      </c>
      <c r="G3660" s="7">
        <f t="shared" si="274"/>
        <v>6165.9702719999996</v>
      </c>
      <c r="H3660" s="8">
        <f t="shared" si="275"/>
        <v>6606.3967199999997</v>
      </c>
      <c r="I3660" s="9">
        <f t="shared" si="276"/>
        <v>7046.8231679999999</v>
      </c>
    </row>
    <row r="3661" spans="1:9" x14ac:dyDescent="0.35">
      <c r="A3661" s="18" t="s">
        <v>662</v>
      </c>
      <c r="B3661" s="18" t="s">
        <v>884</v>
      </c>
      <c r="C3661" s="20">
        <v>45591</v>
      </c>
      <c r="D3661" s="11">
        <v>3956.4</v>
      </c>
      <c r="E3661" s="27">
        <f t="shared" si="272"/>
        <v>4404.2644799999998</v>
      </c>
      <c r="F3661" s="6">
        <f t="shared" si="273"/>
        <v>5725.5438240000003</v>
      </c>
      <c r="G3661" s="7">
        <f t="shared" si="274"/>
        <v>6165.9702719999996</v>
      </c>
      <c r="H3661" s="8">
        <f t="shared" si="275"/>
        <v>6606.3967199999997</v>
      </c>
      <c r="I3661" s="9">
        <f t="shared" si="276"/>
        <v>7046.8231679999999</v>
      </c>
    </row>
    <row r="3662" spans="1:9" x14ac:dyDescent="0.35">
      <c r="A3662" s="18" t="s">
        <v>663</v>
      </c>
      <c r="B3662" s="18" t="s">
        <v>885</v>
      </c>
      <c r="C3662" s="20">
        <v>45591</v>
      </c>
      <c r="D3662" s="11">
        <v>3956.4</v>
      </c>
      <c r="E3662" s="27">
        <f t="shared" si="272"/>
        <v>4404.2644799999998</v>
      </c>
      <c r="F3662" s="6">
        <f t="shared" si="273"/>
        <v>5725.5438240000003</v>
      </c>
      <c r="G3662" s="7">
        <f t="shared" si="274"/>
        <v>6165.9702719999996</v>
      </c>
      <c r="H3662" s="8">
        <f t="shared" si="275"/>
        <v>6606.3967199999997</v>
      </c>
      <c r="I3662" s="9">
        <f t="shared" si="276"/>
        <v>7046.8231679999999</v>
      </c>
    </row>
    <row r="3663" spans="1:9" x14ac:dyDescent="0.35">
      <c r="A3663" s="18" t="s">
        <v>33</v>
      </c>
      <c r="B3663" s="18" t="s">
        <v>886</v>
      </c>
      <c r="C3663" s="20">
        <v>45591</v>
      </c>
      <c r="D3663" s="11">
        <v>3956.4</v>
      </c>
      <c r="E3663" s="27">
        <f t="shared" si="272"/>
        <v>4404.2644799999998</v>
      </c>
      <c r="F3663" s="6">
        <f t="shared" si="273"/>
        <v>5725.5438240000003</v>
      </c>
      <c r="G3663" s="7">
        <f t="shared" si="274"/>
        <v>6165.9702719999996</v>
      </c>
      <c r="H3663" s="8">
        <f t="shared" si="275"/>
        <v>6606.3967199999997</v>
      </c>
      <c r="I3663" s="9">
        <f t="shared" si="276"/>
        <v>7046.8231679999999</v>
      </c>
    </row>
    <row r="3664" spans="1:9" x14ac:dyDescent="0.35">
      <c r="A3664" s="18" t="s">
        <v>895</v>
      </c>
      <c r="B3664" s="18" t="s">
        <v>887</v>
      </c>
      <c r="C3664" s="20">
        <v>45591</v>
      </c>
      <c r="D3664" s="11">
        <v>3956.4</v>
      </c>
      <c r="E3664" s="27">
        <f t="shared" si="272"/>
        <v>4404.2644799999998</v>
      </c>
      <c r="F3664" s="6">
        <f t="shared" si="273"/>
        <v>5725.5438240000003</v>
      </c>
      <c r="G3664" s="7">
        <f t="shared" si="274"/>
        <v>6165.9702719999996</v>
      </c>
      <c r="H3664" s="8">
        <f t="shared" si="275"/>
        <v>6606.3967199999997</v>
      </c>
      <c r="I3664" s="9">
        <f t="shared" si="276"/>
        <v>7046.8231679999999</v>
      </c>
    </row>
    <row r="3665" spans="1:9" x14ac:dyDescent="0.35">
      <c r="A3665" s="18" t="s">
        <v>894</v>
      </c>
      <c r="B3665" s="18" t="s">
        <v>888</v>
      </c>
      <c r="C3665" s="20">
        <v>45591</v>
      </c>
      <c r="D3665" s="11">
        <v>3956.4</v>
      </c>
      <c r="E3665" s="27">
        <f t="shared" si="272"/>
        <v>4404.2644799999998</v>
      </c>
      <c r="F3665" s="6">
        <f t="shared" si="273"/>
        <v>5725.5438240000003</v>
      </c>
      <c r="G3665" s="7">
        <f t="shared" si="274"/>
        <v>6165.9702719999996</v>
      </c>
      <c r="H3665" s="8">
        <f t="shared" si="275"/>
        <v>6606.3967199999997</v>
      </c>
      <c r="I3665" s="9">
        <f t="shared" si="276"/>
        <v>7046.8231679999999</v>
      </c>
    </row>
    <row r="3666" spans="1:9" x14ac:dyDescent="0.35">
      <c r="A3666" s="18" t="s">
        <v>896</v>
      </c>
      <c r="B3666" s="18" t="s">
        <v>889</v>
      </c>
      <c r="C3666" s="20">
        <v>45591</v>
      </c>
      <c r="D3666" s="11">
        <v>3956.4</v>
      </c>
      <c r="E3666" s="27">
        <f t="shared" si="272"/>
        <v>4404.2644799999998</v>
      </c>
      <c r="F3666" s="6">
        <f t="shared" si="273"/>
        <v>5725.5438240000003</v>
      </c>
      <c r="G3666" s="7">
        <f t="shared" si="274"/>
        <v>6165.9702719999996</v>
      </c>
      <c r="H3666" s="8">
        <f t="shared" si="275"/>
        <v>6606.3967199999997</v>
      </c>
      <c r="I3666" s="9">
        <f t="shared" si="276"/>
        <v>7046.8231679999999</v>
      </c>
    </row>
    <row r="3667" spans="1:9" x14ac:dyDescent="0.35">
      <c r="A3667" s="18" t="s">
        <v>4866</v>
      </c>
      <c r="B3667" s="18" t="s">
        <v>4867</v>
      </c>
      <c r="C3667" s="20">
        <v>45591</v>
      </c>
      <c r="D3667" s="11">
        <v>2194.5</v>
      </c>
      <c r="E3667" s="27">
        <f t="shared" ref="E3667:E3729" si="277">D3667*1.21*0.92</f>
        <v>2442.9173999999998</v>
      </c>
      <c r="F3667" s="6">
        <f t="shared" si="273"/>
        <v>3175.7926199999997</v>
      </c>
      <c r="G3667" s="7">
        <f t="shared" si="274"/>
        <v>3420.0843599999994</v>
      </c>
      <c r="H3667" s="8">
        <f t="shared" si="275"/>
        <v>3664.3760999999995</v>
      </c>
      <c r="I3667" s="9">
        <f t="shared" si="276"/>
        <v>3908.6678400000001</v>
      </c>
    </row>
    <row r="3668" spans="1:9" ht="18" x14ac:dyDescent="0.4">
      <c r="A3668" s="18" t="s">
        <v>6423</v>
      </c>
      <c r="B3668" s="19" t="s">
        <v>5726</v>
      </c>
      <c r="D3668" s="11">
        <v>0</v>
      </c>
      <c r="E3668" s="27">
        <f t="shared" si="277"/>
        <v>0</v>
      </c>
      <c r="F3668" s="6">
        <f t="shared" si="273"/>
        <v>0</v>
      </c>
      <c r="G3668" s="7">
        <f t="shared" si="274"/>
        <v>0</v>
      </c>
      <c r="H3668" s="8">
        <f t="shared" si="275"/>
        <v>0</v>
      </c>
      <c r="I3668" s="9">
        <f t="shared" si="276"/>
        <v>0</v>
      </c>
    </row>
    <row r="3669" spans="1:9" x14ac:dyDescent="0.35">
      <c r="A3669" s="18" t="s">
        <v>5727</v>
      </c>
      <c r="B3669" s="18" t="s">
        <v>5728</v>
      </c>
      <c r="C3669" s="20">
        <v>45535</v>
      </c>
      <c r="D3669" s="11">
        <v>17047.8</v>
      </c>
      <c r="E3669" s="27">
        <f t="shared" si="277"/>
        <v>18977.610960000002</v>
      </c>
      <c r="F3669" s="6">
        <f t="shared" si="273"/>
        <v>24670.894248000004</v>
      </c>
      <c r="G3669" s="7">
        <f t="shared" si="274"/>
        <v>26568.655344000003</v>
      </c>
      <c r="H3669" s="8">
        <f t="shared" si="275"/>
        <v>28466.416440000001</v>
      </c>
      <c r="I3669" s="9">
        <f t="shared" si="276"/>
        <v>30364.177536000003</v>
      </c>
    </row>
    <row r="3670" spans="1:9" ht="15.75" customHeight="1" x14ac:dyDescent="0.4">
      <c r="A3670" s="21"/>
      <c r="B3670" s="19" t="s">
        <v>2587</v>
      </c>
      <c r="D3670" s="11">
        <v>0</v>
      </c>
      <c r="E3670" s="27">
        <f t="shared" si="277"/>
        <v>0</v>
      </c>
      <c r="F3670" s="6">
        <f t="shared" si="273"/>
        <v>0</v>
      </c>
      <c r="G3670" s="7">
        <f t="shared" si="274"/>
        <v>0</v>
      </c>
      <c r="H3670" s="8">
        <f t="shared" si="275"/>
        <v>0</v>
      </c>
      <c r="I3670" s="9">
        <f t="shared" si="276"/>
        <v>0</v>
      </c>
    </row>
    <row r="3671" spans="1:9" ht="18" x14ac:dyDescent="0.4">
      <c r="A3671" s="18" t="s">
        <v>229</v>
      </c>
      <c r="B3671" s="18" t="s">
        <v>6000</v>
      </c>
      <c r="C3671" s="20">
        <v>45649</v>
      </c>
      <c r="D3671" s="11">
        <v>252.61600000000001</v>
      </c>
      <c r="E3671" s="27">
        <f t="shared" si="277"/>
        <v>281.21213120000004</v>
      </c>
      <c r="F3671" s="6">
        <f t="shared" si="273"/>
        <v>365.57577056000008</v>
      </c>
      <c r="G3671" s="7">
        <f t="shared" si="274"/>
        <v>393.69698368000002</v>
      </c>
      <c r="H3671" s="8">
        <f t="shared" si="275"/>
        <v>421.81819680000007</v>
      </c>
      <c r="I3671" s="9">
        <f t="shared" si="276"/>
        <v>449.93940992000012</v>
      </c>
    </row>
    <row r="3672" spans="1:9" ht="18" x14ac:dyDescent="0.4">
      <c r="A3672" s="18" t="s">
        <v>1952</v>
      </c>
      <c r="B3672" s="18" t="s">
        <v>6001</v>
      </c>
      <c r="C3672" s="20">
        <v>45649</v>
      </c>
      <c r="D3672" s="11">
        <v>87.268999999999991</v>
      </c>
      <c r="E3672" s="27">
        <f t="shared" si="277"/>
        <v>97.147850799999986</v>
      </c>
      <c r="F3672" s="6">
        <f t="shared" si="273"/>
        <v>126.29220603999998</v>
      </c>
      <c r="G3672" s="7">
        <f t="shared" si="274"/>
        <v>136.00699111999998</v>
      </c>
      <c r="H3672" s="8">
        <f t="shared" si="275"/>
        <v>145.72177619999997</v>
      </c>
      <c r="I3672" s="9">
        <f t="shared" si="276"/>
        <v>155.43656127999998</v>
      </c>
    </row>
    <row r="3673" spans="1:9" ht="18" x14ac:dyDescent="0.4">
      <c r="A3673" s="18" t="s">
        <v>1953</v>
      </c>
      <c r="B3673" s="18" t="s">
        <v>6002</v>
      </c>
      <c r="C3673" s="20">
        <v>45649</v>
      </c>
      <c r="D3673" s="11">
        <v>185.10367896707584</v>
      </c>
      <c r="E3673" s="27">
        <f t="shared" si="277"/>
        <v>206.05741542614882</v>
      </c>
      <c r="F3673" s="6">
        <f t="shared" si="273"/>
        <v>267.87464005399346</v>
      </c>
      <c r="G3673" s="7">
        <f t="shared" si="274"/>
        <v>288.48038159660831</v>
      </c>
      <c r="H3673" s="8">
        <f t="shared" si="275"/>
        <v>309.08612313922322</v>
      </c>
      <c r="I3673" s="9">
        <f t="shared" si="276"/>
        <v>329.69186468183813</v>
      </c>
    </row>
    <row r="3674" spans="1:9" ht="18" x14ac:dyDescent="0.4">
      <c r="A3674" s="18" t="s">
        <v>1954</v>
      </c>
      <c r="B3674" s="18" t="s">
        <v>6003</v>
      </c>
      <c r="C3674" s="20">
        <v>45649</v>
      </c>
      <c r="D3674" s="11">
        <v>267.5673000000001</v>
      </c>
      <c r="E3674" s="27">
        <f t="shared" si="277"/>
        <v>297.85591836000015</v>
      </c>
      <c r="F3674" s="6">
        <f t="shared" si="273"/>
        <v>387.2126938680002</v>
      </c>
      <c r="G3674" s="7">
        <f t="shared" si="274"/>
        <v>416.99828570400018</v>
      </c>
      <c r="H3674" s="8">
        <f t="shared" si="275"/>
        <v>446.78387754000022</v>
      </c>
      <c r="I3674" s="9">
        <f t="shared" si="276"/>
        <v>476.56946937600026</v>
      </c>
    </row>
    <row r="3675" spans="1:9" ht="18" x14ac:dyDescent="0.4">
      <c r="A3675" s="18" t="s">
        <v>1955</v>
      </c>
      <c r="B3675" s="18" t="s">
        <v>6004</v>
      </c>
      <c r="C3675" s="20">
        <v>45649</v>
      </c>
      <c r="D3675" s="11">
        <v>291.15121059593093</v>
      </c>
      <c r="E3675" s="27">
        <f t="shared" si="277"/>
        <v>324.10952763539029</v>
      </c>
      <c r="F3675" s="6">
        <f t="shared" si="273"/>
        <v>421.34238592600741</v>
      </c>
      <c r="G3675" s="7">
        <f t="shared" si="274"/>
        <v>453.75333868954635</v>
      </c>
      <c r="H3675" s="8">
        <f t="shared" si="275"/>
        <v>486.16429145308541</v>
      </c>
      <c r="I3675" s="9">
        <f t="shared" si="276"/>
        <v>518.57524421662447</v>
      </c>
    </row>
    <row r="3676" spans="1:9" ht="18" x14ac:dyDescent="0.4">
      <c r="A3676" s="18" t="s">
        <v>1956</v>
      </c>
      <c r="B3676" s="18" t="s">
        <v>6005</v>
      </c>
      <c r="C3676" s="20">
        <v>45649</v>
      </c>
      <c r="D3676" s="11">
        <v>127.44843469864237</v>
      </c>
      <c r="E3676" s="27">
        <f t="shared" si="277"/>
        <v>141.87559750652869</v>
      </c>
      <c r="F3676" s="6">
        <f t="shared" si="273"/>
        <v>184.43827675848732</v>
      </c>
      <c r="G3676" s="7">
        <f t="shared" si="274"/>
        <v>198.62583650914016</v>
      </c>
      <c r="H3676" s="8">
        <f t="shared" si="275"/>
        <v>212.81339625979302</v>
      </c>
      <c r="I3676" s="9">
        <f t="shared" si="276"/>
        <v>227.00095601044592</v>
      </c>
    </row>
    <row r="3677" spans="1:9" ht="15.75" customHeight="1" x14ac:dyDescent="0.4">
      <c r="A3677" s="21"/>
      <c r="B3677" s="19" t="s">
        <v>2588</v>
      </c>
      <c r="D3677" s="11">
        <v>0</v>
      </c>
      <c r="E3677" s="27">
        <f t="shared" si="277"/>
        <v>0</v>
      </c>
      <c r="F3677" s="6">
        <f t="shared" si="273"/>
        <v>0</v>
      </c>
      <c r="G3677" s="7">
        <f t="shared" si="274"/>
        <v>0</v>
      </c>
      <c r="H3677" s="8">
        <f t="shared" si="275"/>
        <v>0</v>
      </c>
      <c r="I3677" s="9">
        <f t="shared" si="276"/>
        <v>0</v>
      </c>
    </row>
    <row r="3678" spans="1:9" x14ac:dyDescent="0.35">
      <c r="A3678" s="18" t="s">
        <v>1957</v>
      </c>
      <c r="B3678" s="18" t="s">
        <v>3221</v>
      </c>
      <c r="C3678" s="20">
        <v>45682</v>
      </c>
      <c r="D3678" s="11">
        <v>5356.8</v>
      </c>
      <c r="E3678" s="27">
        <f t="shared" si="277"/>
        <v>5963.1897600000002</v>
      </c>
      <c r="F3678" s="6">
        <f t="shared" si="273"/>
        <v>7752.1466880000007</v>
      </c>
      <c r="G3678" s="7">
        <f t="shared" si="274"/>
        <v>8348.4656639999994</v>
      </c>
      <c r="H3678" s="8">
        <f t="shared" si="275"/>
        <v>8944.7846399999999</v>
      </c>
      <c r="I3678" s="9">
        <f t="shared" si="276"/>
        <v>9541.1036160000003</v>
      </c>
    </row>
    <row r="3679" spans="1:9" x14ac:dyDescent="0.35">
      <c r="A3679" s="18" t="s">
        <v>3238</v>
      </c>
      <c r="B3679" s="18" t="s">
        <v>3240</v>
      </c>
      <c r="C3679" s="20">
        <v>45682</v>
      </c>
      <c r="D3679" s="11">
        <v>6346.35</v>
      </c>
      <c r="E3679" s="27">
        <f t="shared" si="277"/>
        <v>7064.7568200000005</v>
      </c>
      <c r="F3679" s="6">
        <f t="shared" si="273"/>
        <v>9184.1838660000012</v>
      </c>
      <c r="G3679" s="7">
        <f t="shared" si="274"/>
        <v>9890.6595479999996</v>
      </c>
      <c r="H3679" s="8">
        <f t="shared" si="275"/>
        <v>10597.13523</v>
      </c>
      <c r="I3679" s="9">
        <f t="shared" si="276"/>
        <v>11303.610912000002</v>
      </c>
    </row>
    <row r="3680" spans="1:9" x14ac:dyDescent="0.35">
      <c r="A3680" s="18" t="s">
        <v>3239</v>
      </c>
      <c r="B3680" s="18" t="s">
        <v>3241</v>
      </c>
      <c r="C3680" s="20">
        <v>45682</v>
      </c>
      <c r="D3680" s="11">
        <v>7277.85</v>
      </c>
      <c r="E3680" s="27">
        <f t="shared" si="277"/>
        <v>8101.7026200000009</v>
      </c>
      <c r="F3680" s="6">
        <f t="shared" si="273"/>
        <v>10532.213406000001</v>
      </c>
      <c r="G3680" s="7">
        <f t="shared" si="274"/>
        <v>11342.383668</v>
      </c>
      <c r="H3680" s="8">
        <f t="shared" si="275"/>
        <v>12152.553930000002</v>
      </c>
      <c r="I3680" s="9">
        <f t="shared" si="276"/>
        <v>12962.724192000001</v>
      </c>
    </row>
    <row r="3681" spans="1:9" x14ac:dyDescent="0.35">
      <c r="A3681" s="18" t="s">
        <v>3242</v>
      </c>
      <c r="B3681" s="18" t="s">
        <v>3243</v>
      </c>
      <c r="C3681" s="20">
        <v>45682</v>
      </c>
      <c r="D3681" s="11">
        <v>4270.05</v>
      </c>
      <c r="E3681" s="27">
        <f t="shared" si="277"/>
        <v>4753.4196600000005</v>
      </c>
      <c r="F3681" s="6">
        <f t="shared" si="273"/>
        <v>6179.4455580000013</v>
      </c>
      <c r="G3681" s="7">
        <f t="shared" si="274"/>
        <v>6654.7875240000003</v>
      </c>
      <c r="H3681" s="8">
        <f t="shared" si="275"/>
        <v>7130.1294900000012</v>
      </c>
      <c r="I3681" s="9">
        <f t="shared" si="276"/>
        <v>7605.4714560000011</v>
      </c>
    </row>
    <row r="3682" spans="1:9" ht="18" x14ac:dyDescent="0.4">
      <c r="B3682" s="19" t="s">
        <v>6321</v>
      </c>
      <c r="D3682" s="11">
        <v>0</v>
      </c>
      <c r="E3682" s="27">
        <f t="shared" si="277"/>
        <v>0</v>
      </c>
      <c r="F3682" s="6">
        <f t="shared" si="273"/>
        <v>0</v>
      </c>
      <c r="G3682" s="7">
        <f t="shared" si="274"/>
        <v>0</v>
      </c>
      <c r="H3682" s="8">
        <f t="shared" si="275"/>
        <v>0</v>
      </c>
      <c r="I3682" s="9">
        <f t="shared" si="276"/>
        <v>0</v>
      </c>
    </row>
    <row r="3683" spans="1:9" x14ac:dyDescent="0.35">
      <c r="A3683" s="18" t="s">
        <v>803</v>
      </c>
      <c r="B3683" s="18" t="s">
        <v>5004</v>
      </c>
      <c r="C3683" s="20">
        <v>45591</v>
      </c>
      <c r="D3683" s="11">
        <v>42930</v>
      </c>
      <c r="E3683" s="27">
        <f t="shared" si="277"/>
        <v>47789.675999999999</v>
      </c>
      <c r="F3683" s="6">
        <f t="shared" si="273"/>
        <v>62126.578800000003</v>
      </c>
      <c r="G3683" s="7">
        <f t="shared" si="274"/>
        <v>66905.546399999992</v>
      </c>
      <c r="H3683" s="8">
        <f t="shared" si="275"/>
        <v>71684.513999999996</v>
      </c>
      <c r="I3683" s="9">
        <f t="shared" si="276"/>
        <v>76463.481599999999</v>
      </c>
    </row>
    <row r="3684" spans="1:9" x14ac:dyDescent="0.35">
      <c r="A3684" s="18" t="s">
        <v>6048</v>
      </c>
      <c r="B3684" s="18" t="s">
        <v>6049</v>
      </c>
      <c r="C3684" s="20">
        <v>45591</v>
      </c>
      <c r="D3684" s="11">
        <v>15109.1325</v>
      </c>
      <c r="E3684" s="27">
        <f t="shared" si="277"/>
        <v>16819.486299</v>
      </c>
      <c r="F3684" s="6">
        <f t="shared" si="273"/>
        <v>21865.332188700002</v>
      </c>
      <c r="G3684" s="7">
        <f t="shared" si="274"/>
        <v>23547.2808186</v>
      </c>
      <c r="H3684" s="8">
        <f t="shared" si="275"/>
        <v>25229.229448500002</v>
      </c>
      <c r="I3684" s="9">
        <f t="shared" si="276"/>
        <v>26911.1780784</v>
      </c>
    </row>
    <row r="3685" spans="1:9" x14ac:dyDescent="0.35">
      <c r="A3685" s="18" t="s">
        <v>6686</v>
      </c>
      <c r="B3685" s="18" t="s">
        <v>6687</v>
      </c>
      <c r="C3685" s="20">
        <v>45591</v>
      </c>
      <c r="D3685" s="11">
        <v>32760</v>
      </c>
      <c r="E3685" s="27">
        <f t="shared" si="277"/>
        <v>36468.432000000001</v>
      </c>
      <c r="F3685" s="6">
        <f t="shared" si="273"/>
        <v>47408.961600000002</v>
      </c>
      <c r="G3685" s="7">
        <f t="shared" si="274"/>
        <v>51055.804799999998</v>
      </c>
      <c r="H3685" s="8">
        <f t="shared" si="275"/>
        <v>54702.648000000001</v>
      </c>
      <c r="I3685" s="9">
        <f t="shared" si="276"/>
        <v>58349.491200000004</v>
      </c>
    </row>
    <row r="3686" spans="1:9" ht="18" x14ac:dyDescent="0.4">
      <c r="A3686" s="10"/>
      <c r="B3686" s="30" t="s">
        <v>6322</v>
      </c>
      <c r="C3686" s="31"/>
      <c r="D3686" s="11">
        <v>0</v>
      </c>
      <c r="E3686" s="27">
        <f t="shared" si="277"/>
        <v>0</v>
      </c>
      <c r="F3686" s="6">
        <f t="shared" si="273"/>
        <v>0</v>
      </c>
      <c r="G3686" s="7">
        <f t="shared" si="274"/>
        <v>0</v>
      </c>
      <c r="H3686" s="8">
        <f t="shared" si="275"/>
        <v>0</v>
      </c>
      <c r="I3686" s="9">
        <f t="shared" si="276"/>
        <v>0</v>
      </c>
    </row>
    <row r="3687" spans="1:9" x14ac:dyDescent="0.35">
      <c r="A3687" s="10" t="s">
        <v>6323</v>
      </c>
      <c r="B3687" s="10" t="s">
        <v>6324</v>
      </c>
      <c r="C3687" s="31">
        <v>45471</v>
      </c>
      <c r="D3687" s="11">
        <v>37843</v>
      </c>
      <c r="E3687" s="27">
        <f t="shared" si="277"/>
        <v>42126.827600000004</v>
      </c>
      <c r="F3687" s="6">
        <f t="shared" si="273"/>
        <v>54764.875880000007</v>
      </c>
      <c r="G3687" s="7">
        <f t="shared" si="274"/>
        <v>58977.558640000003</v>
      </c>
      <c r="H3687" s="8">
        <f t="shared" si="275"/>
        <v>63190.241400000006</v>
      </c>
      <c r="I3687" s="9">
        <f t="shared" si="276"/>
        <v>67402.92416000001</v>
      </c>
    </row>
    <row r="3688" spans="1:9" x14ac:dyDescent="0.35">
      <c r="A3688" s="10" t="s">
        <v>6469</v>
      </c>
      <c r="B3688" s="10" t="s">
        <v>6470</v>
      </c>
      <c r="C3688" s="31">
        <v>45471</v>
      </c>
      <c r="D3688" s="11">
        <v>16700</v>
      </c>
      <c r="E3688" s="27">
        <f t="shared" si="277"/>
        <v>18590.440000000002</v>
      </c>
      <c r="F3688" s="6">
        <f t="shared" si="273"/>
        <v>24167.572000000004</v>
      </c>
      <c r="G3688" s="7">
        <f t="shared" si="274"/>
        <v>26026.616000000002</v>
      </c>
      <c r="H3688" s="8">
        <f t="shared" si="275"/>
        <v>27885.660000000003</v>
      </c>
      <c r="I3688" s="9">
        <f t="shared" si="276"/>
        <v>29744.704000000005</v>
      </c>
    </row>
    <row r="3689" spans="1:9" ht="18" x14ac:dyDescent="0.4">
      <c r="A3689" s="21"/>
      <c r="B3689" s="19" t="s">
        <v>5430</v>
      </c>
      <c r="D3689" s="11">
        <v>0</v>
      </c>
      <c r="E3689" s="27">
        <f t="shared" si="277"/>
        <v>0</v>
      </c>
      <c r="F3689" s="6">
        <f t="shared" si="273"/>
        <v>0</v>
      </c>
      <c r="G3689" s="7">
        <f t="shared" si="274"/>
        <v>0</v>
      </c>
      <c r="H3689" s="8">
        <f t="shared" si="275"/>
        <v>0</v>
      </c>
      <c r="I3689" s="9">
        <f t="shared" si="276"/>
        <v>0</v>
      </c>
    </row>
    <row r="3690" spans="1:9" x14ac:dyDescent="0.35">
      <c r="A3690" s="18" t="s">
        <v>5431</v>
      </c>
      <c r="B3690" s="18" t="s">
        <v>5432</v>
      </c>
      <c r="C3690" s="20">
        <v>45363</v>
      </c>
      <c r="D3690" s="11">
        <v>225</v>
      </c>
      <c r="E3690" s="27">
        <f t="shared" si="277"/>
        <v>250.47</v>
      </c>
      <c r="F3690" s="6">
        <f t="shared" si="273"/>
        <v>325.61099999999999</v>
      </c>
      <c r="G3690" s="7">
        <f t="shared" si="274"/>
        <v>350.65799999999996</v>
      </c>
      <c r="H3690" s="8">
        <f t="shared" si="275"/>
        <v>375.70499999999998</v>
      </c>
      <c r="I3690" s="9">
        <f t="shared" si="276"/>
        <v>400.75200000000001</v>
      </c>
    </row>
    <row r="3691" spans="1:9" ht="18" x14ac:dyDescent="0.4">
      <c r="A3691" s="28"/>
      <c r="B3691" s="34" t="s">
        <v>622</v>
      </c>
      <c r="C3691" s="29"/>
      <c r="D3691" s="11">
        <v>0</v>
      </c>
      <c r="E3691" s="27">
        <f t="shared" si="277"/>
        <v>0</v>
      </c>
      <c r="F3691" s="6">
        <f t="shared" si="273"/>
        <v>0</v>
      </c>
      <c r="G3691" s="7">
        <f t="shared" si="274"/>
        <v>0</v>
      </c>
      <c r="H3691" s="8">
        <f t="shared" si="275"/>
        <v>0</v>
      </c>
      <c r="I3691" s="9">
        <f t="shared" si="276"/>
        <v>0</v>
      </c>
    </row>
    <row r="3692" spans="1:9" ht="18" x14ac:dyDescent="0.4">
      <c r="A3692" s="35" t="s">
        <v>2589</v>
      </c>
      <c r="B3692" s="28" t="s">
        <v>6006</v>
      </c>
      <c r="C3692" s="29">
        <v>45731</v>
      </c>
      <c r="D3692" s="11">
        <v>610.74630378074471</v>
      </c>
      <c r="E3692" s="27">
        <f t="shared" si="277"/>
        <v>679.88278536872497</v>
      </c>
      <c r="F3692" s="6">
        <f t="shared" si="273"/>
        <v>883.84762097934254</v>
      </c>
      <c r="G3692" s="7">
        <f t="shared" si="274"/>
        <v>951.83589951621491</v>
      </c>
      <c r="H3692" s="8">
        <f t="shared" si="275"/>
        <v>1019.8241780530875</v>
      </c>
      <c r="I3692" s="9">
        <f t="shared" si="276"/>
        <v>1087.81245658996</v>
      </c>
    </row>
    <row r="3693" spans="1:9" ht="18" x14ac:dyDescent="0.4">
      <c r="A3693" s="35" t="s">
        <v>2590</v>
      </c>
      <c r="B3693" s="28" t="s">
        <v>6007</v>
      </c>
      <c r="C3693" s="29">
        <v>45731</v>
      </c>
      <c r="D3693" s="11">
        <v>610.74630378074471</v>
      </c>
      <c r="E3693" s="27">
        <f t="shared" si="277"/>
        <v>679.88278536872497</v>
      </c>
      <c r="F3693" s="6">
        <f t="shared" si="273"/>
        <v>883.84762097934254</v>
      </c>
      <c r="G3693" s="7">
        <f t="shared" si="274"/>
        <v>951.83589951621491</v>
      </c>
      <c r="H3693" s="8">
        <f t="shared" si="275"/>
        <v>1019.8241780530875</v>
      </c>
      <c r="I3693" s="9">
        <f t="shared" si="276"/>
        <v>1087.81245658996</v>
      </c>
    </row>
    <row r="3694" spans="1:9" ht="18" x14ac:dyDescent="0.4">
      <c r="A3694" s="35" t="s">
        <v>2591</v>
      </c>
      <c r="B3694" s="28" t="s">
        <v>6008</v>
      </c>
      <c r="C3694" s="29">
        <v>45731</v>
      </c>
      <c r="D3694" s="11">
        <v>610.74630378074471</v>
      </c>
      <c r="E3694" s="27">
        <f t="shared" si="277"/>
        <v>679.88278536872497</v>
      </c>
      <c r="F3694" s="6">
        <f t="shared" si="273"/>
        <v>883.84762097934254</v>
      </c>
      <c r="G3694" s="7">
        <f t="shared" si="274"/>
        <v>951.83589951621491</v>
      </c>
      <c r="H3694" s="8">
        <f t="shared" si="275"/>
        <v>1019.8241780530875</v>
      </c>
      <c r="I3694" s="9">
        <f t="shared" si="276"/>
        <v>1087.81245658996</v>
      </c>
    </row>
    <row r="3695" spans="1:9" ht="18" x14ac:dyDescent="0.4">
      <c r="A3695" s="35" t="s">
        <v>2592</v>
      </c>
      <c r="B3695" s="28" t="s">
        <v>6009</v>
      </c>
      <c r="C3695" s="29">
        <v>45731</v>
      </c>
      <c r="D3695" s="11">
        <v>610.74630378074471</v>
      </c>
      <c r="E3695" s="27">
        <f t="shared" si="277"/>
        <v>679.88278536872497</v>
      </c>
      <c r="F3695" s="6">
        <f t="shared" si="273"/>
        <v>883.84762097934254</v>
      </c>
      <c r="G3695" s="7">
        <f t="shared" si="274"/>
        <v>951.83589951621491</v>
      </c>
      <c r="H3695" s="8">
        <f t="shared" si="275"/>
        <v>1019.8241780530875</v>
      </c>
      <c r="I3695" s="9">
        <f t="shared" si="276"/>
        <v>1087.81245658996</v>
      </c>
    </row>
    <row r="3696" spans="1:9" ht="18" x14ac:dyDescent="0.4">
      <c r="A3696" s="35" t="s">
        <v>2593</v>
      </c>
      <c r="B3696" s="28" t="s">
        <v>6010</v>
      </c>
      <c r="C3696" s="29">
        <v>45731</v>
      </c>
      <c r="D3696" s="11">
        <v>610.74630378074471</v>
      </c>
      <c r="E3696" s="27">
        <f t="shared" si="277"/>
        <v>679.88278536872497</v>
      </c>
      <c r="F3696" s="6">
        <f t="shared" si="273"/>
        <v>883.84762097934254</v>
      </c>
      <c r="G3696" s="7">
        <f t="shared" si="274"/>
        <v>951.83589951621491</v>
      </c>
      <c r="H3696" s="8">
        <f t="shared" si="275"/>
        <v>1019.8241780530875</v>
      </c>
      <c r="I3696" s="9">
        <f t="shared" si="276"/>
        <v>1087.81245658996</v>
      </c>
    </row>
    <row r="3697" spans="1:9" ht="18" x14ac:dyDescent="0.4">
      <c r="A3697" s="35" t="s">
        <v>2594</v>
      </c>
      <c r="B3697" s="28" t="s">
        <v>6011</v>
      </c>
      <c r="C3697" s="29">
        <v>45731</v>
      </c>
      <c r="D3697" s="11">
        <v>610.74630378074471</v>
      </c>
      <c r="E3697" s="27">
        <f t="shared" si="277"/>
        <v>679.88278536872497</v>
      </c>
      <c r="F3697" s="6">
        <f t="shared" si="273"/>
        <v>883.84762097934254</v>
      </c>
      <c r="G3697" s="7">
        <f t="shared" si="274"/>
        <v>951.83589951621491</v>
      </c>
      <c r="H3697" s="8">
        <f t="shared" si="275"/>
        <v>1019.8241780530875</v>
      </c>
      <c r="I3697" s="9">
        <f t="shared" si="276"/>
        <v>1087.81245658996</v>
      </c>
    </row>
    <row r="3698" spans="1:9" ht="18" x14ac:dyDescent="0.4">
      <c r="A3698" s="35" t="s">
        <v>2595</v>
      </c>
      <c r="B3698" s="28" t="s">
        <v>6012</v>
      </c>
      <c r="C3698" s="29">
        <v>45731</v>
      </c>
      <c r="D3698" s="11">
        <v>704.82423329668347</v>
      </c>
      <c r="E3698" s="27">
        <f t="shared" si="277"/>
        <v>784.61033650586808</v>
      </c>
      <c r="F3698" s="6">
        <f t="shared" si="273"/>
        <v>1019.9934374576285</v>
      </c>
      <c r="G3698" s="7">
        <f t="shared" si="274"/>
        <v>1098.4544711082153</v>
      </c>
      <c r="H3698" s="8">
        <f t="shared" si="275"/>
        <v>1176.9155047588022</v>
      </c>
      <c r="I3698" s="9">
        <f t="shared" si="276"/>
        <v>1255.376538409389</v>
      </c>
    </row>
    <row r="3699" spans="1:9" ht="18" x14ac:dyDescent="0.4">
      <c r="A3699" s="35" t="s">
        <v>2596</v>
      </c>
      <c r="B3699" s="28" t="s">
        <v>6013</v>
      </c>
      <c r="C3699" s="29">
        <v>45731</v>
      </c>
      <c r="D3699" s="11">
        <v>610.74630378074471</v>
      </c>
      <c r="E3699" s="27">
        <f t="shared" si="277"/>
        <v>679.88278536872497</v>
      </c>
      <c r="F3699" s="6">
        <f t="shared" si="273"/>
        <v>883.84762097934254</v>
      </c>
      <c r="G3699" s="7">
        <f t="shared" si="274"/>
        <v>951.83589951621491</v>
      </c>
      <c r="H3699" s="8">
        <f t="shared" si="275"/>
        <v>1019.8241780530875</v>
      </c>
      <c r="I3699" s="9">
        <f t="shared" si="276"/>
        <v>1087.81245658996</v>
      </c>
    </row>
    <row r="3700" spans="1:9" ht="18" x14ac:dyDescent="0.4">
      <c r="A3700" s="35" t="s">
        <v>2597</v>
      </c>
      <c r="B3700" s="28" t="s">
        <v>6014</v>
      </c>
      <c r="C3700" s="29">
        <v>45731</v>
      </c>
      <c r="D3700" s="11">
        <v>610.74630378074471</v>
      </c>
      <c r="E3700" s="27">
        <f t="shared" si="277"/>
        <v>679.88278536872497</v>
      </c>
      <c r="F3700" s="6">
        <f t="shared" si="273"/>
        <v>883.84762097934254</v>
      </c>
      <c r="G3700" s="7">
        <f t="shared" si="274"/>
        <v>951.83589951621491</v>
      </c>
      <c r="H3700" s="8">
        <f t="shared" si="275"/>
        <v>1019.8241780530875</v>
      </c>
      <c r="I3700" s="9">
        <f t="shared" si="276"/>
        <v>1087.81245658996</v>
      </c>
    </row>
    <row r="3701" spans="1:9" ht="18" x14ac:dyDescent="0.4">
      <c r="A3701" s="35" t="s">
        <v>2598</v>
      </c>
      <c r="B3701" s="28" t="s">
        <v>6015</v>
      </c>
      <c r="C3701" s="29">
        <v>45731</v>
      </c>
      <c r="D3701" s="11">
        <v>850.40624577065762</v>
      </c>
      <c r="E3701" s="27">
        <f t="shared" si="277"/>
        <v>946.67223279189614</v>
      </c>
      <c r="F3701" s="6">
        <f t="shared" si="273"/>
        <v>1230.6739026294649</v>
      </c>
      <c r="G3701" s="7">
        <f t="shared" si="274"/>
        <v>1325.3411259086545</v>
      </c>
      <c r="H3701" s="8">
        <f t="shared" si="275"/>
        <v>1420.0083491878443</v>
      </c>
      <c r="I3701" s="9">
        <f t="shared" si="276"/>
        <v>1514.6755724670338</v>
      </c>
    </row>
    <row r="3702" spans="1:9" ht="18" x14ac:dyDescent="0.4">
      <c r="A3702" s="35" t="s">
        <v>2599</v>
      </c>
      <c r="B3702" s="28" t="s">
        <v>6016</v>
      </c>
      <c r="C3702" s="29">
        <v>45731</v>
      </c>
      <c r="D3702" s="11">
        <v>676.45951368120473</v>
      </c>
      <c r="E3702" s="27">
        <f t="shared" si="277"/>
        <v>753.03473062991714</v>
      </c>
      <c r="F3702" s="6">
        <f t="shared" si="273"/>
        <v>978.94514981889233</v>
      </c>
      <c r="G3702" s="7">
        <f t="shared" si="274"/>
        <v>1054.2486228818839</v>
      </c>
      <c r="H3702" s="8">
        <f t="shared" si="275"/>
        <v>1129.5520959448756</v>
      </c>
      <c r="I3702" s="9">
        <f t="shared" si="276"/>
        <v>1204.8555690078674</v>
      </c>
    </row>
    <row r="3703" spans="1:9" ht="18" x14ac:dyDescent="0.4">
      <c r="A3703" s="35" t="s">
        <v>2600</v>
      </c>
      <c r="B3703" s="28" t="s">
        <v>6017</v>
      </c>
      <c r="C3703" s="29">
        <v>45731</v>
      </c>
      <c r="D3703" s="11">
        <v>676.45951368120473</v>
      </c>
      <c r="E3703" s="27">
        <f t="shared" si="277"/>
        <v>753.03473062991714</v>
      </c>
      <c r="F3703" s="6">
        <f t="shared" si="273"/>
        <v>978.94514981889233</v>
      </c>
      <c r="G3703" s="7">
        <f t="shared" si="274"/>
        <v>1054.2486228818839</v>
      </c>
      <c r="H3703" s="8">
        <f t="shared" si="275"/>
        <v>1129.5520959448756</v>
      </c>
      <c r="I3703" s="9">
        <f t="shared" si="276"/>
        <v>1204.8555690078674</v>
      </c>
    </row>
    <row r="3704" spans="1:9" ht="18" x14ac:dyDescent="0.4">
      <c r="A3704" s="35" t="s">
        <v>2601</v>
      </c>
      <c r="B3704" s="28" t="s">
        <v>6018</v>
      </c>
      <c r="C3704" s="29">
        <v>45731</v>
      </c>
      <c r="D3704" s="11">
        <v>0</v>
      </c>
      <c r="E3704" s="27">
        <f t="shared" si="277"/>
        <v>0</v>
      </c>
      <c r="F3704" s="6">
        <f t="shared" ref="F3704:F3768" si="278">E3704*1.3</f>
        <v>0</v>
      </c>
      <c r="G3704" s="7">
        <f t="shared" ref="G3704:G3768" si="279">E3704*1.4</f>
        <v>0</v>
      </c>
      <c r="H3704" s="8">
        <f t="shared" ref="H3704:H3768" si="280">E3704*1.5</f>
        <v>0</v>
      </c>
      <c r="I3704" s="9">
        <f t="shared" ref="I3704:I3768" si="281">E3704*1.6</f>
        <v>0</v>
      </c>
    </row>
    <row r="3705" spans="1:9" x14ac:dyDescent="0.35">
      <c r="A3705" s="35" t="s">
        <v>2602</v>
      </c>
      <c r="B3705" s="28" t="s">
        <v>2603</v>
      </c>
      <c r="C3705" s="29">
        <v>45731</v>
      </c>
      <c r="D3705" s="11">
        <v>0</v>
      </c>
      <c r="E3705" s="27">
        <f t="shared" si="277"/>
        <v>0</v>
      </c>
      <c r="F3705" s="6">
        <f t="shared" si="278"/>
        <v>0</v>
      </c>
      <c r="G3705" s="7">
        <f t="shared" si="279"/>
        <v>0</v>
      </c>
      <c r="H3705" s="8">
        <f t="shared" si="280"/>
        <v>0</v>
      </c>
      <c r="I3705" s="9">
        <f t="shared" si="281"/>
        <v>0</v>
      </c>
    </row>
    <row r="3706" spans="1:9" x14ac:dyDescent="0.35">
      <c r="A3706" s="35" t="s">
        <v>2604</v>
      </c>
      <c r="B3706" s="28" t="s">
        <v>2605</v>
      </c>
      <c r="C3706" s="29">
        <v>45731</v>
      </c>
      <c r="D3706" s="11">
        <v>0</v>
      </c>
      <c r="E3706" s="27">
        <f t="shared" si="277"/>
        <v>0</v>
      </c>
      <c r="F3706" s="6">
        <f t="shared" si="278"/>
        <v>0</v>
      </c>
      <c r="G3706" s="7">
        <f t="shared" si="279"/>
        <v>0</v>
      </c>
      <c r="H3706" s="8">
        <f t="shared" si="280"/>
        <v>0</v>
      </c>
      <c r="I3706" s="9">
        <f t="shared" si="281"/>
        <v>0</v>
      </c>
    </row>
    <row r="3707" spans="1:9" ht="18" x14ac:dyDescent="0.4">
      <c r="A3707" s="35" t="s">
        <v>2606</v>
      </c>
      <c r="B3707" s="28" t="s">
        <v>6019</v>
      </c>
      <c r="C3707" s="29">
        <v>45731</v>
      </c>
      <c r="D3707" s="11">
        <v>610.74630378074471</v>
      </c>
      <c r="E3707" s="27">
        <f t="shared" si="277"/>
        <v>679.88278536872497</v>
      </c>
      <c r="F3707" s="6">
        <f t="shared" si="278"/>
        <v>883.84762097934254</v>
      </c>
      <c r="G3707" s="7">
        <f t="shared" si="279"/>
        <v>951.83589951621491</v>
      </c>
      <c r="H3707" s="8">
        <f t="shared" si="280"/>
        <v>1019.8241780530875</v>
      </c>
      <c r="I3707" s="9">
        <f t="shared" si="281"/>
        <v>1087.81245658996</v>
      </c>
    </row>
    <row r="3708" spans="1:9" ht="18" x14ac:dyDescent="0.4">
      <c r="A3708" s="35" t="s">
        <v>2607</v>
      </c>
      <c r="B3708" s="28" t="s">
        <v>6020</v>
      </c>
      <c r="C3708" s="29">
        <v>45731</v>
      </c>
      <c r="D3708" s="11">
        <v>610.74630378074471</v>
      </c>
      <c r="E3708" s="27">
        <f t="shared" si="277"/>
        <v>679.88278536872497</v>
      </c>
      <c r="F3708" s="6">
        <f t="shared" si="278"/>
        <v>883.84762097934254</v>
      </c>
      <c r="G3708" s="7">
        <f t="shared" si="279"/>
        <v>951.83589951621491</v>
      </c>
      <c r="H3708" s="8">
        <f t="shared" si="280"/>
        <v>1019.8241780530875</v>
      </c>
      <c r="I3708" s="9">
        <f t="shared" si="281"/>
        <v>1087.81245658996</v>
      </c>
    </row>
    <row r="3709" spans="1:9" x14ac:dyDescent="0.35">
      <c r="A3709" s="35" t="s">
        <v>2608</v>
      </c>
      <c r="B3709" s="28" t="s">
        <v>308</v>
      </c>
      <c r="C3709" s="29">
        <v>45731</v>
      </c>
      <c r="D3709" s="11">
        <v>6764.5951368120441</v>
      </c>
      <c r="E3709" s="27">
        <f t="shared" si="277"/>
        <v>7530.3473062991679</v>
      </c>
      <c r="F3709" s="6">
        <f t="shared" si="278"/>
        <v>9789.4514981889188</v>
      </c>
      <c r="G3709" s="7">
        <f t="shared" si="279"/>
        <v>10542.486228818834</v>
      </c>
      <c r="H3709" s="8">
        <f t="shared" si="280"/>
        <v>11295.520959448751</v>
      </c>
      <c r="I3709" s="9">
        <f t="shared" si="281"/>
        <v>12048.555690078669</v>
      </c>
    </row>
    <row r="3710" spans="1:9" ht="17.25" customHeight="1" x14ac:dyDescent="0.4">
      <c r="A3710" s="35" t="s">
        <v>2609</v>
      </c>
      <c r="B3710" s="28" t="s">
        <v>6021</v>
      </c>
      <c r="C3710" s="29">
        <v>45731</v>
      </c>
      <c r="D3710" s="11">
        <v>610.74630378074471</v>
      </c>
      <c r="E3710" s="27">
        <f t="shared" si="277"/>
        <v>679.88278536872497</v>
      </c>
      <c r="F3710" s="6">
        <f t="shared" si="278"/>
        <v>883.84762097934254</v>
      </c>
      <c r="G3710" s="7">
        <f t="shared" si="279"/>
        <v>951.83589951621491</v>
      </c>
      <c r="H3710" s="8">
        <f t="shared" si="280"/>
        <v>1019.8241780530875</v>
      </c>
      <c r="I3710" s="9">
        <f t="shared" si="281"/>
        <v>1087.81245658996</v>
      </c>
    </row>
    <row r="3711" spans="1:9" ht="18" x14ac:dyDescent="0.4">
      <c r="A3711" s="35" t="s">
        <v>2610</v>
      </c>
      <c r="B3711" s="28" t="s">
        <v>6022</v>
      </c>
      <c r="C3711" s="29">
        <v>45731</v>
      </c>
      <c r="D3711" s="11">
        <v>1115.1000000000001</v>
      </c>
      <c r="E3711" s="27">
        <f t="shared" si="277"/>
        <v>1241.3293200000003</v>
      </c>
      <c r="F3711" s="6">
        <f t="shared" si="278"/>
        <v>1613.7281160000005</v>
      </c>
      <c r="G3711" s="7">
        <f t="shared" si="279"/>
        <v>1737.8610480000002</v>
      </c>
      <c r="H3711" s="8">
        <f t="shared" si="280"/>
        <v>1861.9939800000004</v>
      </c>
      <c r="I3711" s="9">
        <f t="shared" si="281"/>
        <v>1986.1269120000006</v>
      </c>
    </row>
    <row r="3712" spans="1:9" ht="18" x14ac:dyDescent="0.4">
      <c r="A3712" s="35" t="s">
        <v>2611</v>
      </c>
      <c r="B3712" s="28" t="s">
        <v>6023</v>
      </c>
      <c r="C3712" s="29">
        <v>45731</v>
      </c>
      <c r="D3712" s="11">
        <v>1115.1000000000001</v>
      </c>
      <c r="E3712" s="27">
        <f t="shared" si="277"/>
        <v>1241.3293200000003</v>
      </c>
      <c r="F3712" s="6">
        <f t="shared" si="278"/>
        <v>1613.7281160000005</v>
      </c>
      <c r="G3712" s="7">
        <f t="shared" si="279"/>
        <v>1737.8610480000002</v>
      </c>
      <c r="H3712" s="8">
        <f t="shared" si="280"/>
        <v>1861.9939800000004</v>
      </c>
      <c r="I3712" s="9">
        <f t="shared" si="281"/>
        <v>1986.1269120000006</v>
      </c>
    </row>
    <row r="3713" spans="1:9" x14ac:dyDescent="0.35">
      <c r="A3713" s="35" t="s">
        <v>3309</v>
      </c>
      <c r="B3713" s="28" t="s">
        <v>3310</v>
      </c>
      <c r="C3713" s="29">
        <v>45731</v>
      </c>
      <c r="D3713" s="11">
        <v>6835</v>
      </c>
      <c r="E3713" s="27">
        <f t="shared" si="277"/>
        <v>7608.7220000000007</v>
      </c>
      <c r="F3713" s="6">
        <f t="shared" si="278"/>
        <v>9891.338600000001</v>
      </c>
      <c r="G3713" s="7">
        <f t="shared" si="279"/>
        <v>10652.210800000001</v>
      </c>
      <c r="H3713" s="8">
        <f t="shared" si="280"/>
        <v>11413.083000000001</v>
      </c>
      <c r="I3713" s="9">
        <f t="shared" si="281"/>
        <v>12173.955200000002</v>
      </c>
    </row>
    <row r="3714" spans="1:9" x14ac:dyDescent="0.35">
      <c r="A3714" s="35" t="s">
        <v>3450</v>
      </c>
      <c r="B3714" s="28" t="s">
        <v>4548</v>
      </c>
      <c r="C3714" s="29">
        <v>45731</v>
      </c>
      <c r="D3714" s="11">
        <v>4127.76</v>
      </c>
      <c r="E3714" s="27">
        <f t="shared" si="277"/>
        <v>4595.0224320000007</v>
      </c>
      <c r="F3714" s="6">
        <f t="shared" si="278"/>
        <v>5973.5291616000013</v>
      </c>
      <c r="G3714" s="7">
        <f t="shared" si="279"/>
        <v>6433.0314048000009</v>
      </c>
      <c r="H3714" s="8">
        <f t="shared" si="280"/>
        <v>6892.5336480000005</v>
      </c>
      <c r="I3714" s="9">
        <f t="shared" si="281"/>
        <v>7352.0358912000011</v>
      </c>
    </row>
    <row r="3715" spans="1:9" ht="15.75" customHeight="1" x14ac:dyDescent="0.4">
      <c r="B3715" s="19" t="s">
        <v>2612</v>
      </c>
      <c r="D3715" s="11">
        <v>0</v>
      </c>
      <c r="E3715" s="27">
        <f t="shared" si="277"/>
        <v>0</v>
      </c>
      <c r="F3715" s="6">
        <f t="shared" si="278"/>
        <v>0</v>
      </c>
      <c r="G3715" s="7">
        <f t="shared" si="279"/>
        <v>0</v>
      </c>
      <c r="H3715" s="8">
        <f t="shared" si="280"/>
        <v>0</v>
      </c>
      <c r="I3715" s="9">
        <f t="shared" si="281"/>
        <v>0</v>
      </c>
    </row>
    <row r="3716" spans="1:9" x14ac:dyDescent="0.35">
      <c r="A3716" s="18" t="s">
        <v>1958</v>
      </c>
      <c r="B3716" s="18" t="s">
        <v>11</v>
      </c>
      <c r="C3716" s="20">
        <v>45726</v>
      </c>
      <c r="D3716" s="11">
        <v>3086.8</v>
      </c>
      <c r="E3716" s="27">
        <f t="shared" si="277"/>
        <v>3436.2257600000003</v>
      </c>
      <c r="F3716" s="6">
        <f t="shared" si="278"/>
        <v>4467.0934880000004</v>
      </c>
      <c r="G3716" s="7">
        <f t="shared" si="279"/>
        <v>4810.7160640000002</v>
      </c>
      <c r="H3716" s="8">
        <f t="shared" si="280"/>
        <v>5154.3386399999999</v>
      </c>
      <c r="I3716" s="9">
        <f t="shared" si="281"/>
        <v>5497.9612160000006</v>
      </c>
    </row>
    <row r="3717" spans="1:9" x14ac:dyDescent="0.35">
      <c r="A3717" s="18" t="s">
        <v>231</v>
      </c>
      <c r="B3717" s="18" t="s">
        <v>2613</v>
      </c>
      <c r="C3717" s="20">
        <v>45726</v>
      </c>
      <c r="D3717" s="11">
        <v>6178.31</v>
      </c>
      <c r="E3717" s="27">
        <f t="shared" si="277"/>
        <v>6877.6946920000009</v>
      </c>
      <c r="F3717" s="6">
        <f t="shared" si="278"/>
        <v>8941.0030996000023</v>
      </c>
      <c r="G3717" s="7">
        <f t="shared" si="279"/>
        <v>9628.772568800001</v>
      </c>
      <c r="H3717" s="8">
        <f t="shared" si="280"/>
        <v>10316.542038000001</v>
      </c>
      <c r="I3717" s="9">
        <f t="shared" si="281"/>
        <v>11004.311507200002</v>
      </c>
    </row>
    <row r="3718" spans="1:9" x14ac:dyDescent="0.35">
      <c r="A3718" s="18" t="s">
        <v>232</v>
      </c>
      <c r="B3718" s="18" t="s">
        <v>288</v>
      </c>
      <c r="C3718" s="20">
        <v>45703</v>
      </c>
      <c r="D3718" s="11">
        <v>3379.86</v>
      </c>
      <c r="E3718" s="27">
        <f t="shared" si="277"/>
        <v>3762.4601520000001</v>
      </c>
      <c r="F3718" s="6">
        <f t="shared" si="278"/>
        <v>4891.1981976000006</v>
      </c>
      <c r="G3718" s="7">
        <f t="shared" si="279"/>
        <v>5267.4442128000001</v>
      </c>
      <c r="H3718" s="8">
        <f t="shared" si="280"/>
        <v>5643.6902280000004</v>
      </c>
      <c r="I3718" s="9">
        <f t="shared" si="281"/>
        <v>6019.9362432000007</v>
      </c>
    </row>
    <row r="3719" spans="1:9" x14ac:dyDescent="0.35">
      <c r="A3719" s="18" t="s">
        <v>233</v>
      </c>
      <c r="B3719" s="18" t="s">
        <v>289</v>
      </c>
      <c r="C3719" s="20">
        <v>45560</v>
      </c>
      <c r="D3719" s="11">
        <v>2131.8000000000002</v>
      </c>
      <c r="E3719" s="27">
        <f t="shared" si="277"/>
        <v>2373.11976</v>
      </c>
      <c r="F3719" s="6">
        <f t="shared" si="278"/>
        <v>3085.0556880000004</v>
      </c>
      <c r="G3719" s="7">
        <f t="shared" si="279"/>
        <v>3322.3676639999999</v>
      </c>
      <c r="H3719" s="8">
        <f t="shared" si="280"/>
        <v>3559.6796400000003</v>
      </c>
      <c r="I3719" s="9">
        <f t="shared" si="281"/>
        <v>3796.9916160000002</v>
      </c>
    </row>
    <row r="3720" spans="1:9" x14ac:dyDescent="0.35">
      <c r="A3720" s="18" t="s">
        <v>234</v>
      </c>
      <c r="B3720" s="18" t="s">
        <v>814</v>
      </c>
      <c r="C3720" s="20">
        <v>45560</v>
      </c>
      <c r="D3720" s="11">
        <v>1122</v>
      </c>
      <c r="E3720" s="27">
        <f t="shared" si="277"/>
        <v>1249.0103999999999</v>
      </c>
      <c r="F3720" s="6">
        <f t="shared" si="278"/>
        <v>1623.71352</v>
      </c>
      <c r="G3720" s="7">
        <f t="shared" si="279"/>
        <v>1748.6145599999998</v>
      </c>
      <c r="H3720" s="8">
        <f t="shared" si="280"/>
        <v>1873.5155999999997</v>
      </c>
      <c r="I3720" s="9">
        <f t="shared" si="281"/>
        <v>1998.4166399999999</v>
      </c>
    </row>
    <row r="3721" spans="1:9" x14ac:dyDescent="0.35">
      <c r="A3721" s="18" t="s">
        <v>235</v>
      </c>
      <c r="B3721" s="18" t="s">
        <v>815</v>
      </c>
      <c r="C3721" s="20">
        <v>45560</v>
      </c>
      <c r="D3721" s="11">
        <v>1346.4</v>
      </c>
      <c r="E3721" s="27">
        <f t="shared" si="277"/>
        <v>1498.8124800000001</v>
      </c>
      <c r="F3721" s="6">
        <f t="shared" si="278"/>
        <v>1948.456224</v>
      </c>
      <c r="G3721" s="7">
        <f t="shared" si="279"/>
        <v>2098.3374720000002</v>
      </c>
      <c r="H3721" s="8">
        <f t="shared" si="280"/>
        <v>2248.2187199999998</v>
      </c>
      <c r="I3721" s="9">
        <f t="shared" si="281"/>
        <v>2398.099968</v>
      </c>
    </row>
    <row r="3722" spans="1:9" ht="15.75" customHeight="1" x14ac:dyDescent="0.4">
      <c r="B3722" s="19" t="s">
        <v>2798</v>
      </c>
      <c r="D3722" s="11">
        <v>0</v>
      </c>
      <c r="E3722" s="27">
        <f t="shared" si="277"/>
        <v>0</v>
      </c>
      <c r="F3722" s="6">
        <f t="shared" si="278"/>
        <v>0</v>
      </c>
      <c r="G3722" s="7">
        <f t="shared" si="279"/>
        <v>0</v>
      </c>
      <c r="H3722" s="8">
        <f t="shared" si="280"/>
        <v>0</v>
      </c>
      <c r="I3722" s="9">
        <f t="shared" si="281"/>
        <v>0</v>
      </c>
    </row>
    <row r="3723" spans="1:9" x14ac:dyDescent="0.35">
      <c r="A3723" s="18" t="s">
        <v>236</v>
      </c>
      <c r="B3723" s="18" t="s">
        <v>290</v>
      </c>
      <c r="C3723" s="20">
        <v>45598</v>
      </c>
      <c r="D3723" s="11">
        <v>2564.7509250000007</v>
      </c>
      <c r="E3723" s="27">
        <f t="shared" si="277"/>
        <v>2855.0807297100009</v>
      </c>
      <c r="F3723" s="6">
        <f t="shared" si="278"/>
        <v>3711.6049486230013</v>
      </c>
      <c r="G3723" s="7">
        <f t="shared" si="279"/>
        <v>3997.1130215940011</v>
      </c>
      <c r="H3723" s="8">
        <f t="shared" si="280"/>
        <v>4282.6210945650018</v>
      </c>
      <c r="I3723" s="9">
        <f t="shared" si="281"/>
        <v>4568.1291675360017</v>
      </c>
    </row>
    <row r="3724" spans="1:9" x14ac:dyDescent="0.35">
      <c r="A3724" s="18" t="s">
        <v>237</v>
      </c>
      <c r="B3724" s="18" t="s">
        <v>291</v>
      </c>
      <c r="C3724" s="20">
        <v>45598</v>
      </c>
      <c r="D3724" s="11">
        <v>2564.7509250000007</v>
      </c>
      <c r="E3724" s="27">
        <f t="shared" si="277"/>
        <v>2855.0807297100009</v>
      </c>
      <c r="F3724" s="6">
        <f t="shared" si="278"/>
        <v>3711.6049486230013</v>
      </c>
      <c r="G3724" s="7">
        <f t="shared" si="279"/>
        <v>3997.1130215940011</v>
      </c>
      <c r="H3724" s="8">
        <f t="shared" si="280"/>
        <v>4282.6210945650018</v>
      </c>
      <c r="I3724" s="9">
        <f t="shared" si="281"/>
        <v>4568.1291675360017</v>
      </c>
    </row>
    <row r="3725" spans="1:9" x14ac:dyDescent="0.35">
      <c r="A3725" s="18" t="s">
        <v>238</v>
      </c>
      <c r="B3725" s="18" t="s">
        <v>292</v>
      </c>
      <c r="C3725" s="20">
        <v>45598</v>
      </c>
      <c r="D3725" s="11">
        <v>2564.7509250000007</v>
      </c>
      <c r="E3725" s="27">
        <f t="shared" si="277"/>
        <v>2855.0807297100009</v>
      </c>
      <c r="F3725" s="6">
        <f t="shared" si="278"/>
        <v>3711.6049486230013</v>
      </c>
      <c r="G3725" s="7">
        <f t="shared" si="279"/>
        <v>3997.1130215940011</v>
      </c>
      <c r="H3725" s="8">
        <f t="shared" si="280"/>
        <v>4282.6210945650018</v>
      </c>
      <c r="I3725" s="9">
        <f t="shared" si="281"/>
        <v>4568.1291675360017</v>
      </c>
    </row>
    <row r="3726" spans="1:9" ht="15.75" customHeight="1" x14ac:dyDescent="0.4">
      <c r="B3726" s="19" t="s">
        <v>2799</v>
      </c>
      <c r="D3726" s="11">
        <v>0</v>
      </c>
      <c r="E3726" s="27">
        <f t="shared" si="277"/>
        <v>0</v>
      </c>
      <c r="F3726" s="6">
        <f t="shared" si="278"/>
        <v>0</v>
      </c>
      <c r="G3726" s="7">
        <f t="shared" si="279"/>
        <v>0</v>
      </c>
      <c r="H3726" s="8">
        <f t="shared" si="280"/>
        <v>0</v>
      </c>
      <c r="I3726" s="9">
        <f t="shared" si="281"/>
        <v>0</v>
      </c>
    </row>
    <row r="3727" spans="1:9" x14ac:dyDescent="0.35">
      <c r="A3727" s="18" t="s">
        <v>239</v>
      </c>
      <c r="B3727" s="18" t="s">
        <v>293</v>
      </c>
      <c r="C3727" s="20">
        <v>45650</v>
      </c>
      <c r="D3727" s="11">
        <v>939.30840000000001</v>
      </c>
      <c r="E3727" s="27">
        <f t="shared" si="277"/>
        <v>1045.6381108799999</v>
      </c>
      <c r="F3727" s="6">
        <f t="shared" si="278"/>
        <v>1359.329544144</v>
      </c>
      <c r="G3727" s="7">
        <f t="shared" si="279"/>
        <v>1463.8933552319997</v>
      </c>
      <c r="H3727" s="8">
        <f t="shared" si="280"/>
        <v>1568.4571663199999</v>
      </c>
      <c r="I3727" s="9">
        <f t="shared" si="281"/>
        <v>1673.0209774079999</v>
      </c>
    </row>
    <row r="3728" spans="1:9" x14ac:dyDescent="0.35">
      <c r="A3728" s="18" t="s">
        <v>240</v>
      </c>
      <c r="B3728" s="18" t="s">
        <v>294</v>
      </c>
      <c r="C3728" s="20">
        <v>45650</v>
      </c>
      <c r="D3728" s="11">
        <v>939.30840000000001</v>
      </c>
      <c r="E3728" s="27">
        <f t="shared" si="277"/>
        <v>1045.6381108799999</v>
      </c>
      <c r="F3728" s="6">
        <f t="shared" si="278"/>
        <v>1359.329544144</v>
      </c>
      <c r="G3728" s="7">
        <f t="shared" si="279"/>
        <v>1463.8933552319997</v>
      </c>
      <c r="H3728" s="8">
        <f t="shared" si="280"/>
        <v>1568.4571663199999</v>
      </c>
      <c r="I3728" s="9">
        <f t="shared" si="281"/>
        <v>1673.0209774079999</v>
      </c>
    </row>
    <row r="3729" spans="1:9" x14ac:dyDescent="0.35">
      <c r="A3729" s="18" t="s">
        <v>241</v>
      </c>
      <c r="B3729" s="18" t="s">
        <v>295</v>
      </c>
      <c r="C3729" s="20">
        <v>45650</v>
      </c>
      <c r="D3729" s="11">
        <v>939.30840000000001</v>
      </c>
      <c r="E3729" s="27">
        <f t="shared" si="277"/>
        <v>1045.6381108799999</v>
      </c>
      <c r="F3729" s="6">
        <f t="shared" si="278"/>
        <v>1359.329544144</v>
      </c>
      <c r="G3729" s="7">
        <f t="shared" si="279"/>
        <v>1463.8933552319997</v>
      </c>
      <c r="H3729" s="8">
        <f t="shared" si="280"/>
        <v>1568.4571663199999</v>
      </c>
      <c r="I3729" s="9">
        <f t="shared" si="281"/>
        <v>1673.0209774079999</v>
      </c>
    </row>
    <row r="3730" spans="1:9" ht="15.75" customHeight="1" x14ac:dyDescent="0.4">
      <c r="B3730" s="19" t="s">
        <v>2614</v>
      </c>
      <c r="D3730" s="11">
        <v>0</v>
      </c>
      <c r="E3730" s="27">
        <f t="shared" ref="E3730:E3793" si="282">D3730*1.21*0.92</f>
        <v>0</v>
      </c>
      <c r="F3730" s="6">
        <f t="shared" si="278"/>
        <v>0</v>
      </c>
      <c r="G3730" s="7">
        <f t="shared" si="279"/>
        <v>0</v>
      </c>
      <c r="H3730" s="8">
        <f t="shared" si="280"/>
        <v>0</v>
      </c>
      <c r="I3730" s="9">
        <f t="shared" si="281"/>
        <v>0</v>
      </c>
    </row>
    <row r="3731" spans="1:9" x14ac:dyDescent="0.35">
      <c r="A3731" s="18" t="s">
        <v>242</v>
      </c>
      <c r="B3731" s="18" t="s">
        <v>296</v>
      </c>
      <c r="C3731" s="20">
        <v>45363</v>
      </c>
      <c r="D3731" s="11">
        <v>0</v>
      </c>
      <c r="E3731" s="27">
        <f t="shared" si="282"/>
        <v>0</v>
      </c>
      <c r="F3731" s="6">
        <f t="shared" si="278"/>
        <v>0</v>
      </c>
      <c r="G3731" s="7">
        <f t="shared" si="279"/>
        <v>0</v>
      </c>
      <c r="H3731" s="8">
        <f t="shared" si="280"/>
        <v>0</v>
      </c>
      <c r="I3731" s="9">
        <f t="shared" si="281"/>
        <v>0</v>
      </c>
    </row>
    <row r="3732" spans="1:9" x14ac:dyDescent="0.35">
      <c r="A3732" s="18" t="s">
        <v>243</v>
      </c>
      <c r="B3732" s="18" t="s">
        <v>2002</v>
      </c>
      <c r="C3732" s="20">
        <v>45363</v>
      </c>
      <c r="D3732" s="11">
        <v>0</v>
      </c>
      <c r="E3732" s="27">
        <f t="shared" si="282"/>
        <v>0</v>
      </c>
      <c r="F3732" s="6">
        <f t="shared" si="278"/>
        <v>0</v>
      </c>
      <c r="G3732" s="7">
        <f t="shared" si="279"/>
        <v>0</v>
      </c>
      <c r="H3732" s="8">
        <f t="shared" si="280"/>
        <v>0</v>
      </c>
      <c r="I3732" s="9">
        <f t="shared" si="281"/>
        <v>0</v>
      </c>
    </row>
    <row r="3733" spans="1:9" x14ac:dyDescent="0.35">
      <c r="A3733" s="18" t="s">
        <v>1961</v>
      </c>
      <c r="B3733" s="18" t="s">
        <v>3118</v>
      </c>
      <c r="C3733" s="20">
        <v>45363</v>
      </c>
      <c r="D3733" s="11">
        <v>664.2</v>
      </c>
      <c r="E3733" s="27">
        <f t="shared" si="282"/>
        <v>739.38744000000008</v>
      </c>
      <c r="F3733" s="6">
        <f t="shared" si="278"/>
        <v>961.2036720000001</v>
      </c>
      <c r="G3733" s="7">
        <f t="shared" si="279"/>
        <v>1035.1424160000001</v>
      </c>
      <c r="H3733" s="8">
        <f t="shared" si="280"/>
        <v>1109.0811600000002</v>
      </c>
      <c r="I3733" s="9">
        <f t="shared" si="281"/>
        <v>1183.0199040000002</v>
      </c>
    </row>
    <row r="3734" spans="1:9" x14ac:dyDescent="0.35">
      <c r="A3734" s="18" t="s">
        <v>1962</v>
      </c>
      <c r="B3734" s="18" t="s">
        <v>113</v>
      </c>
      <c r="C3734" s="20">
        <v>45598</v>
      </c>
      <c r="D3734" s="11">
        <v>2434</v>
      </c>
      <c r="E3734" s="27">
        <f t="shared" si="282"/>
        <v>2709.5288</v>
      </c>
      <c r="F3734" s="6">
        <f t="shared" si="278"/>
        <v>3522.38744</v>
      </c>
      <c r="G3734" s="7">
        <f t="shared" si="279"/>
        <v>3793.3403199999998</v>
      </c>
      <c r="H3734" s="8">
        <f t="shared" si="280"/>
        <v>4064.2932000000001</v>
      </c>
      <c r="I3734" s="9">
        <f t="shared" si="281"/>
        <v>4335.2460799999999</v>
      </c>
    </row>
    <row r="3735" spans="1:9" x14ac:dyDescent="0.35">
      <c r="A3735" s="18" t="s">
        <v>1963</v>
      </c>
      <c r="B3735" s="18" t="s">
        <v>6733</v>
      </c>
      <c r="C3735" s="20">
        <v>45650</v>
      </c>
      <c r="D3735" s="11">
        <v>2250.0500000000002</v>
      </c>
      <c r="E3735" s="27">
        <f t="shared" si="282"/>
        <v>2504.7556600000003</v>
      </c>
      <c r="F3735" s="6">
        <f t="shared" si="278"/>
        <v>3256.1823580000005</v>
      </c>
      <c r="G3735" s="7">
        <f t="shared" si="279"/>
        <v>3506.6579240000001</v>
      </c>
      <c r="H3735" s="8">
        <f t="shared" si="280"/>
        <v>3757.1334900000002</v>
      </c>
      <c r="I3735" s="9">
        <f t="shared" si="281"/>
        <v>4007.6090560000007</v>
      </c>
    </row>
    <row r="3736" spans="1:9" x14ac:dyDescent="0.35">
      <c r="A3736" s="18" t="s">
        <v>588</v>
      </c>
      <c r="B3736" s="18" t="s">
        <v>589</v>
      </c>
      <c r="C3736" s="20">
        <v>45598</v>
      </c>
      <c r="D3736" s="11">
        <v>1114.97</v>
      </c>
      <c r="E3736" s="27">
        <f t="shared" si="282"/>
        <v>1241.184604</v>
      </c>
      <c r="F3736" s="6">
        <f t="shared" si="278"/>
        <v>1613.5399852</v>
      </c>
      <c r="G3736" s="7">
        <f t="shared" si="279"/>
        <v>1737.6584456000001</v>
      </c>
      <c r="H3736" s="8">
        <f t="shared" si="280"/>
        <v>1861.7769060000001</v>
      </c>
      <c r="I3736" s="9">
        <f t="shared" si="281"/>
        <v>1985.8953664000001</v>
      </c>
    </row>
    <row r="3737" spans="1:9" x14ac:dyDescent="0.35">
      <c r="A3737" s="18" t="s">
        <v>590</v>
      </c>
      <c r="B3737" s="18" t="s">
        <v>591</v>
      </c>
      <c r="C3737" s="20">
        <v>45598</v>
      </c>
      <c r="D3737" s="11">
        <v>1183.22</v>
      </c>
      <c r="E3737" s="27">
        <f t="shared" si="282"/>
        <v>1317.1605040000002</v>
      </c>
      <c r="F3737" s="6">
        <f t="shared" si="278"/>
        <v>1712.3086552000002</v>
      </c>
      <c r="G3737" s="7">
        <f t="shared" si="279"/>
        <v>1844.0247056000001</v>
      </c>
      <c r="H3737" s="8">
        <f t="shared" si="280"/>
        <v>1975.7407560000001</v>
      </c>
      <c r="I3737" s="9">
        <f t="shared" si="281"/>
        <v>2107.4568064000005</v>
      </c>
    </row>
    <row r="3738" spans="1:9" x14ac:dyDescent="0.35">
      <c r="A3738" s="18" t="s">
        <v>592</v>
      </c>
      <c r="B3738" s="18" t="s">
        <v>5115</v>
      </c>
      <c r="C3738" s="20">
        <v>45513</v>
      </c>
      <c r="D3738" s="11">
        <v>1491.75</v>
      </c>
      <c r="E3738" s="27">
        <f t="shared" si="282"/>
        <v>1660.6161</v>
      </c>
      <c r="F3738" s="6">
        <f t="shared" si="278"/>
        <v>2158.8009299999999</v>
      </c>
      <c r="G3738" s="7">
        <f t="shared" si="279"/>
        <v>2324.8625399999996</v>
      </c>
      <c r="H3738" s="8">
        <f t="shared" si="280"/>
        <v>2490.9241499999998</v>
      </c>
      <c r="I3738" s="9">
        <f t="shared" si="281"/>
        <v>2656.98576</v>
      </c>
    </row>
    <row r="3739" spans="1:9" x14ac:dyDescent="0.35">
      <c r="A3739" s="18" t="s">
        <v>593</v>
      </c>
      <c r="B3739" s="18" t="s">
        <v>5116</v>
      </c>
      <c r="C3739" s="20">
        <v>45513</v>
      </c>
      <c r="D3739" s="11">
        <v>1697.8950000000002</v>
      </c>
      <c r="E3739" s="27">
        <f t="shared" si="282"/>
        <v>1890.0967140000005</v>
      </c>
      <c r="F3739" s="6">
        <f t="shared" si="278"/>
        <v>2457.1257282000006</v>
      </c>
      <c r="G3739" s="7">
        <f t="shared" si="279"/>
        <v>2646.1353996000007</v>
      </c>
      <c r="H3739" s="8">
        <f t="shared" si="280"/>
        <v>2835.1450710000008</v>
      </c>
      <c r="I3739" s="9">
        <f t="shared" si="281"/>
        <v>3024.1547424000009</v>
      </c>
    </row>
    <row r="3740" spans="1:9" x14ac:dyDescent="0.35">
      <c r="A3740" s="18" t="s">
        <v>4451</v>
      </c>
      <c r="B3740" s="18" t="s">
        <v>4452</v>
      </c>
      <c r="C3740" s="20">
        <v>45580</v>
      </c>
      <c r="D3740" s="11">
        <v>3856.2</v>
      </c>
      <c r="E3740" s="27">
        <f t="shared" si="282"/>
        <v>4292.7218400000002</v>
      </c>
      <c r="F3740" s="6">
        <f t="shared" si="278"/>
        <v>5580.5383920000004</v>
      </c>
      <c r="G3740" s="7">
        <f t="shared" si="279"/>
        <v>6009.8105759999999</v>
      </c>
      <c r="H3740" s="8">
        <f t="shared" si="280"/>
        <v>6439.0827600000002</v>
      </c>
      <c r="I3740" s="9">
        <f t="shared" si="281"/>
        <v>6868.3549440000006</v>
      </c>
    </row>
    <row r="3741" spans="1:9" x14ac:dyDescent="0.35">
      <c r="A3741" s="18" t="s">
        <v>4552</v>
      </c>
      <c r="B3741" s="18" t="s">
        <v>6422</v>
      </c>
      <c r="C3741" s="20">
        <v>45511</v>
      </c>
      <c r="D3741" s="11">
        <v>4097.63</v>
      </c>
      <c r="E3741" s="27">
        <f t="shared" si="282"/>
        <v>4561.4817160000002</v>
      </c>
      <c r="F3741" s="6">
        <f t="shared" si="278"/>
        <v>5929.9262308000007</v>
      </c>
      <c r="G3741" s="7">
        <f t="shared" si="279"/>
        <v>6386.0744023999996</v>
      </c>
      <c r="H3741" s="8">
        <f t="shared" si="280"/>
        <v>6842.2225740000003</v>
      </c>
      <c r="I3741" s="9">
        <f t="shared" si="281"/>
        <v>7298.3707456000011</v>
      </c>
    </row>
    <row r="3742" spans="1:9" x14ac:dyDescent="0.35">
      <c r="A3742" s="18" t="s">
        <v>4995</v>
      </c>
      <c r="B3742" s="18" t="s">
        <v>4996</v>
      </c>
      <c r="C3742" s="20">
        <v>45363</v>
      </c>
      <c r="D3742" s="11">
        <v>521</v>
      </c>
      <c r="E3742" s="27">
        <f t="shared" si="282"/>
        <v>579.97720000000004</v>
      </c>
      <c r="F3742" s="6">
        <f t="shared" si="278"/>
        <v>753.97036000000003</v>
      </c>
      <c r="G3742" s="7">
        <f t="shared" si="279"/>
        <v>811.96807999999999</v>
      </c>
      <c r="H3742" s="8">
        <f t="shared" si="280"/>
        <v>869.96580000000006</v>
      </c>
      <c r="I3742" s="9">
        <f t="shared" si="281"/>
        <v>927.96352000000013</v>
      </c>
    </row>
    <row r="3743" spans="1:9" ht="18" x14ac:dyDescent="0.4">
      <c r="B3743" s="19" t="s">
        <v>587</v>
      </c>
      <c r="D3743" s="11">
        <v>0</v>
      </c>
      <c r="E3743" s="27">
        <f t="shared" si="282"/>
        <v>0</v>
      </c>
      <c r="F3743" s="6">
        <f t="shared" si="278"/>
        <v>0</v>
      </c>
      <c r="G3743" s="7">
        <f t="shared" si="279"/>
        <v>0</v>
      </c>
      <c r="H3743" s="8">
        <f t="shared" si="280"/>
        <v>0</v>
      </c>
      <c r="I3743" s="9">
        <f t="shared" si="281"/>
        <v>0</v>
      </c>
    </row>
    <row r="3744" spans="1:9" x14ac:dyDescent="0.35">
      <c r="A3744" s="18" t="s">
        <v>244</v>
      </c>
      <c r="B3744" s="18" t="s">
        <v>2003</v>
      </c>
      <c r="C3744" s="20">
        <v>45703</v>
      </c>
      <c r="D3744" s="11">
        <v>5240.83</v>
      </c>
      <c r="E3744" s="27">
        <f t="shared" si="282"/>
        <v>5834.0919560000002</v>
      </c>
      <c r="F3744" s="6">
        <f t="shared" si="278"/>
        <v>7584.3195428000008</v>
      </c>
      <c r="G3744" s="7">
        <f t="shared" si="279"/>
        <v>8167.7287384000001</v>
      </c>
      <c r="H3744" s="8">
        <f t="shared" si="280"/>
        <v>8751.1379340000003</v>
      </c>
      <c r="I3744" s="9">
        <f t="shared" si="281"/>
        <v>9334.5471296000014</v>
      </c>
    </row>
    <row r="3745" spans="1:9" x14ac:dyDescent="0.35">
      <c r="A3745" s="18" t="s">
        <v>1959</v>
      </c>
      <c r="B3745" s="18" t="s">
        <v>2004</v>
      </c>
      <c r="C3745" s="20">
        <v>45703</v>
      </c>
      <c r="D3745" s="11">
        <v>4512.43</v>
      </c>
      <c r="E3745" s="27">
        <f t="shared" si="282"/>
        <v>5023.2370760000003</v>
      </c>
      <c r="F3745" s="6">
        <f t="shared" si="278"/>
        <v>6530.2081988000009</v>
      </c>
      <c r="G3745" s="7">
        <f t="shared" si="279"/>
        <v>7032.5319064000005</v>
      </c>
      <c r="H3745" s="8">
        <f t="shared" si="280"/>
        <v>7534.8556140000001</v>
      </c>
      <c r="I3745" s="9">
        <f t="shared" si="281"/>
        <v>8037.1793216000005</v>
      </c>
    </row>
    <row r="3746" spans="1:9" x14ac:dyDescent="0.35">
      <c r="A3746" s="18" t="s">
        <v>1960</v>
      </c>
      <c r="B3746" s="18" t="s">
        <v>3387</v>
      </c>
      <c r="C3746" s="20">
        <v>45363</v>
      </c>
      <c r="D3746" s="11">
        <v>19670</v>
      </c>
      <c r="E3746" s="27">
        <f t="shared" si="282"/>
        <v>21896.644</v>
      </c>
      <c r="F3746" s="6">
        <f t="shared" si="278"/>
        <v>28465.637200000001</v>
      </c>
      <c r="G3746" s="7">
        <f t="shared" si="279"/>
        <v>30655.301599999999</v>
      </c>
      <c r="H3746" s="8">
        <f t="shared" si="280"/>
        <v>32844.966</v>
      </c>
      <c r="I3746" s="9">
        <f t="shared" si="281"/>
        <v>35034.630400000002</v>
      </c>
    </row>
    <row r="3747" spans="1:9" x14ac:dyDescent="0.35">
      <c r="A3747" s="18" t="s">
        <v>4975</v>
      </c>
      <c r="B3747" s="18" t="s">
        <v>4976</v>
      </c>
      <c r="C3747" s="20">
        <v>45363</v>
      </c>
      <c r="D3747" s="11">
        <v>11892</v>
      </c>
      <c r="E3747" s="27">
        <f t="shared" si="282"/>
        <v>13238.1744</v>
      </c>
      <c r="F3747" s="6">
        <f t="shared" si="278"/>
        <v>17209.62672</v>
      </c>
      <c r="G3747" s="7">
        <f t="shared" si="279"/>
        <v>18533.444159999999</v>
      </c>
      <c r="H3747" s="8">
        <f t="shared" si="280"/>
        <v>19857.261599999998</v>
      </c>
      <c r="I3747" s="9">
        <f t="shared" si="281"/>
        <v>21181.079040000001</v>
      </c>
    </row>
    <row r="3748" spans="1:9" ht="18" x14ac:dyDescent="0.4">
      <c r="B3748" s="19" t="s">
        <v>4605</v>
      </c>
      <c r="D3748" s="11">
        <v>0</v>
      </c>
      <c r="E3748" s="27">
        <f t="shared" si="282"/>
        <v>0</v>
      </c>
      <c r="F3748" s="6">
        <f t="shared" si="278"/>
        <v>0</v>
      </c>
      <c r="G3748" s="7">
        <f t="shared" si="279"/>
        <v>0</v>
      </c>
      <c r="H3748" s="8">
        <f t="shared" si="280"/>
        <v>0</v>
      </c>
      <c r="I3748" s="9">
        <f t="shared" si="281"/>
        <v>0</v>
      </c>
    </row>
    <row r="3749" spans="1:9" x14ac:dyDescent="0.35">
      <c r="A3749" s="18" t="s">
        <v>4593</v>
      </c>
      <c r="B3749" s="18" t="s">
        <v>4589</v>
      </c>
      <c r="C3749" s="20">
        <v>45726</v>
      </c>
      <c r="D3749" s="11">
        <v>58487.520000000004</v>
      </c>
      <c r="E3749" s="27">
        <f t="shared" si="282"/>
        <v>65108.307264000003</v>
      </c>
      <c r="F3749" s="6">
        <f t="shared" si="278"/>
        <v>84640.799443200012</v>
      </c>
      <c r="G3749" s="7">
        <f t="shared" si="279"/>
        <v>91151.630169600001</v>
      </c>
      <c r="H3749" s="8">
        <f t="shared" si="280"/>
        <v>97662.460896000004</v>
      </c>
      <c r="I3749" s="9">
        <f t="shared" si="281"/>
        <v>104173.29162240001</v>
      </c>
    </row>
    <row r="3750" spans="1:9" x14ac:dyDescent="0.35">
      <c r="A3750" s="18" t="s">
        <v>4594</v>
      </c>
      <c r="B3750" s="18" t="s">
        <v>4590</v>
      </c>
      <c r="C3750" s="20">
        <v>45726</v>
      </c>
      <c r="D3750" s="11">
        <v>78428.979200000002</v>
      </c>
      <c r="E3750" s="27">
        <f t="shared" si="282"/>
        <v>87307.139645440009</v>
      </c>
      <c r="F3750" s="6">
        <f t="shared" si="278"/>
        <v>113499.28153907202</v>
      </c>
      <c r="G3750" s="7">
        <f t="shared" si="279"/>
        <v>122229.99550361601</v>
      </c>
      <c r="H3750" s="8">
        <f t="shared" si="280"/>
        <v>130960.70946816001</v>
      </c>
      <c r="I3750" s="9">
        <f t="shared" si="281"/>
        <v>139691.42343270403</v>
      </c>
    </row>
    <row r="3751" spans="1:9" x14ac:dyDescent="0.35">
      <c r="A3751" s="18" t="s">
        <v>4595</v>
      </c>
      <c r="B3751" s="18" t="s">
        <v>4591</v>
      </c>
      <c r="C3751" s="20">
        <v>45726</v>
      </c>
      <c r="D3751" s="11">
        <v>90126.483200000002</v>
      </c>
      <c r="E3751" s="27">
        <f t="shared" si="282"/>
        <v>100328.80109824</v>
      </c>
      <c r="F3751" s="6">
        <f t="shared" si="278"/>
        <v>130427.44142771201</v>
      </c>
      <c r="G3751" s="7">
        <f t="shared" si="279"/>
        <v>140460.32153753599</v>
      </c>
      <c r="H3751" s="8">
        <f t="shared" si="280"/>
        <v>150493.20164735999</v>
      </c>
      <c r="I3751" s="9">
        <f t="shared" si="281"/>
        <v>160526.081757184</v>
      </c>
    </row>
    <row r="3752" spans="1:9" x14ac:dyDescent="0.35">
      <c r="A3752" s="18" t="s">
        <v>4596</v>
      </c>
      <c r="B3752" s="18" t="s">
        <v>4592</v>
      </c>
      <c r="C3752" s="20">
        <v>45726</v>
      </c>
      <c r="D3752" s="11">
        <v>99038.867200000008</v>
      </c>
      <c r="E3752" s="27">
        <f t="shared" si="282"/>
        <v>110250.06696704001</v>
      </c>
      <c r="F3752" s="6">
        <f t="shared" si="278"/>
        <v>143325.08705715201</v>
      </c>
      <c r="G3752" s="7">
        <f t="shared" si="279"/>
        <v>154350.093753856</v>
      </c>
      <c r="H3752" s="8">
        <f t="shared" si="280"/>
        <v>165375.10045056001</v>
      </c>
      <c r="I3752" s="9">
        <f t="shared" si="281"/>
        <v>176400.10714726403</v>
      </c>
    </row>
    <row r="3753" spans="1:9" x14ac:dyDescent="0.35">
      <c r="A3753" s="18" t="s">
        <v>4597</v>
      </c>
      <c r="B3753" s="18" t="s">
        <v>4588</v>
      </c>
      <c r="C3753" s="20">
        <v>45726</v>
      </c>
      <c r="D3753" s="11">
        <v>131791.87840000002</v>
      </c>
      <c r="E3753" s="27">
        <f t="shared" si="282"/>
        <v>146710.71903488002</v>
      </c>
      <c r="F3753" s="6">
        <f t="shared" si="278"/>
        <v>190723.93474534404</v>
      </c>
      <c r="G3753" s="7">
        <f t="shared" si="279"/>
        <v>205395.00664883203</v>
      </c>
      <c r="H3753" s="8">
        <f t="shared" si="280"/>
        <v>220066.07855232002</v>
      </c>
      <c r="I3753" s="9">
        <f t="shared" si="281"/>
        <v>234737.15045580803</v>
      </c>
    </row>
    <row r="3754" spans="1:9" x14ac:dyDescent="0.35">
      <c r="A3754" s="18" t="s">
        <v>4676</v>
      </c>
      <c r="B3754" s="18" t="s">
        <v>6316</v>
      </c>
      <c r="C3754" s="20">
        <v>45726</v>
      </c>
      <c r="D3754" s="11">
        <v>16532.472320000001</v>
      </c>
      <c r="E3754" s="27">
        <f t="shared" si="282"/>
        <v>18403.948186624002</v>
      </c>
      <c r="F3754" s="6">
        <f t="shared" si="278"/>
        <v>23925.132642611203</v>
      </c>
      <c r="G3754" s="7">
        <f t="shared" si="279"/>
        <v>25765.527461273603</v>
      </c>
      <c r="H3754" s="8">
        <f t="shared" si="280"/>
        <v>27605.922279936003</v>
      </c>
      <c r="I3754" s="9">
        <f t="shared" si="281"/>
        <v>29446.317098598403</v>
      </c>
    </row>
    <row r="3755" spans="1:9" x14ac:dyDescent="0.35">
      <c r="A3755" s="18" t="s">
        <v>6038</v>
      </c>
      <c r="B3755" s="18" t="s">
        <v>6040</v>
      </c>
      <c r="C3755" s="20">
        <v>45726</v>
      </c>
      <c r="D3755" s="11">
        <v>180030.1568</v>
      </c>
      <c r="E3755" s="27">
        <f t="shared" si="282"/>
        <v>200409.57054975998</v>
      </c>
      <c r="F3755" s="6">
        <f t="shared" si="278"/>
        <v>260532.441714688</v>
      </c>
      <c r="G3755" s="7">
        <f t="shared" si="279"/>
        <v>280573.39876966394</v>
      </c>
      <c r="H3755" s="8">
        <f t="shared" si="280"/>
        <v>300614.35582463996</v>
      </c>
      <c r="I3755" s="9">
        <f t="shared" si="281"/>
        <v>320655.31287961599</v>
      </c>
    </row>
    <row r="3756" spans="1:9" x14ac:dyDescent="0.35">
      <c r="A3756" s="18" t="s">
        <v>6039</v>
      </c>
      <c r="B3756" s="18" t="s">
        <v>6041</v>
      </c>
      <c r="C3756" s="20">
        <v>45726</v>
      </c>
      <c r="D3756" s="11">
        <v>236178.17600000001</v>
      </c>
      <c r="E3756" s="27">
        <f t="shared" si="282"/>
        <v>262913.54552320001</v>
      </c>
      <c r="F3756" s="6">
        <f t="shared" si="278"/>
        <v>341787.60918016004</v>
      </c>
      <c r="G3756" s="7">
        <f t="shared" si="279"/>
        <v>368078.96373248001</v>
      </c>
      <c r="H3756" s="8">
        <f t="shared" si="280"/>
        <v>394370.31828480004</v>
      </c>
      <c r="I3756" s="9">
        <f t="shared" si="281"/>
        <v>420661.67283712002</v>
      </c>
    </row>
    <row r="3757" spans="1:9" x14ac:dyDescent="0.35">
      <c r="A3757" s="18" t="s">
        <v>6243</v>
      </c>
      <c r="B3757" s="18" t="s">
        <v>6552</v>
      </c>
      <c r="C3757" s="20">
        <v>45726</v>
      </c>
      <c r="D3757" s="11">
        <v>45453.1584</v>
      </c>
      <c r="E3757" s="27">
        <f t="shared" si="282"/>
        <v>50598.455930880002</v>
      </c>
      <c r="F3757" s="6">
        <f t="shared" si="278"/>
        <v>65777.992710144012</v>
      </c>
      <c r="G3757" s="7">
        <f t="shared" si="279"/>
        <v>70837.838303231998</v>
      </c>
      <c r="H3757" s="8">
        <f t="shared" si="280"/>
        <v>75897.683896319999</v>
      </c>
      <c r="I3757" s="9">
        <f t="shared" si="281"/>
        <v>80957.529489408014</v>
      </c>
    </row>
    <row r="3758" spans="1:9" x14ac:dyDescent="0.35">
      <c r="A3758" s="18" t="s">
        <v>6244</v>
      </c>
      <c r="B3758" s="18" t="s">
        <v>6248</v>
      </c>
      <c r="C3758" s="20">
        <v>45726</v>
      </c>
      <c r="D3758" s="11">
        <v>57819.091200000003</v>
      </c>
      <c r="E3758" s="27">
        <f t="shared" si="282"/>
        <v>64364.212323839994</v>
      </c>
      <c r="F3758" s="6">
        <f t="shared" si="278"/>
        <v>83673.476020991991</v>
      </c>
      <c r="G3758" s="7">
        <f t="shared" si="279"/>
        <v>90109.897253375981</v>
      </c>
      <c r="H3758" s="8">
        <f t="shared" si="280"/>
        <v>96546.318485759984</v>
      </c>
      <c r="I3758" s="9">
        <f t="shared" si="281"/>
        <v>102982.739718144</v>
      </c>
    </row>
    <row r="3759" spans="1:9" x14ac:dyDescent="0.35">
      <c r="A3759" s="18" t="s">
        <v>6245</v>
      </c>
      <c r="B3759" s="18" t="s">
        <v>6249</v>
      </c>
      <c r="C3759" s="20">
        <v>45726</v>
      </c>
      <c r="D3759" s="11">
        <v>84667.648000000001</v>
      </c>
      <c r="E3759" s="27">
        <f t="shared" si="282"/>
        <v>94252.025753600014</v>
      </c>
      <c r="F3759" s="6">
        <f t="shared" si="278"/>
        <v>122527.63347968002</v>
      </c>
      <c r="G3759" s="7">
        <f t="shared" si="279"/>
        <v>131952.83605504001</v>
      </c>
      <c r="H3759" s="8">
        <f t="shared" si="280"/>
        <v>141378.03863040003</v>
      </c>
      <c r="I3759" s="9">
        <f t="shared" si="281"/>
        <v>150803.24120576002</v>
      </c>
    </row>
    <row r="3760" spans="1:9" x14ac:dyDescent="0.35">
      <c r="A3760" s="18" t="s">
        <v>6246</v>
      </c>
      <c r="B3760" s="18" t="s">
        <v>6250</v>
      </c>
      <c r="C3760" s="20">
        <v>45726</v>
      </c>
      <c r="D3760" s="11">
        <v>78428.979200000002</v>
      </c>
      <c r="E3760" s="27">
        <f t="shared" si="282"/>
        <v>87307.139645440009</v>
      </c>
      <c r="F3760" s="6">
        <f t="shared" si="278"/>
        <v>113499.28153907202</v>
      </c>
      <c r="G3760" s="7">
        <f t="shared" si="279"/>
        <v>122229.99550361601</v>
      </c>
      <c r="H3760" s="8">
        <f t="shared" si="280"/>
        <v>130960.70946816001</v>
      </c>
      <c r="I3760" s="9">
        <f t="shared" si="281"/>
        <v>139691.42343270403</v>
      </c>
    </row>
    <row r="3761" spans="1:9" x14ac:dyDescent="0.35">
      <c r="A3761" s="18" t="s">
        <v>6247</v>
      </c>
      <c r="B3761" s="18" t="s">
        <v>6251</v>
      </c>
      <c r="C3761" s="20">
        <v>45726</v>
      </c>
      <c r="D3761" s="11">
        <v>108285.46560000001</v>
      </c>
      <c r="E3761" s="27">
        <f t="shared" si="282"/>
        <v>120543.38030592001</v>
      </c>
      <c r="F3761" s="6">
        <f t="shared" si="278"/>
        <v>156706.39439769601</v>
      </c>
      <c r="G3761" s="7">
        <f t="shared" si="279"/>
        <v>168760.732428288</v>
      </c>
      <c r="H3761" s="8">
        <f t="shared" si="280"/>
        <v>180815.07045888001</v>
      </c>
      <c r="I3761" s="9">
        <f t="shared" si="281"/>
        <v>192869.40848947203</v>
      </c>
    </row>
    <row r="3762" spans="1:9" x14ac:dyDescent="0.35">
      <c r="A3762" s="18" t="s">
        <v>5601</v>
      </c>
      <c r="B3762" s="18" t="s">
        <v>6547</v>
      </c>
      <c r="C3762" s="20">
        <v>45726</v>
      </c>
      <c r="D3762" s="11">
        <v>93687.152000000016</v>
      </c>
      <c r="E3762" s="27">
        <f t="shared" si="282"/>
        <v>104292.53760640002</v>
      </c>
      <c r="F3762" s="6">
        <f t="shared" si="278"/>
        <v>135580.29888832002</v>
      </c>
      <c r="G3762" s="7">
        <f t="shared" si="279"/>
        <v>146009.55264896</v>
      </c>
      <c r="H3762" s="8">
        <f t="shared" si="280"/>
        <v>156438.80640960002</v>
      </c>
      <c r="I3762" s="9">
        <f t="shared" si="281"/>
        <v>166868.06017024003</v>
      </c>
    </row>
    <row r="3763" spans="1:9" x14ac:dyDescent="0.35">
      <c r="A3763" s="18" t="s">
        <v>5602</v>
      </c>
      <c r="B3763" s="18" t="s">
        <v>6548</v>
      </c>
      <c r="C3763" s="20">
        <v>45726</v>
      </c>
      <c r="D3763" s="11">
        <v>135983.48400000003</v>
      </c>
      <c r="E3763" s="27">
        <f t="shared" si="282"/>
        <v>151376.81438880003</v>
      </c>
      <c r="F3763" s="6">
        <f t="shared" si="278"/>
        <v>196789.85870544004</v>
      </c>
      <c r="G3763" s="7">
        <f t="shared" si="279"/>
        <v>211927.54014432002</v>
      </c>
      <c r="H3763" s="8">
        <f t="shared" si="280"/>
        <v>227065.22158320004</v>
      </c>
      <c r="I3763" s="9">
        <f t="shared" si="281"/>
        <v>242202.90302208008</v>
      </c>
    </row>
    <row r="3764" spans="1:9" x14ac:dyDescent="0.35">
      <c r="A3764" s="18" t="s">
        <v>5623</v>
      </c>
      <c r="B3764" s="18" t="s">
        <v>6549</v>
      </c>
      <c r="C3764" s="20">
        <v>45726</v>
      </c>
      <c r="D3764" s="11">
        <v>36868.561600000001</v>
      </c>
      <c r="E3764" s="27">
        <f t="shared" si="282"/>
        <v>41042.082773120004</v>
      </c>
      <c r="F3764" s="6">
        <f t="shared" si="278"/>
        <v>53354.707605056006</v>
      </c>
      <c r="G3764" s="7">
        <f t="shared" si="279"/>
        <v>57458.915882368005</v>
      </c>
      <c r="H3764" s="8">
        <f t="shared" si="280"/>
        <v>61563.12415968001</v>
      </c>
      <c r="I3764" s="9">
        <f t="shared" si="281"/>
        <v>65667.332436992016</v>
      </c>
    </row>
    <row r="3765" spans="1:9" x14ac:dyDescent="0.35">
      <c r="A3765" s="18" t="s">
        <v>6105</v>
      </c>
      <c r="B3765" s="18" t="s">
        <v>6550</v>
      </c>
      <c r="C3765" s="20">
        <v>45726</v>
      </c>
      <c r="D3765" s="11">
        <v>94212.040000000008</v>
      </c>
      <c r="E3765" s="27">
        <f t="shared" si="282"/>
        <v>104876.84292800001</v>
      </c>
      <c r="F3765" s="6">
        <f t="shared" si="278"/>
        <v>136339.89580640002</v>
      </c>
      <c r="G3765" s="7">
        <f t="shared" si="279"/>
        <v>146827.58009920001</v>
      </c>
      <c r="H3765" s="8">
        <f t="shared" si="280"/>
        <v>157315.26439200001</v>
      </c>
      <c r="I3765" s="9">
        <f t="shared" si="281"/>
        <v>167802.94868480004</v>
      </c>
    </row>
    <row r="3766" spans="1:9" x14ac:dyDescent="0.35">
      <c r="A3766" s="18" t="s">
        <v>6106</v>
      </c>
      <c r="B3766" s="18" t="s">
        <v>6551</v>
      </c>
      <c r="C3766" s="20">
        <v>45726</v>
      </c>
      <c r="D3766" s="11">
        <v>138388.32800000001</v>
      </c>
      <c r="E3766" s="27">
        <f t="shared" si="282"/>
        <v>154053.8867296</v>
      </c>
      <c r="F3766" s="6">
        <f t="shared" si="278"/>
        <v>200270.05274848</v>
      </c>
      <c r="G3766" s="7">
        <f t="shared" si="279"/>
        <v>215675.44142143999</v>
      </c>
      <c r="H3766" s="8">
        <f t="shared" si="280"/>
        <v>231080.83009439998</v>
      </c>
      <c r="I3766" s="9">
        <f t="shared" si="281"/>
        <v>246486.21876736</v>
      </c>
    </row>
    <row r="3767" spans="1:9" ht="18" x14ac:dyDescent="0.4">
      <c r="B3767" s="19" t="s">
        <v>4606</v>
      </c>
      <c r="D3767" s="11">
        <v>0</v>
      </c>
      <c r="E3767" s="27">
        <f t="shared" si="282"/>
        <v>0</v>
      </c>
      <c r="F3767" s="6">
        <f t="shared" si="278"/>
        <v>0</v>
      </c>
      <c r="G3767" s="7">
        <f t="shared" si="279"/>
        <v>0</v>
      </c>
      <c r="H3767" s="8">
        <f t="shared" si="280"/>
        <v>0</v>
      </c>
      <c r="I3767" s="9">
        <f t="shared" si="281"/>
        <v>0</v>
      </c>
    </row>
    <row r="3768" spans="1:9" x14ac:dyDescent="0.35">
      <c r="A3768" s="18" t="s">
        <v>4601</v>
      </c>
      <c r="B3768" s="18" t="s">
        <v>4610</v>
      </c>
      <c r="C3768" s="20">
        <v>45698</v>
      </c>
      <c r="D3768" s="11">
        <v>88893.975905280022</v>
      </c>
      <c r="E3768" s="27">
        <f t="shared" si="282"/>
        <v>98956.773977757723</v>
      </c>
      <c r="F3768" s="6">
        <f t="shared" si="278"/>
        <v>128643.80617108505</v>
      </c>
      <c r="G3768" s="7">
        <f t="shared" si="279"/>
        <v>138539.4835688608</v>
      </c>
      <c r="H3768" s="8">
        <f t="shared" si="280"/>
        <v>148435.16096663658</v>
      </c>
      <c r="I3768" s="9">
        <f t="shared" si="281"/>
        <v>158330.83836441237</v>
      </c>
    </row>
    <row r="3769" spans="1:9" x14ac:dyDescent="0.35">
      <c r="A3769" s="18" t="s">
        <v>4602</v>
      </c>
      <c r="B3769" s="18" t="s">
        <v>4611</v>
      </c>
      <c r="C3769" s="20">
        <v>45698</v>
      </c>
      <c r="D3769" s="11">
        <v>104737.21929216001</v>
      </c>
      <c r="E3769" s="27">
        <f t="shared" si="282"/>
        <v>116593.47251603252</v>
      </c>
      <c r="F3769" s="6">
        <f t="shared" ref="F3769:F3829" si="283">E3769*1.3</f>
        <v>151571.51427084228</v>
      </c>
      <c r="G3769" s="7">
        <f t="shared" ref="G3769:G3829" si="284">E3769*1.4</f>
        <v>163230.86152244551</v>
      </c>
      <c r="H3769" s="8">
        <f t="shared" ref="H3769:H3829" si="285">E3769*1.5</f>
        <v>174890.20877404878</v>
      </c>
      <c r="I3769" s="9">
        <f t="shared" ref="I3769:I3829" si="286">E3769*1.6</f>
        <v>186549.55602565204</v>
      </c>
    </row>
    <row r="3770" spans="1:9" x14ac:dyDescent="0.35">
      <c r="A3770" s="18" t="s">
        <v>4603</v>
      </c>
      <c r="B3770" s="18" t="s">
        <v>4612</v>
      </c>
      <c r="C3770" s="20">
        <v>45698</v>
      </c>
      <c r="D3770" s="11">
        <v>152767.38667008001</v>
      </c>
      <c r="E3770" s="27">
        <f t="shared" si="282"/>
        <v>170060.65484113307</v>
      </c>
      <c r="F3770" s="6">
        <f t="shared" si="283"/>
        <v>221078.85129347301</v>
      </c>
      <c r="G3770" s="7">
        <f t="shared" si="284"/>
        <v>238084.91677758627</v>
      </c>
      <c r="H3770" s="8">
        <f t="shared" si="285"/>
        <v>255090.98226169962</v>
      </c>
      <c r="I3770" s="9">
        <f t="shared" si="286"/>
        <v>272097.04774581292</v>
      </c>
    </row>
    <row r="3771" spans="1:9" x14ac:dyDescent="0.35">
      <c r="A3771" s="18" t="s">
        <v>4604</v>
      </c>
      <c r="B3771" s="18" t="s">
        <v>4613</v>
      </c>
      <c r="C3771" s="20">
        <v>45698</v>
      </c>
      <c r="D3771" s="11">
        <v>175476.95692800003</v>
      </c>
      <c r="E3771" s="27">
        <f t="shared" si="282"/>
        <v>195340.94845224964</v>
      </c>
      <c r="F3771" s="6">
        <f t="shared" si="283"/>
        <v>253943.23298792454</v>
      </c>
      <c r="G3771" s="7">
        <f t="shared" si="284"/>
        <v>273477.32783314947</v>
      </c>
      <c r="H3771" s="8">
        <f t="shared" si="285"/>
        <v>293011.42267837445</v>
      </c>
      <c r="I3771" s="9">
        <f t="shared" si="286"/>
        <v>312545.51752359944</v>
      </c>
    </row>
    <row r="3772" spans="1:9" x14ac:dyDescent="0.35">
      <c r="A3772" s="18" t="s">
        <v>5751</v>
      </c>
      <c r="B3772" s="18" t="s">
        <v>5752</v>
      </c>
      <c r="C3772" s="20">
        <v>45698</v>
      </c>
      <c r="D3772" s="11">
        <v>355442.44409856002</v>
      </c>
      <c r="E3772" s="27">
        <f t="shared" si="282"/>
        <v>395678.52877051703</v>
      </c>
      <c r="F3772" s="6">
        <f t="shared" si="283"/>
        <v>514382.08740167215</v>
      </c>
      <c r="G3772" s="7">
        <f t="shared" si="284"/>
        <v>553949.94027872384</v>
      </c>
      <c r="H3772" s="8">
        <f t="shared" si="285"/>
        <v>593517.79315577552</v>
      </c>
      <c r="I3772" s="9">
        <f t="shared" si="286"/>
        <v>633085.64603282732</v>
      </c>
    </row>
    <row r="3773" spans="1:9" x14ac:dyDescent="0.35">
      <c r="A3773" s="18" t="s">
        <v>4717</v>
      </c>
      <c r="B3773" s="18" t="s">
        <v>4719</v>
      </c>
      <c r="C3773" s="20">
        <v>45698</v>
      </c>
      <c r="D3773" s="11">
        <v>156241.22142720001</v>
      </c>
      <c r="E3773" s="27">
        <f t="shared" si="282"/>
        <v>173927.72769275907</v>
      </c>
      <c r="F3773" s="6">
        <f t="shared" si="283"/>
        <v>226106.04600058679</v>
      </c>
      <c r="G3773" s="7">
        <f t="shared" si="284"/>
        <v>243498.81876986267</v>
      </c>
      <c r="H3773" s="8">
        <f t="shared" si="285"/>
        <v>260891.59153913861</v>
      </c>
      <c r="I3773" s="9">
        <f t="shared" si="286"/>
        <v>278284.36430841452</v>
      </c>
    </row>
    <row r="3774" spans="1:9" x14ac:dyDescent="0.35">
      <c r="A3774" s="18" t="s">
        <v>4718</v>
      </c>
      <c r="B3774" s="18" t="s">
        <v>4720</v>
      </c>
      <c r="C3774" s="20">
        <v>45698</v>
      </c>
      <c r="D3774" s="11">
        <v>251320.33355520002</v>
      </c>
      <c r="E3774" s="27">
        <f t="shared" si="282"/>
        <v>279769.79531364865</v>
      </c>
      <c r="F3774" s="6">
        <f t="shared" si="283"/>
        <v>363700.73390774324</v>
      </c>
      <c r="G3774" s="7">
        <f t="shared" si="284"/>
        <v>391677.71343910811</v>
      </c>
      <c r="H3774" s="8">
        <f t="shared" si="285"/>
        <v>419654.69297047297</v>
      </c>
      <c r="I3774" s="9">
        <f t="shared" si="286"/>
        <v>447631.67250183783</v>
      </c>
    </row>
    <row r="3775" spans="1:9" x14ac:dyDescent="0.35">
      <c r="A3775" s="18" t="s">
        <v>4802</v>
      </c>
      <c r="B3775" s="18" t="s">
        <v>4803</v>
      </c>
      <c r="C3775" s="20">
        <v>45698</v>
      </c>
      <c r="D3775" s="11">
        <v>12584.3547648</v>
      </c>
      <c r="E3775" s="27">
        <f t="shared" si="282"/>
        <v>14008.903724175359</v>
      </c>
      <c r="F3775" s="6">
        <f t="shared" si="283"/>
        <v>18211.57484142797</v>
      </c>
      <c r="G3775" s="7">
        <f t="shared" si="284"/>
        <v>19612.465213845502</v>
      </c>
      <c r="H3775" s="8">
        <f t="shared" si="285"/>
        <v>21013.355586263038</v>
      </c>
      <c r="I3775" s="9">
        <f t="shared" si="286"/>
        <v>22414.245958680578</v>
      </c>
    </row>
    <row r="3776" spans="1:9" x14ac:dyDescent="0.35">
      <c r="A3776" s="18" t="s">
        <v>5692</v>
      </c>
      <c r="B3776" s="18" t="s">
        <v>5696</v>
      </c>
      <c r="C3776" s="20">
        <v>45698</v>
      </c>
      <c r="D3776" s="11">
        <v>113716.72725504002</v>
      </c>
      <c r="E3776" s="27">
        <f t="shared" si="282"/>
        <v>126589.46078031056</v>
      </c>
      <c r="F3776" s="6">
        <f t="shared" si="283"/>
        <v>164566.29901440375</v>
      </c>
      <c r="G3776" s="7">
        <f t="shared" si="284"/>
        <v>177225.24509243478</v>
      </c>
      <c r="H3776" s="8">
        <f t="shared" si="285"/>
        <v>189884.19117046584</v>
      </c>
      <c r="I3776" s="9">
        <f t="shared" si="286"/>
        <v>202543.1372484969</v>
      </c>
    </row>
    <row r="3777" spans="1:9" x14ac:dyDescent="0.35">
      <c r="A3777" s="18" t="s">
        <v>6260</v>
      </c>
      <c r="B3777" s="18" t="s">
        <v>6261</v>
      </c>
      <c r="C3777" s="20">
        <v>45698</v>
      </c>
      <c r="D3777" s="11">
        <v>146063.45714688001</v>
      </c>
      <c r="E3777" s="27">
        <f t="shared" si="282"/>
        <v>162597.84049590683</v>
      </c>
      <c r="F3777" s="6">
        <f t="shared" si="283"/>
        <v>211377.19264467887</v>
      </c>
      <c r="G3777" s="7">
        <f t="shared" si="284"/>
        <v>227636.97669426954</v>
      </c>
      <c r="H3777" s="8">
        <f t="shared" si="285"/>
        <v>243896.76074386024</v>
      </c>
      <c r="I3777" s="9">
        <f t="shared" si="286"/>
        <v>260156.54479345094</v>
      </c>
    </row>
    <row r="3778" spans="1:9" x14ac:dyDescent="0.35">
      <c r="A3778" s="18" t="s">
        <v>5693</v>
      </c>
      <c r="B3778" s="18" t="s">
        <v>5697</v>
      </c>
      <c r="C3778" s="20">
        <v>45698</v>
      </c>
      <c r="D3778" s="11">
        <v>133985.44233984</v>
      </c>
      <c r="E3778" s="27">
        <f t="shared" si="282"/>
        <v>149152.59441270991</v>
      </c>
      <c r="F3778" s="6">
        <f t="shared" si="283"/>
        <v>193898.3727365229</v>
      </c>
      <c r="G3778" s="7">
        <f t="shared" si="284"/>
        <v>208813.63217779386</v>
      </c>
      <c r="H3778" s="8">
        <f t="shared" si="285"/>
        <v>223728.89161906485</v>
      </c>
      <c r="I3778" s="9">
        <f t="shared" si="286"/>
        <v>238644.15106033586</v>
      </c>
    </row>
    <row r="3779" spans="1:9" x14ac:dyDescent="0.35">
      <c r="A3779" s="18" t="s">
        <v>5694</v>
      </c>
      <c r="B3779" s="18" t="s">
        <v>5698</v>
      </c>
      <c r="C3779" s="20">
        <v>45698</v>
      </c>
      <c r="D3779" s="11">
        <v>195416.41426944002</v>
      </c>
      <c r="E3779" s="27">
        <f t="shared" si="282"/>
        <v>217537.55236474064</v>
      </c>
      <c r="F3779" s="6">
        <f t="shared" si="283"/>
        <v>282798.81807416282</v>
      </c>
      <c r="G3779" s="7">
        <f t="shared" si="284"/>
        <v>304552.57331063686</v>
      </c>
      <c r="H3779" s="8">
        <f t="shared" si="285"/>
        <v>326306.32854711096</v>
      </c>
      <c r="I3779" s="9">
        <f t="shared" si="286"/>
        <v>348060.08378358505</v>
      </c>
    </row>
    <row r="3780" spans="1:9" x14ac:dyDescent="0.35">
      <c r="A3780" s="18" t="s">
        <v>5695</v>
      </c>
      <c r="B3780" s="18" t="s">
        <v>5699</v>
      </c>
      <c r="C3780" s="20">
        <v>45698</v>
      </c>
      <c r="D3780" s="11">
        <v>224283.83857152</v>
      </c>
      <c r="E3780" s="27">
        <f t="shared" si="282"/>
        <v>249672.76909781605</v>
      </c>
      <c r="F3780" s="6">
        <f t="shared" si="283"/>
        <v>324574.59982716088</v>
      </c>
      <c r="G3780" s="7">
        <f t="shared" si="284"/>
        <v>349541.87673694245</v>
      </c>
      <c r="H3780" s="8">
        <f t="shared" si="285"/>
        <v>374509.15364672407</v>
      </c>
      <c r="I3780" s="9">
        <f t="shared" si="286"/>
        <v>399476.43055650569</v>
      </c>
    </row>
    <row r="3781" spans="1:9" x14ac:dyDescent="0.35">
      <c r="A3781" s="18" t="s">
        <v>5754</v>
      </c>
      <c r="B3781" s="18" t="s">
        <v>5757</v>
      </c>
      <c r="C3781" s="20">
        <v>45698</v>
      </c>
      <c r="D3781" s="11">
        <v>498697.99639296008</v>
      </c>
      <c r="E3781" s="27">
        <f t="shared" si="282"/>
        <v>555150.60958464316</v>
      </c>
      <c r="F3781" s="6">
        <f t="shared" si="283"/>
        <v>721695.79246003611</v>
      </c>
      <c r="G3781" s="7">
        <f t="shared" si="284"/>
        <v>777210.8534185004</v>
      </c>
      <c r="H3781" s="8">
        <f t="shared" si="285"/>
        <v>832725.91437696479</v>
      </c>
      <c r="I3781" s="9">
        <f t="shared" si="286"/>
        <v>888240.97533542907</v>
      </c>
    </row>
    <row r="3782" spans="1:9" x14ac:dyDescent="0.35">
      <c r="A3782" s="18" t="s">
        <v>5755</v>
      </c>
      <c r="B3782" s="18" t="s">
        <v>5756</v>
      </c>
      <c r="C3782" s="20">
        <v>45698</v>
      </c>
      <c r="D3782" s="11">
        <v>682559.79617280012</v>
      </c>
      <c r="E3782" s="27">
        <f t="shared" si="282"/>
        <v>759825.56509956112</v>
      </c>
      <c r="F3782" s="6">
        <f t="shared" si="283"/>
        <v>987773.23462942953</v>
      </c>
      <c r="G3782" s="7">
        <f t="shared" si="284"/>
        <v>1063755.7911393854</v>
      </c>
      <c r="H3782" s="8">
        <f t="shared" si="285"/>
        <v>1139738.3476493417</v>
      </c>
      <c r="I3782" s="9">
        <f t="shared" si="286"/>
        <v>1215720.9041592979</v>
      </c>
    </row>
    <row r="3783" spans="1:9" x14ac:dyDescent="0.35">
      <c r="A3783" s="18" t="s">
        <v>6437</v>
      </c>
      <c r="B3783" s="18" t="s">
        <v>6438</v>
      </c>
      <c r="C3783" s="20">
        <v>45698</v>
      </c>
      <c r="D3783" s="11">
        <v>624671.18837760005</v>
      </c>
      <c r="E3783" s="27">
        <f t="shared" si="282"/>
        <v>695383.96690194437</v>
      </c>
      <c r="F3783" s="6">
        <f t="shared" si="283"/>
        <v>903999.15697252774</v>
      </c>
      <c r="G3783" s="7">
        <f t="shared" si="284"/>
        <v>973537.553662722</v>
      </c>
      <c r="H3783" s="8">
        <f t="shared" si="285"/>
        <v>1043075.9503529165</v>
      </c>
      <c r="I3783" s="9">
        <f t="shared" si="286"/>
        <v>1112614.347043111</v>
      </c>
    </row>
    <row r="3784" spans="1:9" x14ac:dyDescent="0.35">
      <c r="A3784" s="18" t="s">
        <v>5599</v>
      </c>
      <c r="B3784" s="18" t="s">
        <v>6588</v>
      </c>
      <c r="C3784" s="20">
        <v>45698</v>
      </c>
      <c r="D3784" s="11">
        <v>252877.71600000001</v>
      </c>
      <c r="E3784" s="27">
        <f t="shared" si="282"/>
        <v>281503.47345120006</v>
      </c>
      <c r="F3784" s="6">
        <f t="shared" si="283"/>
        <v>365954.51548656006</v>
      </c>
      <c r="G3784" s="7">
        <f t="shared" si="284"/>
        <v>394104.86283168005</v>
      </c>
      <c r="H3784" s="8">
        <f t="shared" si="285"/>
        <v>422255.21017680009</v>
      </c>
      <c r="I3784" s="9">
        <f t="shared" si="286"/>
        <v>450405.55752192013</v>
      </c>
    </row>
    <row r="3785" spans="1:9" x14ac:dyDescent="0.35">
      <c r="A3785" s="18" t="s">
        <v>5600</v>
      </c>
      <c r="B3785" s="18" t="s">
        <v>6589</v>
      </c>
      <c r="C3785" s="20">
        <v>45698</v>
      </c>
      <c r="D3785" s="11">
        <v>174556.2</v>
      </c>
      <c r="E3785" s="27">
        <f t="shared" si="282"/>
        <v>194315.96184</v>
      </c>
      <c r="F3785" s="6">
        <f t="shared" si="283"/>
        <v>252610.75039200002</v>
      </c>
      <c r="G3785" s="7">
        <f t="shared" si="284"/>
        <v>272042.34657599998</v>
      </c>
      <c r="H3785" s="8">
        <f t="shared" si="285"/>
        <v>291473.94276000001</v>
      </c>
      <c r="I3785" s="9">
        <f t="shared" si="286"/>
        <v>310905.53894400003</v>
      </c>
    </row>
    <row r="3786" spans="1:9" ht="18" x14ac:dyDescent="0.4">
      <c r="B3786" s="19" t="s">
        <v>6713</v>
      </c>
      <c r="D3786" s="11">
        <v>0</v>
      </c>
      <c r="E3786" s="27">
        <f t="shared" si="282"/>
        <v>0</v>
      </c>
      <c r="F3786" s="6">
        <f t="shared" si="283"/>
        <v>0</v>
      </c>
      <c r="G3786" s="7">
        <f t="shared" si="284"/>
        <v>0</v>
      </c>
      <c r="H3786" s="8">
        <f t="shared" si="285"/>
        <v>0</v>
      </c>
      <c r="I3786" s="9">
        <f t="shared" si="286"/>
        <v>0</v>
      </c>
    </row>
    <row r="3787" spans="1:9" x14ac:dyDescent="0.35">
      <c r="A3787" s="18" t="s">
        <v>4598</v>
      </c>
      <c r="B3787" s="18" t="s">
        <v>4607</v>
      </c>
      <c r="C3787" s="20">
        <v>45698</v>
      </c>
      <c r="D3787" s="11">
        <v>76947.962799999994</v>
      </c>
      <c r="E3787" s="27">
        <f t="shared" si="282"/>
        <v>85658.47218895999</v>
      </c>
      <c r="F3787" s="6">
        <f t="shared" si="283"/>
        <v>111356.01384564799</v>
      </c>
      <c r="G3787" s="7">
        <f t="shared" si="284"/>
        <v>119921.86106454398</v>
      </c>
      <c r="H3787" s="8">
        <f t="shared" si="285"/>
        <v>128487.70828343998</v>
      </c>
      <c r="I3787" s="9">
        <f t="shared" si="286"/>
        <v>137053.55550233598</v>
      </c>
    </row>
    <row r="3788" spans="1:9" x14ac:dyDescent="0.35">
      <c r="A3788" s="18" t="s">
        <v>4599</v>
      </c>
      <c r="B3788" s="18" t="s">
        <v>4608</v>
      </c>
      <c r="C3788" s="20">
        <v>45698</v>
      </c>
      <c r="D3788" s="11">
        <v>83179.174400000004</v>
      </c>
      <c r="E3788" s="27">
        <f t="shared" si="282"/>
        <v>92595.056942080002</v>
      </c>
      <c r="F3788" s="6">
        <f t="shared" si="283"/>
        <v>120373.57402470401</v>
      </c>
      <c r="G3788" s="7">
        <f t="shared" si="284"/>
        <v>129633.07971891199</v>
      </c>
      <c r="H3788" s="8">
        <f t="shared" si="285"/>
        <v>138892.58541311999</v>
      </c>
      <c r="I3788" s="9">
        <f t="shared" si="286"/>
        <v>148152.09110732801</v>
      </c>
    </row>
    <row r="3789" spans="1:9" x14ac:dyDescent="0.35">
      <c r="A3789" s="18" t="s">
        <v>4600</v>
      </c>
      <c r="B3789" s="18" t="s">
        <v>4609</v>
      </c>
      <c r="C3789" s="20">
        <v>45698</v>
      </c>
      <c r="D3789" s="11">
        <v>92292.696800000005</v>
      </c>
      <c r="E3789" s="27">
        <f t="shared" si="282"/>
        <v>102740.23007776</v>
      </c>
      <c r="F3789" s="6">
        <f t="shared" si="283"/>
        <v>133562.29910108802</v>
      </c>
      <c r="G3789" s="7">
        <f t="shared" si="284"/>
        <v>143836.322108864</v>
      </c>
      <c r="H3789" s="8">
        <f t="shared" si="285"/>
        <v>154110.34511664</v>
      </c>
      <c r="I3789" s="9">
        <f t="shared" si="286"/>
        <v>164384.36812441601</v>
      </c>
    </row>
    <row r="3790" spans="1:9" x14ac:dyDescent="0.35">
      <c r="A3790" s="18" t="s">
        <v>5596</v>
      </c>
      <c r="B3790" s="18" t="s">
        <v>6716</v>
      </c>
      <c r="C3790" s="20">
        <v>45698</v>
      </c>
      <c r="D3790" s="11">
        <v>69216</v>
      </c>
      <c r="E3790" s="27">
        <f t="shared" si="282"/>
        <v>77051.251199999999</v>
      </c>
      <c r="F3790" s="6">
        <f t="shared" si="283"/>
        <v>100166.62656</v>
      </c>
      <c r="G3790" s="7">
        <f t="shared" si="284"/>
        <v>107871.75167999999</v>
      </c>
      <c r="H3790" s="8">
        <f t="shared" si="285"/>
        <v>115576.8768</v>
      </c>
      <c r="I3790" s="9">
        <f t="shared" si="286"/>
        <v>123282.00192000001</v>
      </c>
    </row>
    <row r="3791" spans="1:9" x14ac:dyDescent="0.35">
      <c r="A3791" s="18" t="s">
        <v>5597</v>
      </c>
      <c r="B3791" s="18" t="s">
        <v>6715</v>
      </c>
      <c r="C3791" s="20">
        <v>45698</v>
      </c>
      <c r="D3791" s="11">
        <v>89123.839999999997</v>
      </c>
      <c r="E3791" s="27">
        <f t="shared" si="282"/>
        <v>99212.658687999996</v>
      </c>
      <c r="F3791" s="6">
        <f t="shared" si="283"/>
        <v>128976.45629440001</v>
      </c>
      <c r="G3791" s="7">
        <f t="shared" si="284"/>
        <v>138897.72216319997</v>
      </c>
      <c r="H3791" s="8">
        <f t="shared" si="285"/>
        <v>148818.98803199999</v>
      </c>
      <c r="I3791" s="9">
        <f t="shared" si="286"/>
        <v>158740.25390080002</v>
      </c>
    </row>
    <row r="3792" spans="1:9" x14ac:dyDescent="0.35">
      <c r="A3792" s="18" t="s">
        <v>5598</v>
      </c>
      <c r="B3792" s="18" t="s">
        <v>6717</v>
      </c>
      <c r="C3792" s="20">
        <v>45698</v>
      </c>
      <c r="D3792" s="11">
        <v>111141.12000000001</v>
      </c>
      <c r="E3792" s="27">
        <f t="shared" si="282"/>
        <v>123722.29478400001</v>
      </c>
      <c r="F3792" s="6">
        <f t="shared" si="283"/>
        <v>160838.98321920002</v>
      </c>
      <c r="G3792" s="7">
        <f t="shared" si="284"/>
        <v>173211.21269760001</v>
      </c>
      <c r="H3792" s="8">
        <f t="shared" si="285"/>
        <v>185583.44217600001</v>
      </c>
      <c r="I3792" s="9">
        <f t="shared" si="286"/>
        <v>197955.67165440004</v>
      </c>
    </row>
    <row r="3793" spans="1:9" x14ac:dyDescent="0.35">
      <c r="A3793" s="18" t="s">
        <v>6714</v>
      </c>
      <c r="B3793" s="18" t="s">
        <v>6718</v>
      </c>
      <c r="C3793" s="20">
        <v>45698</v>
      </c>
      <c r="D3793" s="11">
        <v>125116.16</v>
      </c>
      <c r="E3793" s="27">
        <f t="shared" si="282"/>
        <v>139279.30931200003</v>
      </c>
      <c r="F3793" s="6">
        <f t="shared" si="283"/>
        <v>181063.10210560003</v>
      </c>
      <c r="G3793" s="7">
        <f t="shared" si="284"/>
        <v>194991.03303680001</v>
      </c>
      <c r="H3793" s="8">
        <f t="shared" si="285"/>
        <v>208918.96396800003</v>
      </c>
      <c r="I3793" s="9">
        <f t="shared" si="286"/>
        <v>222846.89489920007</v>
      </c>
    </row>
    <row r="3794" spans="1:9" ht="18" x14ac:dyDescent="0.4">
      <c r="B3794" s="19" t="s">
        <v>5588</v>
      </c>
      <c r="D3794" s="11">
        <v>0</v>
      </c>
      <c r="E3794" s="27">
        <f t="shared" ref="E3794:E3857" si="287">D3794*1.21*0.92</f>
        <v>0</v>
      </c>
      <c r="F3794" s="6">
        <f t="shared" si="283"/>
        <v>0</v>
      </c>
      <c r="G3794" s="7">
        <f t="shared" si="284"/>
        <v>0</v>
      </c>
      <c r="H3794" s="8">
        <f t="shared" si="285"/>
        <v>0</v>
      </c>
      <c r="I3794" s="9">
        <f t="shared" si="286"/>
        <v>0</v>
      </c>
    </row>
    <row r="3795" spans="1:9" x14ac:dyDescent="0.35">
      <c r="A3795" s="18" t="s">
        <v>5585</v>
      </c>
      <c r="B3795" s="18" t="s">
        <v>5589</v>
      </c>
      <c r="C3795" s="20">
        <v>45363</v>
      </c>
      <c r="D3795" s="11">
        <v>63061.493017748347</v>
      </c>
      <c r="E3795" s="27">
        <f t="shared" si="287"/>
        <v>70200.054027357459</v>
      </c>
      <c r="F3795" s="6">
        <f t="shared" si="283"/>
        <v>91260.070235564694</v>
      </c>
      <c r="G3795" s="7">
        <f t="shared" si="284"/>
        <v>98280.075638300434</v>
      </c>
      <c r="H3795" s="8">
        <f t="shared" si="285"/>
        <v>105300.08104103619</v>
      </c>
      <c r="I3795" s="9">
        <f t="shared" si="286"/>
        <v>112320.08644377194</v>
      </c>
    </row>
    <row r="3796" spans="1:9" x14ac:dyDescent="0.35">
      <c r="A3796" s="18" t="s">
        <v>5586</v>
      </c>
      <c r="B3796" s="18" t="s">
        <v>5590</v>
      </c>
      <c r="C3796" s="20">
        <v>45363</v>
      </c>
      <c r="D3796" s="11">
        <v>69770.162487721595</v>
      </c>
      <c r="E3796" s="27">
        <f t="shared" si="287"/>
        <v>77668.144881331682</v>
      </c>
      <c r="F3796" s="6">
        <f t="shared" si="283"/>
        <v>100968.58834573119</v>
      </c>
      <c r="G3796" s="7">
        <f t="shared" si="284"/>
        <v>108735.40283386435</v>
      </c>
      <c r="H3796" s="8">
        <f t="shared" si="285"/>
        <v>116502.21732199752</v>
      </c>
      <c r="I3796" s="9">
        <f t="shared" si="286"/>
        <v>124269.03181013069</v>
      </c>
    </row>
    <row r="3797" spans="1:9" x14ac:dyDescent="0.35">
      <c r="A3797" s="18" t="s">
        <v>5587</v>
      </c>
      <c r="B3797" s="18" t="s">
        <v>5591</v>
      </c>
      <c r="C3797" s="20">
        <v>45363</v>
      </c>
      <c r="D3797" s="11">
        <v>78267.810483020963</v>
      </c>
      <c r="E3797" s="27">
        <f t="shared" si="287"/>
        <v>87127.72662969894</v>
      </c>
      <c r="F3797" s="6">
        <f t="shared" si="283"/>
        <v>113266.04461860862</v>
      </c>
      <c r="G3797" s="7">
        <f t="shared" si="284"/>
        <v>121978.81728157851</v>
      </c>
      <c r="H3797" s="8">
        <f t="shared" si="285"/>
        <v>130691.58994454841</v>
      </c>
      <c r="I3797" s="9">
        <f t="shared" si="286"/>
        <v>139404.3626075183</v>
      </c>
    </row>
    <row r="3798" spans="1:9" ht="15.75" customHeight="1" x14ac:dyDescent="0.4">
      <c r="B3798" s="19" t="s">
        <v>816</v>
      </c>
      <c r="D3798" s="11">
        <v>0</v>
      </c>
      <c r="E3798" s="27">
        <f t="shared" si="287"/>
        <v>0</v>
      </c>
      <c r="F3798" s="6">
        <f t="shared" si="283"/>
        <v>0</v>
      </c>
      <c r="G3798" s="7">
        <f t="shared" si="284"/>
        <v>0</v>
      </c>
      <c r="H3798" s="8">
        <f t="shared" si="285"/>
        <v>0</v>
      </c>
      <c r="I3798" s="9">
        <f t="shared" si="286"/>
        <v>0</v>
      </c>
    </row>
    <row r="3799" spans="1:9" x14ac:dyDescent="0.35">
      <c r="A3799" s="18" t="s">
        <v>1964</v>
      </c>
      <c r="B3799" s="18" t="s">
        <v>2005</v>
      </c>
      <c r="C3799" s="20">
        <v>45544</v>
      </c>
      <c r="D3799" s="11">
        <v>5233.8</v>
      </c>
      <c r="E3799" s="27">
        <f t="shared" si="287"/>
        <v>5826.2661600000001</v>
      </c>
      <c r="F3799" s="6">
        <f t="shared" si="283"/>
        <v>7574.1460080000006</v>
      </c>
      <c r="G3799" s="7">
        <f t="shared" si="284"/>
        <v>8156.7726239999993</v>
      </c>
      <c r="H3799" s="8">
        <f t="shared" si="285"/>
        <v>8739.3992400000006</v>
      </c>
      <c r="I3799" s="9">
        <f t="shared" si="286"/>
        <v>9322.0258560000002</v>
      </c>
    </row>
    <row r="3800" spans="1:9" x14ac:dyDescent="0.35">
      <c r="A3800" s="18" t="s">
        <v>1965</v>
      </c>
      <c r="B3800" s="18" t="s">
        <v>2006</v>
      </c>
      <c r="C3800" s="20">
        <v>45544</v>
      </c>
      <c r="D3800" s="11">
        <v>9073.0400000000009</v>
      </c>
      <c r="E3800" s="27">
        <f t="shared" si="287"/>
        <v>10100.108128000002</v>
      </c>
      <c r="F3800" s="6">
        <f t="shared" si="283"/>
        <v>13130.140566400003</v>
      </c>
      <c r="G3800" s="7">
        <f t="shared" si="284"/>
        <v>14140.151379200002</v>
      </c>
      <c r="H3800" s="8">
        <f t="shared" si="285"/>
        <v>15150.162192000003</v>
      </c>
      <c r="I3800" s="9">
        <f t="shared" si="286"/>
        <v>16160.173004800003</v>
      </c>
    </row>
    <row r="3801" spans="1:9" x14ac:dyDescent="0.35">
      <c r="A3801" s="18" t="s">
        <v>1966</v>
      </c>
      <c r="B3801" s="18" t="s">
        <v>2007</v>
      </c>
      <c r="C3801" s="20">
        <v>45544</v>
      </c>
      <c r="D3801" s="11">
        <v>11619.45</v>
      </c>
      <c r="E3801" s="27">
        <f t="shared" si="287"/>
        <v>12934.77174</v>
      </c>
      <c r="F3801" s="6">
        <f t="shared" si="283"/>
        <v>16815.203261999999</v>
      </c>
      <c r="G3801" s="7">
        <f t="shared" si="284"/>
        <v>18108.680435999999</v>
      </c>
      <c r="H3801" s="8">
        <f t="shared" si="285"/>
        <v>19402.157610000002</v>
      </c>
      <c r="I3801" s="9">
        <f t="shared" si="286"/>
        <v>20695.634784000002</v>
      </c>
    </row>
    <row r="3802" spans="1:9" x14ac:dyDescent="0.35">
      <c r="A3802" s="18" t="s">
        <v>1967</v>
      </c>
      <c r="B3802" s="18" t="s">
        <v>2008</v>
      </c>
      <c r="C3802" s="20">
        <v>45544</v>
      </c>
      <c r="D3802" s="11">
        <v>14608.620000000003</v>
      </c>
      <c r="E3802" s="27">
        <f t="shared" si="287"/>
        <v>16262.315784000002</v>
      </c>
      <c r="F3802" s="6">
        <f t="shared" si="283"/>
        <v>21141.010519200005</v>
      </c>
      <c r="G3802" s="7">
        <f t="shared" si="284"/>
        <v>22767.242097600003</v>
      </c>
      <c r="H3802" s="8">
        <f t="shared" si="285"/>
        <v>24393.473676000001</v>
      </c>
      <c r="I3802" s="9">
        <f t="shared" si="286"/>
        <v>26019.705254400003</v>
      </c>
    </row>
    <row r="3803" spans="1:9" x14ac:dyDescent="0.35">
      <c r="A3803" s="18" t="s">
        <v>1968</v>
      </c>
      <c r="B3803" s="18" t="s">
        <v>2009</v>
      </c>
      <c r="C3803" s="20">
        <v>45544</v>
      </c>
      <c r="D3803" s="11">
        <v>16727.845680000002</v>
      </c>
      <c r="E3803" s="27">
        <f t="shared" si="287"/>
        <v>18621.437810976004</v>
      </c>
      <c r="F3803" s="6">
        <f t="shared" si="283"/>
        <v>24207.869154268807</v>
      </c>
      <c r="G3803" s="7">
        <f t="shared" si="284"/>
        <v>26070.012935366405</v>
      </c>
      <c r="H3803" s="8">
        <f t="shared" si="285"/>
        <v>27932.156716464007</v>
      </c>
      <c r="I3803" s="9">
        <f t="shared" si="286"/>
        <v>29794.300497561606</v>
      </c>
    </row>
    <row r="3804" spans="1:9" x14ac:dyDescent="0.35">
      <c r="A3804" s="18" t="s">
        <v>1969</v>
      </c>
      <c r="B3804" s="18" t="s">
        <v>2010</v>
      </c>
      <c r="C3804" s="20">
        <v>45544</v>
      </c>
      <c r="D3804" s="11">
        <v>21589.74324</v>
      </c>
      <c r="E3804" s="27">
        <f t="shared" si="287"/>
        <v>24033.702174768001</v>
      </c>
      <c r="F3804" s="6">
        <f t="shared" si="283"/>
        <v>31243.812827198402</v>
      </c>
      <c r="G3804" s="7">
        <f t="shared" si="284"/>
        <v>33647.183044675199</v>
      </c>
      <c r="H3804" s="8">
        <f t="shared" si="285"/>
        <v>36050.553262152003</v>
      </c>
      <c r="I3804" s="9">
        <f t="shared" si="286"/>
        <v>38453.9234796288</v>
      </c>
    </row>
    <row r="3805" spans="1:9" ht="15.75" customHeight="1" x14ac:dyDescent="0.4">
      <c r="B3805" s="19" t="s">
        <v>2615</v>
      </c>
      <c r="D3805" s="11">
        <v>0</v>
      </c>
      <c r="E3805" s="27">
        <f t="shared" si="287"/>
        <v>0</v>
      </c>
      <c r="F3805" s="6">
        <f t="shared" si="283"/>
        <v>0</v>
      </c>
      <c r="G3805" s="7">
        <f t="shared" si="284"/>
        <v>0</v>
      </c>
      <c r="H3805" s="8">
        <f t="shared" si="285"/>
        <v>0</v>
      </c>
      <c r="I3805" s="9">
        <f t="shared" si="286"/>
        <v>0</v>
      </c>
    </row>
    <row r="3806" spans="1:9" ht="18" x14ac:dyDescent="0.4">
      <c r="A3806" s="18" t="s">
        <v>1970</v>
      </c>
      <c r="B3806" s="18" t="s">
        <v>6024</v>
      </c>
      <c r="C3806" s="20">
        <v>45642</v>
      </c>
      <c r="D3806" s="11">
        <v>3650.4</v>
      </c>
      <c r="E3806" s="27">
        <f t="shared" si="287"/>
        <v>4063.6252800000007</v>
      </c>
      <c r="F3806" s="6">
        <f t="shared" si="283"/>
        <v>5282.712864000001</v>
      </c>
      <c r="G3806" s="7">
        <f t="shared" si="284"/>
        <v>5689.0753920000006</v>
      </c>
      <c r="H3806" s="8">
        <f t="shared" si="285"/>
        <v>6095.4379200000012</v>
      </c>
      <c r="I3806" s="9">
        <f t="shared" si="286"/>
        <v>6501.8004480000018</v>
      </c>
    </row>
    <row r="3807" spans="1:9" ht="18" x14ac:dyDescent="0.4">
      <c r="A3807" s="18" t="s">
        <v>1971</v>
      </c>
      <c r="B3807" s="18" t="s">
        <v>6025</v>
      </c>
      <c r="C3807" s="20">
        <v>45642</v>
      </c>
      <c r="D3807" s="11">
        <v>3650.4</v>
      </c>
      <c r="E3807" s="27">
        <f t="shared" si="287"/>
        <v>4063.6252800000007</v>
      </c>
      <c r="F3807" s="6">
        <f t="shared" si="283"/>
        <v>5282.712864000001</v>
      </c>
      <c r="G3807" s="7">
        <f t="shared" si="284"/>
        <v>5689.0753920000006</v>
      </c>
      <c r="H3807" s="8">
        <f t="shared" si="285"/>
        <v>6095.4379200000012</v>
      </c>
      <c r="I3807" s="9">
        <f t="shared" si="286"/>
        <v>6501.8004480000018</v>
      </c>
    </row>
    <row r="3808" spans="1:9" ht="18" x14ac:dyDescent="0.4">
      <c r="A3808" s="18" t="s">
        <v>1972</v>
      </c>
      <c r="B3808" s="18" t="s">
        <v>6026</v>
      </c>
      <c r="C3808" s="20">
        <v>45642</v>
      </c>
      <c r="D3808" s="11">
        <v>3650.4</v>
      </c>
      <c r="E3808" s="27">
        <f t="shared" si="287"/>
        <v>4063.6252800000007</v>
      </c>
      <c r="F3808" s="6">
        <f t="shared" si="283"/>
        <v>5282.712864000001</v>
      </c>
      <c r="G3808" s="7">
        <f t="shared" si="284"/>
        <v>5689.0753920000006</v>
      </c>
      <c r="H3808" s="8">
        <f t="shared" si="285"/>
        <v>6095.4379200000012</v>
      </c>
      <c r="I3808" s="9">
        <f t="shared" si="286"/>
        <v>6501.8004480000018</v>
      </c>
    </row>
    <row r="3809" spans="1:9" ht="18" x14ac:dyDescent="0.4">
      <c r="A3809" s="18" t="s">
        <v>1973</v>
      </c>
      <c r="B3809" s="18" t="s">
        <v>6027</v>
      </c>
      <c r="C3809" s="20">
        <v>45363</v>
      </c>
      <c r="D3809" s="11">
        <v>315.8033598720001</v>
      </c>
      <c r="E3809" s="27">
        <f t="shared" si="287"/>
        <v>351.55230020951052</v>
      </c>
      <c r="F3809" s="6">
        <f t="shared" si="283"/>
        <v>457.0179902723637</v>
      </c>
      <c r="G3809" s="7">
        <f t="shared" si="284"/>
        <v>492.17322029331467</v>
      </c>
      <c r="H3809" s="8">
        <f t="shared" si="285"/>
        <v>527.32845031426575</v>
      </c>
      <c r="I3809" s="9">
        <f t="shared" si="286"/>
        <v>562.48368033521683</v>
      </c>
    </row>
    <row r="3810" spans="1:9" ht="18" x14ac:dyDescent="0.4">
      <c r="A3810" s="18" t="s">
        <v>1974</v>
      </c>
      <c r="B3810" s="18" t="s">
        <v>6028</v>
      </c>
      <c r="C3810" s="20">
        <v>45688</v>
      </c>
      <c r="D3810" s="11">
        <v>1148.5999999999999</v>
      </c>
      <c r="E3810" s="27">
        <f t="shared" si="287"/>
        <v>1278.6215199999999</v>
      </c>
      <c r="F3810" s="6">
        <f t="shared" si="283"/>
        <v>1662.2079759999999</v>
      </c>
      <c r="G3810" s="7">
        <f t="shared" si="284"/>
        <v>1790.0701279999998</v>
      </c>
      <c r="H3810" s="8">
        <f t="shared" si="285"/>
        <v>1917.93228</v>
      </c>
      <c r="I3810" s="9">
        <f t="shared" si="286"/>
        <v>2045.7944319999999</v>
      </c>
    </row>
    <row r="3811" spans="1:9" ht="18" x14ac:dyDescent="0.4">
      <c r="A3811" s="18" t="s">
        <v>1975</v>
      </c>
      <c r="B3811" s="18" t="s">
        <v>6029</v>
      </c>
      <c r="C3811" s="20">
        <v>45363</v>
      </c>
      <c r="D3811" s="11">
        <v>378.96403184640002</v>
      </c>
      <c r="E3811" s="27">
        <f t="shared" si="287"/>
        <v>421.86276025141251</v>
      </c>
      <c r="F3811" s="6">
        <f t="shared" si="283"/>
        <v>548.42158832683629</v>
      </c>
      <c r="G3811" s="7">
        <f t="shared" si="284"/>
        <v>590.60786435197747</v>
      </c>
      <c r="H3811" s="8">
        <f t="shared" si="285"/>
        <v>632.79414037711877</v>
      </c>
      <c r="I3811" s="9">
        <f t="shared" si="286"/>
        <v>674.98041640226006</v>
      </c>
    </row>
    <row r="3812" spans="1:9" ht="18" x14ac:dyDescent="0.4">
      <c r="A3812" s="18" t="s">
        <v>1976</v>
      </c>
      <c r="B3812" s="18" t="s">
        <v>6030</v>
      </c>
      <c r="C3812" s="20">
        <v>45688</v>
      </c>
      <c r="D3812" s="11">
        <v>1465.85</v>
      </c>
      <c r="E3812" s="27">
        <f t="shared" si="287"/>
        <v>1631.7842199999998</v>
      </c>
      <c r="F3812" s="6">
        <f t="shared" si="283"/>
        <v>2121.3194859999999</v>
      </c>
      <c r="G3812" s="7">
        <f t="shared" si="284"/>
        <v>2284.4979079999994</v>
      </c>
      <c r="H3812" s="8">
        <f t="shared" si="285"/>
        <v>2447.6763299999998</v>
      </c>
      <c r="I3812" s="9">
        <f t="shared" si="286"/>
        <v>2610.8547519999997</v>
      </c>
    </row>
    <row r="3813" spans="1:9" ht="18" x14ac:dyDescent="0.4">
      <c r="A3813" s="18" t="s">
        <v>1977</v>
      </c>
      <c r="B3813" s="18" t="s">
        <v>6031</v>
      </c>
      <c r="C3813" s="20">
        <v>45363</v>
      </c>
      <c r="D3813" s="11">
        <v>1777.5217684224003</v>
      </c>
      <c r="E3813" s="27">
        <f t="shared" si="287"/>
        <v>1978.7372326078162</v>
      </c>
      <c r="F3813" s="6">
        <f t="shared" si="283"/>
        <v>2572.3584023901612</v>
      </c>
      <c r="G3813" s="7">
        <f t="shared" si="284"/>
        <v>2770.2321256509426</v>
      </c>
      <c r="H3813" s="8">
        <f t="shared" si="285"/>
        <v>2968.105848911724</v>
      </c>
      <c r="I3813" s="9">
        <f t="shared" si="286"/>
        <v>3165.9795721725059</v>
      </c>
    </row>
    <row r="3814" spans="1:9" ht="18" x14ac:dyDescent="0.4">
      <c r="A3814" s="18" t="s">
        <v>1978</v>
      </c>
      <c r="B3814" s="18" t="s">
        <v>6032</v>
      </c>
      <c r="C3814" s="20">
        <v>45363</v>
      </c>
      <c r="D3814" s="11">
        <v>0</v>
      </c>
      <c r="E3814" s="27">
        <f t="shared" si="287"/>
        <v>0</v>
      </c>
      <c r="F3814" s="6">
        <f t="shared" si="283"/>
        <v>0</v>
      </c>
      <c r="G3814" s="7">
        <f t="shared" si="284"/>
        <v>0</v>
      </c>
      <c r="H3814" s="8">
        <f t="shared" si="285"/>
        <v>0</v>
      </c>
      <c r="I3814" s="9">
        <f t="shared" si="286"/>
        <v>0</v>
      </c>
    </row>
    <row r="3815" spans="1:9" ht="18" x14ac:dyDescent="0.4">
      <c r="A3815" s="18" t="s">
        <v>251</v>
      </c>
      <c r="B3815" s="18" t="s">
        <v>6033</v>
      </c>
      <c r="C3815" s="20">
        <v>45363</v>
      </c>
      <c r="D3815" s="11">
        <v>0</v>
      </c>
      <c r="E3815" s="27">
        <f t="shared" si="287"/>
        <v>0</v>
      </c>
      <c r="F3815" s="6">
        <f t="shared" si="283"/>
        <v>0</v>
      </c>
      <c r="G3815" s="7">
        <f t="shared" si="284"/>
        <v>0</v>
      </c>
      <c r="H3815" s="8">
        <f t="shared" si="285"/>
        <v>0</v>
      </c>
      <c r="I3815" s="9">
        <f t="shared" si="286"/>
        <v>0</v>
      </c>
    </row>
    <row r="3816" spans="1:9" ht="18" x14ac:dyDescent="0.4">
      <c r="A3816" s="18" t="s">
        <v>252</v>
      </c>
      <c r="B3816" s="18" t="s">
        <v>6034</v>
      </c>
      <c r="C3816" s="20">
        <v>45692</v>
      </c>
      <c r="D3816" s="11">
        <v>5990</v>
      </c>
      <c r="E3816" s="27">
        <f t="shared" si="287"/>
        <v>6668.0680000000002</v>
      </c>
      <c r="F3816" s="6">
        <f t="shared" si="283"/>
        <v>8668.4884000000002</v>
      </c>
      <c r="G3816" s="7">
        <f t="shared" si="284"/>
        <v>9335.2952000000005</v>
      </c>
      <c r="H3816" s="8">
        <f t="shared" si="285"/>
        <v>10002.102000000001</v>
      </c>
      <c r="I3816" s="9">
        <f t="shared" si="286"/>
        <v>10668.908800000001</v>
      </c>
    </row>
    <row r="3817" spans="1:9" ht="18" x14ac:dyDescent="0.4">
      <c r="A3817" s="18" t="s">
        <v>253</v>
      </c>
      <c r="B3817" s="18" t="s">
        <v>6035</v>
      </c>
      <c r="C3817" s="20">
        <v>45363</v>
      </c>
      <c r="D3817" s="11">
        <v>929.68877407678269</v>
      </c>
      <c r="E3817" s="27">
        <f t="shared" si="287"/>
        <v>1034.9295433022744</v>
      </c>
      <c r="F3817" s="6">
        <f t="shared" si="283"/>
        <v>1345.4084062929567</v>
      </c>
      <c r="G3817" s="7">
        <f t="shared" si="284"/>
        <v>1448.901360623184</v>
      </c>
      <c r="H3817" s="8">
        <f t="shared" si="285"/>
        <v>1552.3943149534116</v>
      </c>
      <c r="I3817" s="9">
        <f t="shared" si="286"/>
        <v>1655.8872692836392</v>
      </c>
    </row>
    <row r="3818" spans="1:9" ht="18" x14ac:dyDescent="0.4">
      <c r="A3818" s="18" t="s">
        <v>254</v>
      </c>
      <c r="B3818" s="18" t="s">
        <v>6036</v>
      </c>
      <c r="C3818" s="20">
        <v>45363</v>
      </c>
      <c r="D3818" s="11">
        <v>900.81645190048516</v>
      </c>
      <c r="E3818" s="27">
        <f t="shared" si="287"/>
        <v>1002.7888742556202</v>
      </c>
      <c r="F3818" s="6">
        <f t="shared" si="283"/>
        <v>1303.6255365323063</v>
      </c>
      <c r="G3818" s="7">
        <f t="shared" si="284"/>
        <v>1403.9044239578682</v>
      </c>
      <c r="H3818" s="8">
        <f t="shared" si="285"/>
        <v>1504.1833113834302</v>
      </c>
      <c r="I3818" s="9">
        <f t="shared" si="286"/>
        <v>1604.4621988089923</v>
      </c>
    </row>
    <row r="3819" spans="1:9" x14ac:dyDescent="0.35">
      <c r="A3819" s="18" t="s">
        <v>4875</v>
      </c>
      <c r="B3819" s="18" t="s">
        <v>4876</v>
      </c>
      <c r="C3819" s="20">
        <v>45512</v>
      </c>
      <c r="D3819" s="11">
        <v>1344.77</v>
      </c>
      <c r="E3819" s="27">
        <f t="shared" si="287"/>
        <v>1496.9979639999999</v>
      </c>
      <c r="F3819" s="6">
        <f t="shared" si="283"/>
        <v>1946.0973532</v>
      </c>
      <c r="G3819" s="7">
        <f t="shared" si="284"/>
        <v>2095.7971495999996</v>
      </c>
      <c r="H3819" s="8">
        <f t="shared" si="285"/>
        <v>2245.4969459999998</v>
      </c>
      <c r="I3819" s="9">
        <f t="shared" si="286"/>
        <v>2395.1967423999999</v>
      </c>
    </row>
    <row r="3820" spans="1:9" ht="18" x14ac:dyDescent="0.4">
      <c r="B3820" s="19" t="s">
        <v>4887</v>
      </c>
      <c r="D3820" s="11">
        <v>0</v>
      </c>
      <c r="E3820" s="27">
        <f t="shared" si="287"/>
        <v>0</v>
      </c>
      <c r="F3820" s="6">
        <f t="shared" si="283"/>
        <v>0</v>
      </c>
      <c r="G3820" s="7">
        <f t="shared" si="284"/>
        <v>0</v>
      </c>
      <c r="H3820" s="8">
        <f t="shared" si="285"/>
        <v>0</v>
      </c>
      <c r="I3820" s="9">
        <f t="shared" si="286"/>
        <v>0</v>
      </c>
    </row>
    <row r="3821" spans="1:9" x14ac:dyDescent="0.35">
      <c r="A3821" s="18" t="s">
        <v>4888</v>
      </c>
      <c r="B3821" s="18" t="s">
        <v>4889</v>
      </c>
      <c r="C3821" s="20">
        <v>45635</v>
      </c>
      <c r="D3821" s="11">
        <v>190.4</v>
      </c>
      <c r="E3821" s="27">
        <f t="shared" si="287"/>
        <v>211.95328000000001</v>
      </c>
      <c r="F3821" s="6">
        <f t="shared" si="283"/>
        <v>275.539264</v>
      </c>
      <c r="G3821" s="7">
        <f t="shared" si="284"/>
        <v>296.73459199999996</v>
      </c>
      <c r="H3821" s="8">
        <f t="shared" si="285"/>
        <v>317.92992000000004</v>
      </c>
      <c r="I3821" s="9">
        <f t="shared" si="286"/>
        <v>339.12524800000006</v>
      </c>
    </row>
    <row r="3822" spans="1:9" ht="15.75" customHeight="1" x14ac:dyDescent="0.4">
      <c r="A3822" s="28"/>
      <c r="B3822" s="34" t="s">
        <v>2616</v>
      </c>
      <c r="C3822" s="29"/>
      <c r="D3822" s="11">
        <v>0</v>
      </c>
      <c r="E3822" s="27">
        <f t="shared" si="287"/>
        <v>0</v>
      </c>
      <c r="F3822" s="6">
        <f t="shared" si="283"/>
        <v>0</v>
      </c>
      <c r="G3822" s="7">
        <f t="shared" si="284"/>
        <v>0</v>
      </c>
      <c r="H3822" s="8">
        <f t="shared" si="285"/>
        <v>0</v>
      </c>
      <c r="I3822" s="9">
        <f t="shared" si="286"/>
        <v>0</v>
      </c>
    </row>
    <row r="3823" spans="1:9" x14ac:dyDescent="0.35">
      <c r="A3823" s="28" t="s">
        <v>255</v>
      </c>
      <c r="B3823" s="28" t="s">
        <v>190</v>
      </c>
      <c r="C3823" s="29">
        <v>45731</v>
      </c>
      <c r="D3823" s="11">
        <v>4761.7</v>
      </c>
      <c r="E3823" s="27">
        <f t="shared" si="287"/>
        <v>5300.72444</v>
      </c>
      <c r="F3823" s="6">
        <f t="shared" si="283"/>
        <v>6890.9417720000001</v>
      </c>
      <c r="G3823" s="7">
        <f t="shared" si="284"/>
        <v>7421.0142159999996</v>
      </c>
      <c r="H3823" s="8">
        <f t="shared" si="285"/>
        <v>7951.0866599999999</v>
      </c>
      <c r="I3823" s="9">
        <f t="shared" si="286"/>
        <v>8481.1591040000003</v>
      </c>
    </row>
    <row r="3824" spans="1:9" x14ac:dyDescent="0.35">
      <c r="A3824" s="28" t="s">
        <v>256</v>
      </c>
      <c r="B3824" s="28" t="s">
        <v>191</v>
      </c>
      <c r="C3824" s="29">
        <v>45731</v>
      </c>
      <c r="D3824" s="11">
        <v>1348</v>
      </c>
      <c r="E3824" s="27">
        <f t="shared" si="287"/>
        <v>1500.5935999999999</v>
      </c>
      <c r="F3824" s="6">
        <f t="shared" si="283"/>
        <v>1950.7716800000001</v>
      </c>
      <c r="G3824" s="7">
        <f t="shared" si="284"/>
        <v>2100.8310399999996</v>
      </c>
      <c r="H3824" s="8">
        <f t="shared" si="285"/>
        <v>2250.8903999999998</v>
      </c>
      <c r="I3824" s="9">
        <f t="shared" si="286"/>
        <v>2400.94976</v>
      </c>
    </row>
    <row r="3825" spans="1:9" ht="15.75" customHeight="1" x14ac:dyDescent="0.4">
      <c r="B3825" s="19" t="s">
        <v>817</v>
      </c>
      <c r="D3825" s="11">
        <v>0</v>
      </c>
      <c r="E3825" s="27">
        <f t="shared" si="287"/>
        <v>0</v>
      </c>
      <c r="F3825" s="6">
        <f t="shared" si="283"/>
        <v>0</v>
      </c>
      <c r="G3825" s="7">
        <f t="shared" si="284"/>
        <v>0</v>
      </c>
      <c r="H3825" s="8">
        <f t="shared" si="285"/>
        <v>0</v>
      </c>
      <c r="I3825" s="9">
        <f t="shared" si="286"/>
        <v>0</v>
      </c>
    </row>
    <row r="3826" spans="1:9" x14ac:dyDescent="0.35">
      <c r="A3826" s="18" t="s">
        <v>257</v>
      </c>
      <c r="B3826" s="18" t="s">
        <v>192</v>
      </c>
      <c r="C3826" s="20">
        <v>45471</v>
      </c>
      <c r="D3826" s="11">
        <v>214.02549999999999</v>
      </c>
      <c r="E3826" s="27">
        <f t="shared" si="287"/>
        <v>238.25318659999999</v>
      </c>
      <c r="F3826" s="6">
        <f t="shared" si="283"/>
        <v>309.72914257999997</v>
      </c>
      <c r="G3826" s="7">
        <f t="shared" si="284"/>
        <v>333.55446123999997</v>
      </c>
      <c r="H3826" s="8">
        <f t="shared" si="285"/>
        <v>357.37977990000002</v>
      </c>
      <c r="I3826" s="9">
        <f t="shared" si="286"/>
        <v>381.20509856000001</v>
      </c>
    </row>
    <row r="3827" spans="1:9" x14ac:dyDescent="0.35">
      <c r="A3827" s="18" t="s">
        <v>258</v>
      </c>
      <c r="B3827" s="18" t="s">
        <v>193</v>
      </c>
      <c r="C3827" s="20">
        <v>45471</v>
      </c>
      <c r="D3827" s="11">
        <v>300.44</v>
      </c>
      <c r="E3827" s="27">
        <f t="shared" si="287"/>
        <v>334.44980800000002</v>
      </c>
      <c r="F3827" s="6">
        <f t="shared" si="283"/>
        <v>434.78475040000006</v>
      </c>
      <c r="G3827" s="7">
        <f t="shared" si="284"/>
        <v>468.2297312</v>
      </c>
      <c r="H3827" s="8">
        <f t="shared" si="285"/>
        <v>501.674712</v>
      </c>
      <c r="I3827" s="9">
        <f t="shared" si="286"/>
        <v>535.11969280000005</v>
      </c>
    </row>
    <row r="3828" spans="1:9" x14ac:dyDescent="0.35">
      <c r="A3828" s="18" t="s">
        <v>259</v>
      </c>
      <c r="B3828" s="18" t="s">
        <v>194</v>
      </c>
      <c r="C3828" s="20">
        <v>45471</v>
      </c>
      <c r="D3828" s="11">
        <v>323.1995</v>
      </c>
      <c r="E3828" s="27">
        <f t="shared" si="287"/>
        <v>359.78568340000004</v>
      </c>
      <c r="F3828" s="6">
        <f t="shared" si="283"/>
        <v>467.72138842000004</v>
      </c>
      <c r="G3828" s="7">
        <f t="shared" si="284"/>
        <v>503.69995676000002</v>
      </c>
      <c r="H3828" s="8">
        <f t="shared" si="285"/>
        <v>539.67852510000012</v>
      </c>
      <c r="I3828" s="9">
        <f t="shared" si="286"/>
        <v>575.65709344000004</v>
      </c>
    </row>
    <row r="3829" spans="1:9" x14ac:dyDescent="0.35">
      <c r="A3829" s="18" t="s">
        <v>260</v>
      </c>
      <c r="B3829" s="18" t="s">
        <v>195</v>
      </c>
      <c r="C3829" s="20">
        <v>45471</v>
      </c>
      <c r="D3829" s="11">
        <v>561.61625000000004</v>
      </c>
      <c r="E3829" s="27">
        <f t="shared" si="287"/>
        <v>625.19120950000001</v>
      </c>
      <c r="F3829" s="6">
        <f t="shared" si="283"/>
        <v>812.74857235000002</v>
      </c>
      <c r="G3829" s="7">
        <f t="shared" si="284"/>
        <v>875.26769330000002</v>
      </c>
      <c r="H3829" s="8">
        <f t="shared" si="285"/>
        <v>937.78681425000002</v>
      </c>
      <c r="I3829" s="9">
        <f t="shared" si="286"/>
        <v>1000.3059352</v>
      </c>
    </row>
    <row r="3830" spans="1:9" x14ac:dyDescent="0.35">
      <c r="A3830" s="18" t="s">
        <v>2540</v>
      </c>
      <c r="B3830" s="18" t="s">
        <v>196</v>
      </c>
      <c r="C3830" s="20">
        <v>45471</v>
      </c>
      <c r="D3830" s="11">
        <v>658.87250000000006</v>
      </c>
      <c r="E3830" s="27">
        <f t="shared" si="287"/>
        <v>733.45686699999999</v>
      </c>
      <c r="F3830" s="6">
        <f t="shared" ref="F3830:F3905" si="288">E3830*1.3</f>
        <v>953.49392710000006</v>
      </c>
      <c r="G3830" s="7">
        <f t="shared" ref="G3830:G3905" si="289">E3830*1.4</f>
        <v>1026.8396137999998</v>
      </c>
      <c r="H3830" s="8">
        <f t="shared" ref="H3830:H3905" si="290">E3830*1.5</f>
        <v>1100.1853005</v>
      </c>
      <c r="I3830" s="9">
        <f t="shared" ref="I3830:I3905" si="291">E3830*1.6</f>
        <v>1173.5309872</v>
      </c>
    </row>
    <row r="3831" spans="1:9" x14ac:dyDescent="0.35">
      <c r="A3831" s="18" t="s">
        <v>2541</v>
      </c>
      <c r="B3831" s="18" t="s">
        <v>1777</v>
      </c>
      <c r="C3831" s="20">
        <v>45471</v>
      </c>
      <c r="D3831" s="11">
        <v>1061.9765</v>
      </c>
      <c r="E3831" s="27">
        <f t="shared" si="287"/>
        <v>1182.1922398000002</v>
      </c>
      <c r="F3831" s="6">
        <f t="shared" si="288"/>
        <v>1536.8499117400002</v>
      </c>
      <c r="G3831" s="7">
        <f t="shared" si="289"/>
        <v>1655.0691357200001</v>
      </c>
      <c r="H3831" s="8">
        <f t="shared" si="290"/>
        <v>1773.2883597000002</v>
      </c>
      <c r="I3831" s="9">
        <f t="shared" si="291"/>
        <v>1891.5075836800004</v>
      </c>
    </row>
    <row r="3832" spans="1:9" x14ac:dyDescent="0.35">
      <c r="A3832" s="18" t="s">
        <v>2542</v>
      </c>
      <c r="B3832" s="18" t="s">
        <v>1778</v>
      </c>
      <c r="C3832" s="20">
        <v>45471</v>
      </c>
      <c r="D3832" s="11">
        <v>3082.05</v>
      </c>
      <c r="E3832" s="27">
        <f t="shared" si="287"/>
        <v>3430.9380600000004</v>
      </c>
      <c r="F3832" s="6">
        <f t="shared" si="288"/>
        <v>4460.2194780000009</v>
      </c>
      <c r="G3832" s="7">
        <f t="shared" si="289"/>
        <v>4803.3132839999998</v>
      </c>
      <c r="H3832" s="8">
        <f t="shared" si="290"/>
        <v>5146.4070900000006</v>
      </c>
      <c r="I3832" s="9">
        <f t="shared" si="291"/>
        <v>5489.5008960000014</v>
      </c>
    </row>
    <row r="3833" spans="1:9" ht="18" x14ac:dyDescent="0.4">
      <c r="B3833" s="19" t="s">
        <v>4852</v>
      </c>
      <c r="D3833" s="11">
        <v>0</v>
      </c>
      <c r="E3833" s="27">
        <f t="shared" si="287"/>
        <v>0</v>
      </c>
      <c r="F3833" s="6">
        <f t="shared" si="288"/>
        <v>0</v>
      </c>
      <c r="G3833" s="7">
        <f t="shared" si="289"/>
        <v>0</v>
      </c>
      <c r="H3833" s="8">
        <f t="shared" si="290"/>
        <v>0</v>
      </c>
      <c r="I3833" s="9">
        <f t="shared" si="291"/>
        <v>0</v>
      </c>
    </row>
    <row r="3834" spans="1:9" x14ac:dyDescent="0.35">
      <c r="A3834" s="24" t="s">
        <v>6332</v>
      </c>
      <c r="B3834" s="24" t="s">
        <v>6333</v>
      </c>
      <c r="C3834" s="20">
        <v>45710</v>
      </c>
      <c r="D3834" s="11">
        <v>175292.20800000001</v>
      </c>
      <c r="E3834" s="27">
        <f t="shared" si="287"/>
        <v>195135.28594560002</v>
      </c>
      <c r="F3834" s="6">
        <f t="shared" si="288"/>
        <v>253675.87172928001</v>
      </c>
      <c r="G3834" s="7">
        <f t="shared" si="289"/>
        <v>273189.40032384003</v>
      </c>
      <c r="H3834" s="8">
        <f t="shared" si="290"/>
        <v>292702.92891840002</v>
      </c>
      <c r="I3834" s="9">
        <f t="shared" si="291"/>
        <v>312216.45751296001</v>
      </c>
    </row>
    <row r="3835" spans="1:9" x14ac:dyDescent="0.35">
      <c r="A3835" s="18" t="s">
        <v>4853</v>
      </c>
      <c r="B3835" s="18" t="s">
        <v>4854</v>
      </c>
      <c r="C3835" s="20">
        <v>45710</v>
      </c>
      <c r="D3835" s="11">
        <v>194954.47113870003</v>
      </c>
      <c r="E3835" s="27">
        <f t="shared" si="287"/>
        <v>217023.31727160086</v>
      </c>
      <c r="F3835" s="6">
        <f t="shared" si="288"/>
        <v>282130.31245308113</v>
      </c>
      <c r="G3835" s="7">
        <f t="shared" si="289"/>
        <v>303832.64418024116</v>
      </c>
      <c r="H3835" s="8">
        <f t="shared" si="290"/>
        <v>325534.9759074013</v>
      </c>
      <c r="I3835" s="9">
        <f t="shared" si="291"/>
        <v>347237.30763456138</v>
      </c>
    </row>
    <row r="3836" spans="1:9" x14ac:dyDescent="0.35">
      <c r="A3836" s="18" t="s">
        <v>4857</v>
      </c>
      <c r="B3836" s="18" t="s">
        <v>4855</v>
      </c>
      <c r="C3836" s="20">
        <v>45710</v>
      </c>
      <c r="D3836" s="11">
        <v>217319.97563640008</v>
      </c>
      <c r="E3836" s="27">
        <f t="shared" si="287"/>
        <v>241920.59687844058</v>
      </c>
      <c r="F3836" s="6">
        <f t="shared" si="288"/>
        <v>314496.7759419728</v>
      </c>
      <c r="G3836" s="7">
        <f t="shared" si="289"/>
        <v>338688.83562981681</v>
      </c>
      <c r="H3836" s="8">
        <f t="shared" si="290"/>
        <v>362880.89531766088</v>
      </c>
      <c r="I3836" s="9">
        <f t="shared" si="291"/>
        <v>387072.95500550495</v>
      </c>
    </row>
    <row r="3837" spans="1:9" x14ac:dyDescent="0.35">
      <c r="A3837" s="18" t="s">
        <v>4858</v>
      </c>
      <c r="B3837" s="18" t="s">
        <v>4856</v>
      </c>
      <c r="C3837" s="20">
        <v>45710</v>
      </c>
      <c r="D3837" s="11">
        <v>240857.45611199999</v>
      </c>
      <c r="E3837" s="27">
        <f t="shared" si="287"/>
        <v>268122.52014387841</v>
      </c>
      <c r="F3837" s="6">
        <f t="shared" si="288"/>
        <v>348559.27618704195</v>
      </c>
      <c r="G3837" s="7">
        <f t="shared" si="289"/>
        <v>375371.52820142976</v>
      </c>
      <c r="H3837" s="8">
        <f t="shared" si="290"/>
        <v>402183.78021581762</v>
      </c>
      <c r="I3837" s="9">
        <f t="shared" si="291"/>
        <v>428996.03223020548</v>
      </c>
    </row>
    <row r="3838" spans="1:9" x14ac:dyDescent="0.35">
      <c r="A3838" s="18" t="s">
        <v>4859</v>
      </c>
      <c r="B3838" s="18" t="s">
        <v>4861</v>
      </c>
      <c r="C3838" s="20">
        <v>45710</v>
      </c>
      <c r="D3838" s="11">
        <v>223861.55291136005</v>
      </c>
      <c r="E3838" s="27">
        <f t="shared" si="287"/>
        <v>249202.68070092599</v>
      </c>
      <c r="F3838" s="6">
        <f t="shared" si="288"/>
        <v>323963.48491120379</v>
      </c>
      <c r="G3838" s="7">
        <f t="shared" si="289"/>
        <v>348883.75298129639</v>
      </c>
      <c r="H3838" s="8">
        <f t="shared" si="290"/>
        <v>373804.02105138899</v>
      </c>
      <c r="I3838" s="9">
        <f t="shared" si="291"/>
        <v>398724.28912148159</v>
      </c>
    </row>
    <row r="3839" spans="1:9" x14ac:dyDescent="0.35">
      <c r="A3839" s="18" t="s">
        <v>4860</v>
      </c>
      <c r="B3839" s="18" t="s">
        <v>4862</v>
      </c>
      <c r="C3839" s="20">
        <v>45710</v>
      </c>
      <c r="D3839" s="11">
        <v>261680.31315972007</v>
      </c>
      <c r="E3839" s="27">
        <f t="shared" si="287"/>
        <v>291302.52460940043</v>
      </c>
      <c r="F3839" s="6">
        <f t="shared" si="288"/>
        <v>378693.28199222055</v>
      </c>
      <c r="G3839" s="7">
        <f t="shared" si="289"/>
        <v>407823.5344531606</v>
      </c>
      <c r="H3839" s="8">
        <f t="shared" si="290"/>
        <v>436953.78691410064</v>
      </c>
      <c r="I3839" s="9">
        <f t="shared" si="291"/>
        <v>466084.03937504068</v>
      </c>
    </row>
    <row r="3840" spans="1:9" x14ac:dyDescent="0.35">
      <c r="A3840" s="18" t="s">
        <v>4892</v>
      </c>
      <c r="B3840" s="18" t="s">
        <v>4893</v>
      </c>
      <c r="C3840" s="20">
        <v>45710</v>
      </c>
      <c r="D3840" s="11">
        <v>291268.22330970009</v>
      </c>
      <c r="E3840" s="27">
        <f t="shared" si="287"/>
        <v>324239.78618835815</v>
      </c>
      <c r="F3840" s="6">
        <f t="shared" si="288"/>
        <v>421511.7220448656</v>
      </c>
      <c r="G3840" s="7">
        <f t="shared" si="289"/>
        <v>453935.7006637014</v>
      </c>
      <c r="H3840" s="8">
        <f t="shared" si="290"/>
        <v>486359.6792825372</v>
      </c>
      <c r="I3840" s="9">
        <f t="shared" si="291"/>
        <v>518783.65790137305</v>
      </c>
    </row>
    <row r="3841" spans="1:9" x14ac:dyDescent="0.35">
      <c r="A3841" s="18" t="s">
        <v>4894</v>
      </c>
      <c r="B3841" s="18" t="s">
        <v>4896</v>
      </c>
      <c r="C3841" s="20">
        <v>45710</v>
      </c>
      <c r="D3841" s="11">
        <v>210088.87990272001</v>
      </c>
      <c r="E3841" s="27">
        <f t="shared" si="287"/>
        <v>233870.94110770794</v>
      </c>
      <c r="F3841" s="6">
        <f t="shared" si="288"/>
        <v>304032.22344002035</v>
      </c>
      <c r="G3841" s="7">
        <f t="shared" si="289"/>
        <v>327419.31755079108</v>
      </c>
      <c r="H3841" s="8">
        <f t="shared" si="290"/>
        <v>350806.41166156193</v>
      </c>
      <c r="I3841" s="9">
        <f t="shared" si="291"/>
        <v>374193.50577233272</v>
      </c>
    </row>
    <row r="3842" spans="1:9" x14ac:dyDescent="0.35">
      <c r="A3842" s="18" t="s">
        <v>4895</v>
      </c>
      <c r="B3842" s="18" t="s">
        <v>4897</v>
      </c>
      <c r="C3842" s="20">
        <v>45710</v>
      </c>
      <c r="D3842" s="11">
        <v>241960.78044684004</v>
      </c>
      <c r="E3842" s="27">
        <f t="shared" si="287"/>
        <v>269350.74079342233</v>
      </c>
      <c r="F3842" s="6">
        <f t="shared" si="288"/>
        <v>350155.96303144906</v>
      </c>
      <c r="G3842" s="7">
        <f t="shared" si="289"/>
        <v>377091.03711079125</v>
      </c>
      <c r="H3842" s="8">
        <f t="shared" si="290"/>
        <v>404026.1111901335</v>
      </c>
      <c r="I3842" s="9">
        <f t="shared" si="291"/>
        <v>430961.18526947574</v>
      </c>
    </row>
    <row r="3843" spans="1:9" ht="18" x14ac:dyDescent="0.4">
      <c r="B3843" s="19" t="s">
        <v>6440</v>
      </c>
      <c r="D3843" s="11">
        <v>0</v>
      </c>
      <c r="E3843" s="27">
        <f t="shared" si="287"/>
        <v>0</v>
      </c>
      <c r="F3843" s="6">
        <f t="shared" si="288"/>
        <v>0</v>
      </c>
      <c r="G3843" s="7">
        <f t="shared" si="289"/>
        <v>0</v>
      </c>
      <c r="H3843" s="8">
        <f t="shared" si="290"/>
        <v>0</v>
      </c>
      <c r="I3843" s="9">
        <f t="shared" si="291"/>
        <v>0</v>
      </c>
    </row>
    <row r="3844" spans="1:9" x14ac:dyDescent="0.35">
      <c r="A3844" s="18" t="s">
        <v>6441</v>
      </c>
      <c r="B3844" s="18" t="s">
        <v>6449</v>
      </c>
      <c r="C3844" s="20">
        <v>45710</v>
      </c>
      <c r="D3844" s="11">
        <v>266975.24722086405</v>
      </c>
      <c r="E3844" s="27">
        <f t="shared" si="287"/>
        <v>297196.84520626586</v>
      </c>
      <c r="F3844" s="6">
        <f t="shared" si="288"/>
        <v>386355.89876814565</v>
      </c>
      <c r="G3844" s="7">
        <f t="shared" si="289"/>
        <v>416075.58328877221</v>
      </c>
      <c r="H3844" s="8">
        <f t="shared" si="290"/>
        <v>445795.26780939882</v>
      </c>
      <c r="I3844" s="9">
        <f t="shared" si="291"/>
        <v>475514.95233002538</v>
      </c>
    </row>
    <row r="3845" spans="1:9" x14ac:dyDescent="0.35">
      <c r="A3845" s="18" t="s">
        <v>6442</v>
      </c>
      <c r="B3845" s="18" t="s">
        <v>6450</v>
      </c>
      <c r="C3845" s="20">
        <v>45710</v>
      </c>
      <c r="D3845" s="11">
        <v>296467.54465619201</v>
      </c>
      <c r="E3845" s="27">
        <f t="shared" si="287"/>
        <v>330027.67071127298</v>
      </c>
      <c r="F3845" s="6">
        <f t="shared" si="288"/>
        <v>429035.97192465491</v>
      </c>
      <c r="G3845" s="7">
        <f t="shared" si="289"/>
        <v>462038.73899578216</v>
      </c>
      <c r="H3845" s="8">
        <f t="shared" si="290"/>
        <v>495041.50606690947</v>
      </c>
      <c r="I3845" s="9">
        <f t="shared" si="291"/>
        <v>528044.27313803684</v>
      </c>
    </row>
    <row r="3846" spans="1:9" x14ac:dyDescent="0.35">
      <c r="A3846" s="18" t="s">
        <v>6443</v>
      </c>
      <c r="B3846" s="18" t="s">
        <v>6451</v>
      </c>
      <c r="C3846" s="20">
        <v>45710</v>
      </c>
      <c r="D3846" s="11">
        <v>333813.49274873605</v>
      </c>
      <c r="E3846" s="27">
        <f t="shared" si="287"/>
        <v>371601.18012789299</v>
      </c>
      <c r="F3846" s="6">
        <f t="shared" si="288"/>
        <v>483081.53416626091</v>
      </c>
      <c r="G3846" s="7">
        <f t="shared" si="289"/>
        <v>520241.65217905014</v>
      </c>
      <c r="H3846" s="8">
        <f t="shared" si="290"/>
        <v>557401.77019183943</v>
      </c>
      <c r="I3846" s="9">
        <f t="shared" si="291"/>
        <v>594561.88820462883</v>
      </c>
    </row>
    <row r="3847" spans="1:9" x14ac:dyDescent="0.35">
      <c r="A3847" s="18" t="s">
        <v>6444</v>
      </c>
      <c r="B3847" s="18" t="s">
        <v>6452</v>
      </c>
      <c r="C3847" s="20">
        <v>45710</v>
      </c>
      <c r="D3847" s="11">
        <v>366450.67170566402</v>
      </c>
      <c r="E3847" s="27">
        <f t="shared" si="287"/>
        <v>407932.88774274522</v>
      </c>
      <c r="F3847" s="6">
        <f t="shared" si="288"/>
        <v>530312.75406556879</v>
      </c>
      <c r="G3847" s="7">
        <f t="shared" si="289"/>
        <v>571106.04283984331</v>
      </c>
      <c r="H3847" s="8">
        <f t="shared" si="290"/>
        <v>611899.33161411784</v>
      </c>
      <c r="I3847" s="9">
        <f t="shared" si="291"/>
        <v>652692.62038839236</v>
      </c>
    </row>
    <row r="3848" spans="1:9" x14ac:dyDescent="0.35">
      <c r="A3848" s="18" t="s">
        <v>6445</v>
      </c>
      <c r="B3848" s="18" t="s">
        <v>6454</v>
      </c>
      <c r="C3848" s="20">
        <v>45710</v>
      </c>
      <c r="D3848" s="11">
        <v>235017.897971584</v>
      </c>
      <c r="E3848" s="27">
        <f t="shared" si="287"/>
        <v>261621.92402196731</v>
      </c>
      <c r="F3848" s="6">
        <f t="shared" si="288"/>
        <v>340108.50122855749</v>
      </c>
      <c r="G3848" s="7">
        <f t="shared" si="289"/>
        <v>366270.69363075419</v>
      </c>
      <c r="H3848" s="8">
        <f t="shared" si="290"/>
        <v>392432.88603295095</v>
      </c>
      <c r="I3848" s="9">
        <f t="shared" si="291"/>
        <v>418595.07843514771</v>
      </c>
    </row>
    <row r="3849" spans="1:9" x14ac:dyDescent="0.35">
      <c r="A3849" s="18" t="s">
        <v>6446</v>
      </c>
      <c r="B3849" s="18" t="s">
        <v>6455</v>
      </c>
      <c r="C3849" s="20">
        <v>45710</v>
      </c>
      <c r="D3849" s="11">
        <v>251862.94236230402</v>
      </c>
      <c r="E3849" s="27">
        <f t="shared" si="287"/>
        <v>280373.82743771683</v>
      </c>
      <c r="F3849" s="6">
        <f t="shared" si="288"/>
        <v>364485.9756690319</v>
      </c>
      <c r="G3849" s="7">
        <f t="shared" si="289"/>
        <v>392523.35841280356</v>
      </c>
      <c r="H3849" s="8">
        <f t="shared" si="290"/>
        <v>420560.74115657527</v>
      </c>
      <c r="I3849" s="9">
        <f t="shared" si="291"/>
        <v>448598.12390034692</v>
      </c>
    </row>
    <row r="3850" spans="1:9" x14ac:dyDescent="0.35">
      <c r="A3850" s="18" t="s">
        <v>6447</v>
      </c>
      <c r="B3850" s="18" t="s">
        <v>6456</v>
      </c>
      <c r="C3850" s="20">
        <v>45710</v>
      </c>
      <c r="D3850" s="11">
        <v>271342.18140848004</v>
      </c>
      <c r="E3850" s="27">
        <f t="shared" si="287"/>
        <v>302058.11634391994</v>
      </c>
      <c r="F3850" s="6">
        <f t="shared" si="288"/>
        <v>392675.55124709592</v>
      </c>
      <c r="G3850" s="7">
        <f t="shared" si="289"/>
        <v>422881.36288148788</v>
      </c>
      <c r="H3850" s="8">
        <f t="shared" si="290"/>
        <v>453087.17451587995</v>
      </c>
      <c r="I3850" s="9">
        <f t="shared" si="291"/>
        <v>483292.98615027196</v>
      </c>
    </row>
    <row r="3851" spans="1:9" x14ac:dyDescent="0.35">
      <c r="A3851" s="18" t="s">
        <v>6448</v>
      </c>
      <c r="B3851" s="18" t="s">
        <v>6453</v>
      </c>
      <c r="C3851" s="20">
        <v>45710</v>
      </c>
      <c r="D3851" s="11">
        <v>300142.13943168003</v>
      </c>
      <c r="E3851" s="27">
        <f t="shared" si="287"/>
        <v>334118.22961534624</v>
      </c>
      <c r="F3851" s="6">
        <f t="shared" si="288"/>
        <v>434353.69849995011</v>
      </c>
      <c r="G3851" s="7">
        <f t="shared" si="289"/>
        <v>467765.52146148472</v>
      </c>
      <c r="H3851" s="8">
        <f t="shared" si="290"/>
        <v>501177.34442301933</v>
      </c>
      <c r="I3851" s="9">
        <f t="shared" si="291"/>
        <v>534589.16738455405</v>
      </c>
    </row>
    <row r="3852" spans="1:9" ht="15.75" customHeight="1" x14ac:dyDescent="0.4">
      <c r="B3852" s="19" t="s">
        <v>2617</v>
      </c>
      <c r="D3852" s="11">
        <v>0</v>
      </c>
      <c r="E3852" s="27">
        <f t="shared" si="287"/>
        <v>0</v>
      </c>
      <c r="F3852" s="6">
        <f t="shared" si="288"/>
        <v>0</v>
      </c>
      <c r="G3852" s="7">
        <f t="shared" si="289"/>
        <v>0</v>
      </c>
      <c r="H3852" s="8">
        <f t="shared" si="290"/>
        <v>0</v>
      </c>
      <c r="I3852" s="9">
        <f t="shared" si="291"/>
        <v>0</v>
      </c>
    </row>
    <row r="3853" spans="1:9" x14ac:dyDescent="0.35">
      <c r="A3853" s="18" t="s">
        <v>2543</v>
      </c>
      <c r="B3853" s="18" t="s">
        <v>1779</v>
      </c>
      <c r="C3853" s="20">
        <v>45649</v>
      </c>
      <c r="D3853" s="11">
        <v>297.54199999999997</v>
      </c>
      <c r="E3853" s="27">
        <f t="shared" si="287"/>
        <v>331.22375439999996</v>
      </c>
      <c r="F3853" s="6">
        <f t="shared" si="288"/>
        <v>430.59088071999997</v>
      </c>
      <c r="G3853" s="7">
        <f t="shared" si="289"/>
        <v>463.7132561599999</v>
      </c>
      <c r="H3853" s="8">
        <f t="shared" si="290"/>
        <v>496.83563159999994</v>
      </c>
      <c r="I3853" s="9">
        <f t="shared" si="291"/>
        <v>529.95800703999998</v>
      </c>
    </row>
    <row r="3854" spans="1:9" x14ac:dyDescent="0.35">
      <c r="A3854" s="18" t="s">
        <v>2544</v>
      </c>
      <c r="B3854" s="18" t="s">
        <v>1780</v>
      </c>
      <c r="C3854" s="20">
        <v>45649</v>
      </c>
      <c r="D3854" s="11">
        <v>366.91900000000004</v>
      </c>
      <c r="E3854" s="27">
        <f t="shared" si="287"/>
        <v>408.45423080000006</v>
      </c>
      <c r="F3854" s="6">
        <f t="shared" si="288"/>
        <v>530.99050004000014</v>
      </c>
      <c r="G3854" s="7">
        <f t="shared" si="289"/>
        <v>571.83592312000007</v>
      </c>
      <c r="H3854" s="8">
        <f t="shared" si="290"/>
        <v>612.68134620000012</v>
      </c>
      <c r="I3854" s="9">
        <f t="shared" si="291"/>
        <v>653.52676928000017</v>
      </c>
    </row>
    <row r="3855" spans="1:9" ht="15.75" customHeight="1" x14ac:dyDescent="0.4">
      <c r="B3855" s="19" t="s">
        <v>818</v>
      </c>
      <c r="D3855" s="11">
        <v>0</v>
      </c>
      <c r="E3855" s="27">
        <f t="shared" si="287"/>
        <v>0</v>
      </c>
      <c r="F3855" s="6">
        <f t="shared" si="288"/>
        <v>0</v>
      </c>
      <c r="G3855" s="7">
        <f t="shared" si="289"/>
        <v>0</v>
      </c>
      <c r="H3855" s="8">
        <f t="shared" si="290"/>
        <v>0</v>
      </c>
      <c r="I3855" s="9">
        <f t="shared" si="291"/>
        <v>0</v>
      </c>
    </row>
    <row r="3856" spans="1:9" x14ac:dyDescent="0.35">
      <c r="A3856" s="18" t="s">
        <v>2545</v>
      </c>
      <c r="B3856" s="18" t="s">
        <v>73</v>
      </c>
      <c r="C3856" s="20">
        <v>45710</v>
      </c>
      <c r="D3856" s="11">
        <v>2087.6086821200161</v>
      </c>
      <c r="E3856" s="27">
        <f t="shared" si="287"/>
        <v>2323.9259849360019</v>
      </c>
      <c r="F3856" s="6">
        <f t="shared" si="288"/>
        <v>3021.1037804168027</v>
      </c>
      <c r="G3856" s="7">
        <f t="shared" si="289"/>
        <v>3253.4963789104027</v>
      </c>
      <c r="H3856" s="8">
        <f t="shared" si="290"/>
        <v>3485.8889774040026</v>
      </c>
      <c r="I3856" s="9">
        <f t="shared" si="291"/>
        <v>3718.281575897603</v>
      </c>
    </row>
    <row r="3857" spans="1:9" x14ac:dyDescent="0.35">
      <c r="A3857" s="18" t="s">
        <v>2546</v>
      </c>
      <c r="B3857" s="18" t="s">
        <v>74</v>
      </c>
      <c r="C3857" s="20">
        <v>45710</v>
      </c>
      <c r="D3857" s="11">
        <v>2196.2787231070852</v>
      </c>
      <c r="E3857" s="27">
        <f t="shared" si="287"/>
        <v>2444.8974745628075</v>
      </c>
      <c r="F3857" s="6">
        <f t="shared" si="288"/>
        <v>3178.36671693165</v>
      </c>
      <c r="G3857" s="7">
        <f t="shared" si="289"/>
        <v>3422.8564643879304</v>
      </c>
      <c r="H3857" s="8">
        <f t="shared" si="290"/>
        <v>3667.3462118442112</v>
      </c>
      <c r="I3857" s="9">
        <f t="shared" si="291"/>
        <v>3911.835959300492</v>
      </c>
    </row>
    <row r="3858" spans="1:9" x14ac:dyDescent="0.35">
      <c r="A3858" s="18" t="s">
        <v>2547</v>
      </c>
      <c r="B3858" s="18" t="s">
        <v>75</v>
      </c>
      <c r="C3858" s="20">
        <v>45710</v>
      </c>
      <c r="D3858" s="11">
        <v>2499.4109427025942</v>
      </c>
      <c r="E3858" s="27">
        <f t="shared" ref="E3858:E3921" si="292">D3858*1.21*0.92</f>
        <v>2782.3442614165278</v>
      </c>
      <c r="F3858" s="6">
        <f t="shared" si="288"/>
        <v>3617.0475398414865</v>
      </c>
      <c r="G3858" s="7">
        <f t="shared" si="289"/>
        <v>3895.2819659831389</v>
      </c>
      <c r="H3858" s="8">
        <f t="shared" si="290"/>
        <v>4173.5163921247913</v>
      </c>
      <c r="I3858" s="9">
        <f t="shared" si="291"/>
        <v>4451.7508182664451</v>
      </c>
    </row>
    <row r="3859" spans="1:9" x14ac:dyDescent="0.35">
      <c r="A3859" s="18" t="s">
        <v>2548</v>
      </c>
      <c r="B3859" s="18" t="s">
        <v>76</v>
      </c>
      <c r="C3859" s="20">
        <v>45710</v>
      </c>
      <c r="D3859" s="11">
        <v>2836.8600173466511</v>
      </c>
      <c r="E3859" s="27">
        <f t="shared" si="292"/>
        <v>3157.9925713102921</v>
      </c>
      <c r="F3859" s="6">
        <f t="shared" si="288"/>
        <v>4105.3903427033802</v>
      </c>
      <c r="G3859" s="7">
        <f t="shared" si="289"/>
        <v>4421.1895998344089</v>
      </c>
      <c r="H3859" s="8">
        <f t="shared" si="290"/>
        <v>4736.9888569654377</v>
      </c>
      <c r="I3859" s="9">
        <f t="shared" si="291"/>
        <v>5052.7881140964673</v>
      </c>
    </row>
    <row r="3860" spans="1:9" x14ac:dyDescent="0.35">
      <c r="A3860" s="18" t="s">
        <v>2549</v>
      </c>
      <c r="B3860" s="18" t="s">
        <v>77</v>
      </c>
      <c r="C3860" s="20">
        <v>45710</v>
      </c>
      <c r="D3860" s="11">
        <v>3174.3090919907081</v>
      </c>
      <c r="E3860" s="27">
        <f t="shared" si="292"/>
        <v>3533.6408812040563</v>
      </c>
      <c r="F3860" s="6">
        <f t="shared" si="288"/>
        <v>4593.7331455652729</v>
      </c>
      <c r="G3860" s="7">
        <f t="shared" si="289"/>
        <v>4947.0972336856785</v>
      </c>
      <c r="H3860" s="8">
        <f t="shared" si="290"/>
        <v>5300.461321806084</v>
      </c>
      <c r="I3860" s="9">
        <f t="shared" si="291"/>
        <v>5653.8254099264905</v>
      </c>
    </row>
    <row r="3861" spans="1:9" x14ac:dyDescent="0.35">
      <c r="A3861" s="18" t="s">
        <v>2550</v>
      </c>
      <c r="B3861" s="18" t="s">
        <v>78</v>
      </c>
      <c r="C3861" s="20">
        <v>45710</v>
      </c>
      <c r="D3861" s="11">
        <v>3511.7581666347655</v>
      </c>
      <c r="E3861" s="27">
        <f t="shared" si="292"/>
        <v>3909.2891910978205</v>
      </c>
      <c r="F3861" s="6">
        <f t="shared" si="288"/>
        <v>5082.0759484271666</v>
      </c>
      <c r="G3861" s="7">
        <f t="shared" si="289"/>
        <v>5473.004867536948</v>
      </c>
      <c r="H3861" s="8">
        <f t="shared" si="290"/>
        <v>5863.9337866467304</v>
      </c>
      <c r="I3861" s="9">
        <f t="shared" si="291"/>
        <v>6254.8627057565136</v>
      </c>
    </row>
    <row r="3862" spans="1:9" x14ac:dyDescent="0.35">
      <c r="A3862" s="18" t="s">
        <v>2551</v>
      </c>
      <c r="B3862" s="18" t="s">
        <v>629</v>
      </c>
      <c r="C3862" s="20">
        <v>45710</v>
      </c>
      <c r="D3862" s="11">
        <v>3852.0669791995365</v>
      </c>
      <c r="E3862" s="27">
        <f t="shared" si="292"/>
        <v>4288.1209612449238</v>
      </c>
      <c r="F3862" s="6">
        <f t="shared" si="288"/>
        <v>5574.5572496184013</v>
      </c>
      <c r="G3862" s="7">
        <f t="shared" si="289"/>
        <v>6003.3693457428926</v>
      </c>
      <c r="H3862" s="8">
        <f t="shared" si="290"/>
        <v>6432.1814418673857</v>
      </c>
      <c r="I3862" s="9">
        <f t="shared" si="291"/>
        <v>6860.9935379918788</v>
      </c>
    </row>
    <row r="3863" spans="1:9" x14ac:dyDescent="0.35">
      <c r="A3863" s="18" t="s">
        <v>2552</v>
      </c>
      <c r="B3863" s="18" t="s">
        <v>630</v>
      </c>
      <c r="C3863" s="20">
        <v>45710</v>
      </c>
      <c r="D3863" s="11">
        <v>4189.516053843593</v>
      </c>
      <c r="E3863" s="27">
        <f t="shared" si="292"/>
        <v>4663.7692711386881</v>
      </c>
      <c r="F3863" s="6">
        <f t="shared" si="288"/>
        <v>6062.900052480295</v>
      </c>
      <c r="G3863" s="7">
        <f t="shared" si="289"/>
        <v>6529.2769795941631</v>
      </c>
      <c r="H3863" s="8">
        <f t="shared" si="290"/>
        <v>6995.6539067080321</v>
      </c>
      <c r="I3863" s="9">
        <f t="shared" si="291"/>
        <v>7462.0308338219011</v>
      </c>
    </row>
    <row r="3864" spans="1:9" x14ac:dyDescent="0.35">
      <c r="A3864" s="18" t="s">
        <v>2553</v>
      </c>
      <c r="B3864" s="18" t="s">
        <v>631</v>
      </c>
      <c r="C3864" s="20">
        <v>45710</v>
      </c>
      <c r="D3864" s="11">
        <v>4532.6846043290734</v>
      </c>
      <c r="E3864" s="27">
        <f t="shared" si="292"/>
        <v>5045.784501539124</v>
      </c>
      <c r="F3864" s="6">
        <f t="shared" si="288"/>
        <v>6559.5198520008616</v>
      </c>
      <c r="G3864" s="7">
        <f t="shared" si="289"/>
        <v>7064.0983021547736</v>
      </c>
      <c r="H3864" s="8">
        <f t="shared" si="290"/>
        <v>7568.6767523086855</v>
      </c>
      <c r="I3864" s="9">
        <f t="shared" si="291"/>
        <v>8073.2552024625984</v>
      </c>
    </row>
    <row r="3865" spans="1:9" x14ac:dyDescent="0.35">
      <c r="A3865" s="18" t="s">
        <v>2554</v>
      </c>
      <c r="B3865" s="18" t="s">
        <v>632</v>
      </c>
      <c r="C3865" s="20">
        <v>45710</v>
      </c>
      <c r="D3865" s="11">
        <v>4827.2376101624477</v>
      </c>
      <c r="E3865" s="27">
        <f t="shared" si="292"/>
        <v>5373.6809076328364</v>
      </c>
      <c r="F3865" s="6">
        <f t="shared" si="288"/>
        <v>6985.7851799226873</v>
      </c>
      <c r="G3865" s="7">
        <f t="shared" si="289"/>
        <v>7523.1532706859707</v>
      </c>
      <c r="H3865" s="8">
        <f t="shared" si="290"/>
        <v>8060.521361449255</v>
      </c>
      <c r="I3865" s="9">
        <f t="shared" si="291"/>
        <v>8597.8894522125393</v>
      </c>
    </row>
    <row r="3866" spans="1:9" x14ac:dyDescent="0.35">
      <c r="A3866" s="18" t="s">
        <v>2555</v>
      </c>
      <c r="B3866" s="18" t="s">
        <v>633</v>
      </c>
      <c r="C3866" s="20">
        <v>45710</v>
      </c>
      <c r="D3866" s="11">
        <v>5221.881443220751</v>
      </c>
      <c r="E3866" s="27">
        <f t="shared" si="292"/>
        <v>5812.9984225933395</v>
      </c>
      <c r="F3866" s="6">
        <f t="shared" si="288"/>
        <v>7556.8979493713414</v>
      </c>
      <c r="G3866" s="7">
        <f t="shared" si="289"/>
        <v>8138.1977916306751</v>
      </c>
      <c r="H3866" s="8">
        <f t="shared" si="290"/>
        <v>8719.4976338900087</v>
      </c>
      <c r="I3866" s="9">
        <f t="shared" si="291"/>
        <v>9300.7974761493442</v>
      </c>
    </row>
    <row r="3867" spans="1:9" x14ac:dyDescent="0.35">
      <c r="A3867" s="18" t="s">
        <v>2556</v>
      </c>
      <c r="B3867" s="18" t="s">
        <v>634</v>
      </c>
      <c r="C3867" s="20">
        <v>45710</v>
      </c>
      <c r="D3867" s="11">
        <v>5567.9097316269454</v>
      </c>
      <c r="E3867" s="27">
        <f t="shared" si="292"/>
        <v>6198.1971132471153</v>
      </c>
      <c r="F3867" s="6">
        <f t="shared" si="288"/>
        <v>8057.6562472212499</v>
      </c>
      <c r="G3867" s="7">
        <f t="shared" si="289"/>
        <v>8677.4759585459615</v>
      </c>
      <c r="H3867" s="8">
        <f t="shared" si="290"/>
        <v>9297.295669870673</v>
      </c>
      <c r="I3867" s="9">
        <f t="shared" si="291"/>
        <v>9917.1153811953845</v>
      </c>
    </row>
    <row r="3868" spans="1:9" x14ac:dyDescent="0.35">
      <c r="A3868" s="18" t="s">
        <v>2557</v>
      </c>
      <c r="B3868" s="18" t="s">
        <v>635</v>
      </c>
      <c r="C3868" s="20">
        <v>45710</v>
      </c>
      <c r="D3868" s="11">
        <v>5913.9380200331398</v>
      </c>
      <c r="E3868" s="27">
        <f t="shared" si="292"/>
        <v>6583.3958039008912</v>
      </c>
      <c r="F3868" s="6">
        <f t="shared" si="288"/>
        <v>8558.4145450711585</v>
      </c>
      <c r="G3868" s="7">
        <f t="shared" si="289"/>
        <v>9216.7541254612479</v>
      </c>
      <c r="H3868" s="8">
        <f t="shared" si="290"/>
        <v>9875.0937058513373</v>
      </c>
      <c r="I3868" s="9">
        <f t="shared" si="291"/>
        <v>10533.433286241427</v>
      </c>
    </row>
    <row r="3869" spans="1:9" x14ac:dyDescent="0.35">
      <c r="A3869" s="18" t="s">
        <v>2558</v>
      </c>
      <c r="B3869" s="18" t="s">
        <v>2656</v>
      </c>
      <c r="C3869" s="20">
        <v>45710</v>
      </c>
      <c r="D3869" s="11">
        <v>6262.8260463600463</v>
      </c>
      <c r="E3869" s="27">
        <f t="shared" si="292"/>
        <v>6971.7779548080034</v>
      </c>
      <c r="F3869" s="6">
        <f t="shared" si="288"/>
        <v>9063.3113412504044</v>
      </c>
      <c r="G3869" s="7">
        <f t="shared" si="289"/>
        <v>9760.4891367312048</v>
      </c>
      <c r="H3869" s="8">
        <f t="shared" si="290"/>
        <v>10457.666932212005</v>
      </c>
      <c r="I3869" s="9">
        <f t="shared" si="291"/>
        <v>11154.844727692805</v>
      </c>
    </row>
    <row r="3870" spans="1:9" x14ac:dyDescent="0.35">
      <c r="A3870" s="18" t="s">
        <v>2559</v>
      </c>
      <c r="B3870" s="18" t="s">
        <v>2657</v>
      </c>
      <c r="C3870" s="20">
        <v>45710</v>
      </c>
      <c r="D3870" s="11">
        <v>163.29261877047</v>
      </c>
      <c r="E3870" s="27">
        <f t="shared" si="292"/>
        <v>181.7773432152872</v>
      </c>
      <c r="F3870" s="6">
        <f t="shared" si="288"/>
        <v>236.31054617987337</v>
      </c>
      <c r="G3870" s="7">
        <f t="shared" si="289"/>
        <v>254.48828050140207</v>
      </c>
      <c r="H3870" s="8">
        <f t="shared" si="290"/>
        <v>272.66601482293083</v>
      </c>
      <c r="I3870" s="9">
        <f t="shared" si="291"/>
        <v>290.84374914445954</v>
      </c>
    </row>
    <row r="3871" spans="1:9" x14ac:dyDescent="0.35">
      <c r="A3871" s="18" t="s">
        <v>2560</v>
      </c>
      <c r="B3871" s="18" t="s">
        <v>2658</v>
      </c>
      <c r="C3871" s="20">
        <v>45710</v>
      </c>
      <c r="D3871" s="11">
        <v>275.90821792251853</v>
      </c>
      <c r="E3871" s="27">
        <f t="shared" si="292"/>
        <v>307.14102819134763</v>
      </c>
      <c r="F3871" s="6">
        <f t="shared" si="288"/>
        <v>399.28333664875191</v>
      </c>
      <c r="G3871" s="7">
        <f t="shared" si="289"/>
        <v>429.99743946788664</v>
      </c>
      <c r="H3871" s="8">
        <f t="shared" si="290"/>
        <v>460.71154228702142</v>
      </c>
      <c r="I3871" s="9">
        <f t="shared" si="291"/>
        <v>491.42564510615625</v>
      </c>
    </row>
    <row r="3872" spans="1:9" x14ac:dyDescent="0.35">
      <c r="A3872" s="18" t="s">
        <v>2561</v>
      </c>
      <c r="B3872" s="18" t="s">
        <v>2659</v>
      </c>
      <c r="C3872" s="20">
        <v>45710</v>
      </c>
      <c r="D3872" s="11">
        <v>275.90821792251853</v>
      </c>
      <c r="E3872" s="27">
        <f t="shared" si="292"/>
        <v>307.14102819134763</v>
      </c>
      <c r="F3872" s="6">
        <f t="shared" si="288"/>
        <v>399.28333664875191</v>
      </c>
      <c r="G3872" s="7">
        <f t="shared" si="289"/>
        <v>429.99743946788664</v>
      </c>
      <c r="H3872" s="8">
        <f t="shared" si="290"/>
        <v>460.71154228702142</v>
      </c>
      <c r="I3872" s="9">
        <f t="shared" si="291"/>
        <v>491.42564510615625</v>
      </c>
    </row>
    <row r="3873" spans="1:9" x14ac:dyDescent="0.35">
      <c r="A3873" s="18" t="s">
        <v>2562</v>
      </c>
      <c r="B3873" s="18" t="s">
        <v>2660</v>
      </c>
      <c r="C3873" s="20">
        <v>45710</v>
      </c>
      <c r="D3873" s="11">
        <v>275.90821792251853</v>
      </c>
      <c r="E3873" s="27">
        <f t="shared" si="292"/>
        <v>307.14102819134763</v>
      </c>
      <c r="F3873" s="6">
        <f t="shared" si="288"/>
        <v>399.28333664875191</v>
      </c>
      <c r="G3873" s="7">
        <f t="shared" si="289"/>
        <v>429.99743946788664</v>
      </c>
      <c r="H3873" s="8">
        <f t="shared" si="290"/>
        <v>460.71154228702142</v>
      </c>
      <c r="I3873" s="9">
        <f t="shared" si="291"/>
        <v>491.42564510615625</v>
      </c>
    </row>
    <row r="3874" spans="1:9" x14ac:dyDescent="0.35">
      <c r="A3874" s="18" t="s">
        <v>2563</v>
      </c>
      <c r="B3874" s="18" t="s">
        <v>2661</v>
      </c>
      <c r="C3874" s="20">
        <v>45710</v>
      </c>
      <c r="D3874" s="11">
        <v>275.90821792251853</v>
      </c>
      <c r="E3874" s="27">
        <f t="shared" si="292"/>
        <v>307.14102819134763</v>
      </c>
      <c r="F3874" s="6">
        <f t="shared" si="288"/>
        <v>399.28333664875191</v>
      </c>
      <c r="G3874" s="7">
        <f t="shared" si="289"/>
        <v>429.99743946788664</v>
      </c>
      <c r="H3874" s="8">
        <f t="shared" si="290"/>
        <v>460.71154228702142</v>
      </c>
      <c r="I3874" s="9">
        <f t="shared" si="291"/>
        <v>491.42564510615625</v>
      </c>
    </row>
    <row r="3875" spans="1:9" x14ac:dyDescent="0.35">
      <c r="A3875" s="18" t="s">
        <v>2564</v>
      </c>
      <c r="B3875" s="18" t="s">
        <v>2669</v>
      </c>
      <c r="C3875" s="20">
        <v>45710</v>
      </c>
      <c r="D3875" s="11">
        <v>275.90821792251853</v>
      </c>
      <c r="E3875" s="27">
        <f t="shared" si="292"/>
        <v>307.14102819134763</v>
      </c>
      <c r="F3875" s="6">
        <f t="shared" si="288"/>
        <v>399.28333664875191</v>
      </c>
      <c r="G3875" s="7">
        <f t="shared" si="289"/>
        <v>429.99743946788664</v>
      </c>
      <c r="H3875" s="8">
        <f t="shared" si="290"/>
        <v>460.71154228702142</v>
      </c>
      <c r="I3875" s="9">
        <f t="shared" si="291"/>
        <v>491.42564510615625</v>
      </c>
    </row>
    <row r="3876" spans="1:9" x14ac:dyDescent="0.35">
      <c r="A3876" s="18" t="s">
        <v>2565</v>
      </c>
      <c r="B3876" s="18" t="s">
        <v>2662</v>
      </c>
      <c r="C3876" s="20">
        <v>45710</v>
      </c>
      <c r="D3876" s="11">
        <v>275.90821792251853</v>
      </c>
      <c r="E3876" s="27">
        <f t="shared" si="292"/>
        <v>307.14102819134763</v>
      </c>
      <c r="F3876" s="6">
        <f t="shared" si="288"/>
        <v>399.28333664875191</v>
      </c>
      <c r="G3876" s="7">
        <f t="shared" si="289"/>
        <v>429.99743946788664</v>
      </c>
      <c r="H3876" s="8">
        <f t="shared" si="290"/>
        <v>460.71154228702142</v>
      </c>
      <c r="I3876" s="9">
        <f t="shared" si="291"/>
        <v>491.42564510615625</v>
      </c>
    </row>
    <row r="3877" spans="1:9" x14ac:dyDescent="0.35">
      <c r="A3877" s="18" t="s">
        <v>2566</v>
      </c>
      <c r="B3877" s="18" t="s">
        <v>2663</v>
      </c>
      <c r="C3877" s="20">
        <v>45710</v>
      </c>
      <c r="D3877" s="11">
        <v>411.04693690497635</v>
      </c>
      <c r="E3877" s="27">
        <f t="shared" si="292"/>
        <v>457.57745016261964</v>
      </c>
      <c r="F3877" s="6">
        <f t="shared" si="288"/>
        <v>594.85068521140556</v>
      </c>
      <c r="G3877" s="7">
        <f t="shared" si="289"/>
        <v>640.60843022766744</v>
      </c>
      <c r="H3877" s="8">
        <f t="shared" si="290"/>
        <v>686.36617524392943</v>
      </c>
      <c r="I3877" s="9">
        <f t="shared" si="291"/>
        <v>732.12392026019143</v>
      </c>
    </row>
    <row r="3878" spans="1:9" x14ac:dyDescent="0.35">
      <c r="A3878" s="18" t="s">
        <v>2567</v>
      </c>
      <c r="B3878" s="18" t="s">
        <v>2664</v>
      </c>
      <c r="C3878" s="20">
        <v>45710</v>
      </c>
      <c r="D3878" s="11">
        <v>618.03000000000009</v>
      </c>
      <c r="E3878" s="27">
        <f t="shared" si="292"/>
        <v>687.99099600000011</v>
      </c>
      <c r="F3878" s="6">
        <f t="shared" si="288"/>
        <v>894.38829480000015</v>
      </c>
      <c r="G3878" s="7">
        <f t="shared" si="289"/>
        <v>963.18739440000013</v>
      </c>
      <c r="H3878" s="8">
        <f t="shared" si="290"/>
        <v>1031.9864940000002</v>
      </c>
      <c r="I3878" s="9">
        <f t="shared" si="291"/>
        <v>1100.7855936000003</v>
      </c>
    </row>
    <row r="3879" spans="1:9" x14ac:dyDescent="0.35">
      <c r="A3879" s="18" t="s">
        <v>2568</v>
      </c>
      <c r="B3879" s="18" t="s">
        <v>2665</v>
      </c>
      <c r="C3879" s="20">
        <v>45710</v>
      </c>
      <c r="D3879" s="11">
        <v>618.03000000000009</v>
      </c>
      <c r="E3879" s="27">
        <f t="shared" si="292"/>
        <v>687.99099600000011</v>
      </c>
      <c r="F3879" s="6">
        <f t="shared" si="288"/>
        <v>894.38829480000015</v>
      </c>
      <c r="G3879" s="7">
        <f t="shared" si="289"/>
        <v>963.18739440000013</v>
      </c>
      <c r="H3879" s="8">
        <f t="shared" si="290"/>
        <v>1031.9864940000002</v>
      </c>
      <c r="I3879" s="9">
        <f t="shared" si="291"/>
        <v>1100.7855936000003</v>
      </c>
    </row>
    <row r="3880" spans="1:9" x14ac:dyDescent="0.35">
      <c r="A3880" s="18" t="s">
        <v>2569</v>
      </c>
      <c r="B3880" s="18" t="s">
        <v>2666</v>
      </c>
      <c r="C3880" s="20">
        <v>45710</v>
      </c>
      <c r="D3880" s="11">
        <v>618.03000000000009</v>
      </c>
      <c r="E3880" s="27">
        <f t="shared" si="292"/>
        <v>687.99099600000011</v>
      </c>
      <c r="F3880" s="6">
        <f t="shared" si="288"/>
        <v>894.38829480000015</v>
      </c>
      <c r="G3880" s="7">
        <f t="shared" si="289"/>
        <v>963.18739440000013</v>
      </c>
      <c r="H3880" s="8">
        <f t="shared" si="290"/>
        <v>1031.9864940000002</v>
      </c>
      <c r="I3880" s="9">
        <f t="shared" si="291"/>
        <v>1100.7855936000003</v>
      </c>
    </row>
    <row r="3881" spans="1:9" x14ac:dyDescent="0.35">
      <c r="A3881" s="18" t="s">
        <v>245</v>
      </c>
      <c r="B3881" s="18" t="s">
        <v>2667</v>
      </c>
      <c r="C3881" s="20">
        <v>45710</v>
      </c>
      <c r="D3881" s="11">
        <v>618.03000000000009</v>
      </c>
      <c r="E3881" s="27">
        <f t="shared" si="292"/>
        <v>687.99099600000011</v>
      </c>
      <c r="F3881" s="6">
        <f t="shared" si="288"/>
        <v>894.38829480000015</v>
      </c>
      <c r="G3881" s="7">
        <f t="shared" si="289"/>
        <v>963.18739440000013</v>
      </c>
      <c r="H3881" s="8">
        <f t="shared" si="290"/>
        <v>1031.9864940000002</v>
      </c>
      <c r="I3881" s="9">
        <f t="shared" si="291"/>
        <v>1100.7855936000003</v>
      </c>
    </row>
    <row r="3882" spans="1:9" x14ac:dyDescent="0.35">
      <c r="A3882" s="18" t="s">
        <v>1982</v>
      </c>
      <c r="B3882" s="18" t="s">
        <v>2668</v>
      </c>
      <c r="C3882" s="20">
        <v>45710</v>
      </c>
      <c r="D3882" s="11">
        <v>618.03000000000009</v>
      </c>
      <c r="E3882" s="27">
        <f t="shared" si="292"/>
        <v>687.99099600000011</v>
      </c>
      <c r="F3882" s="6">
        <f t="shared" si="288"/>
        <v>894.38829480000015</v>
      </c>
      <c r="G3882" s="7">
        <f t="shared" si="289"/>
        <v>963.18739440000013</v>
      </c>
      <c r="H3882" s="8">
        <f t="shared" si="290"/>
        <v>1031.9864940000002</v>
      </c>
      <c r="I3882" s="9">
        <f t="shared" si="291"/>
        <v>1100.7855936000003</v>
      </c>
    </row>
    <row r="3883" spans="1:9" x14ac:dyDescent="0.35">
      <c r="A3883" s="18" t="s">
        <v>1983</v>
      </c>
      <c r="B3883" s="18" t="s">
        <v>2670</v>
      </c>
      <c r="C3883" s="20">
        <v>45710</v>
      </c>
      <c r="D3883" s="11">
        <v>618.03000000000009</v>
      </c>
      <c r="E3883" s="27">
        <f t="shared" si="292"/>
        <v>687.99099600000011</v>
      </c>
      <c r="F3883" s="6">
        <f t="shared" si="288"/>
        <v>894.38829480000015</v>
      </c>
      <c r="G3883" s="7">
        <f t="shared" si="289"/>
        <v>963.18739440000013</v>
      </c>
      <c r="H3883" s="8">
        <f t="shared" si="290"/>
        <v>1031.9864940000002</v>
      </c>
      <c r="I3883" s="9">
        <f t="shared" si="291"/>
        <v>1100.7855936000003</v>
      </c>
    </row>
    <row r="3884" spans="1:9" x14ac:dyDescent="0.35">
      <c r="A3884" s="18" t="s">
        <v>1984</v>
      </c>
      <c r="B3884" s="18" t="s">
        <v>2671</v>
      </c>
      <c r="C3884" s="20">
        <v>45710</v>
      </c>
      <c r="D3884" s="11">
        <v>618.03000000000009</v>
      </c>
      <c r="E3884" s="27">
        <f t="shared" si="292"/>
        <v>687.99099600000011</v>
      </c>
      <c r="F3884" s="6">
        <f t="shared" si="288"/>
        <v>894.38829480000015</v>
      </c>
      <c r="G3884" s="7">
        <f t="shared" si="289"/>
        <v>963.18739440000013</v>
      </c>
      <c r="H3884" s="8">
        <f t="shared" si="290"/>
        <v>1031.9864940000002</v>
      </c>
      <c r="I3884" s="9">
        <f t="shared" si="291"/>
        <v>1100.7855936000003</v>
      </c>
    </row>
    <row r="3885" spans="1:9" x14ac:dyDescent="0.35">
      <c r="A3885" s="18" t="s">
        <v>4775</v>
      </c>
      <c r="B3885" s="18" t="s">
        <v>4776</v>
      </c>
      <c r="C3885" s="20">
        <v>45710</v>
      </c>
      <c r="D3885" s="11">
        <v>521.89200000000005</v>
      </c>
      <c r="E3885" s="27">
        <f t="shared" si="292"/>
        <v>580.97017440000002</v>
      </c>
      <c r="F3885" s="6">
        <f t="shared" si="288"/>
        <v>755.26122672000008</v>
      </c>
      <c r="G3885" s="7">
        <f t="shared" si="289"/>
        <v>813.35824416000003</v>
      </c>
      <c r="H3885" s="8">
        <f t="shared" si="290"/>
        <v>871.45526160000009</v>
      </c>
      <c r="I3885" s="9">
        <f t="shared" si="291"/>
        <v>929.55227904000003</v>
      </c>
    </row>
    <row r="3886" spans="1:9" ht="15.75" customHeight="1" x14ac:dyDescent="0.4">
      <c r="B3886" s="19" t="s">
        <v>2618</v>
      </c>
      <c r="D3886" s="11">
        <v>0</v>
      </c>
      <c r="E3886" s="27">
        <f t="shared" si="292"/>
        <v>0</v>
      </c>
      <c r="F3886" s="6">
        <f t="shared" si="288"/>
        <v>0</v>
      </c>
      <c r="G3886" s="7">
        <f t="shared" si="289"/>
        <v>0</v>
      </c>
      <c r="H3886" s="8">
        <f t="shared" si="290"/>
        <v>0</v>
      </c>
      <c r="I3886" s="9">
        <f t="shared" si="291"/>
        <v>0</v>
      </c>
    </row>
    <row r="3887" spans="1:9" x14ac:dyDescent="0.35">
      <c r="A3887" s="18" t="s">
        <v>1985</v>
      </c>
      <c r="B3887" s="18" t="s">
        <v>2672</v>
      </c>
      <c r="C3887" s="20">
        <v>45673</v>
      </c>
      <c r="D3887" s="11">
        <v>573.66179639999996</v>
      </c>
      <c r="E3887" s="27">
        <f t="shared" si="292"/>
        <v>638.60031175247991</v>
      </c>
      <c r="F3887" s="6">
        <f t="shared" si="288"/>
        <v>830.18040527822393</v>
      </c>
      <c r="G3887" s="7">
        <f t="shared" si="289"/>
        <v>894.04043645347178</v>
      </c>
      <c r="H3887" s="8">
        <f t="shared" si="290"/>
        <v>957.90046762871987</v>
      </c>
      <c r="I3887" s="9">
        <f t="shared" si="291"/>
        <v>1021.7604988039679</v>
      </c>
    </row>
    <row r="3888" spans="1:9" x14ac:dyDescent="0.35">
      <c r="A3888" s="18" t="s">
        <v>1986</v>
      </c>
      <c r="B3888" s="18" t="s">
        <v>2673</v>
      </c>
      <c r="C3888" s="20">
        <v>45673</v>
      </c>
      <c r="D3888" s="11">
        <v>609.67491480000001</v>
      </c>
      <c r="E3888" s="27">
        <f t="shared" si="292"/>
        <v>678.6901151553601</v>
      </c>
      <c r="F3888" s="6">
        <f t="shared" si="288"/>
        <v>882.29714970196812</v>
      </c>
      <c r="G3888" s="7">
        <f t="shared" si="289"/>
        <v>950.16616121750405</v>
      </c>
      <c r="H3888" s="8">
        <f t="shared" si="290"/>
        <v>1018.0351727330401</v>
      </c>
      <c r="I3888" s="9">
        <f t="shared" si="291"/>
        <v>1085.9041842485763</v>
      </c>
    </row>
    <row r="3889" spans="1:9" x14ac:dyDescent="0.35">
      <c r="A3889" s="18" t="s">
        <v>6682</v>
      </c>
      <c r="B3889" s="18" t="s">
        <v>6685</v>
      </c>
      <c r="C3889" s="20">
        <v>45673</v>
      </c>
      <c r="D3889" s="11">
        <v>532.68595380000011</v>
      </c>
      <c r="E3889" s="27">
        <f t="shared" si="292"/>
        <v>592.98600377016021</v>
      </c>
      <c r="F3889" s="6">
        <f t="shared" si="288"/>
        <v>770.88180490120828</v>
      </c>
      <c r="G3889" s="7">
        <f t="shared" si="289"/>
        <v>830.18040527822427</v>
      </c>
      <c r="H3889" s="8">
        <f t="shared" si="290"/>
        <v>889.47900565524037</v>
      </c>
      <c r="I3889" s="9">
        <f t="shared" si="291"/>
        <v>948.77760603225636</v>
      </c>
    </row>
    <row r="3890" spans="1:9" x14ac:dyDescent="0.35">
      <c r="A3890" s="18" t="s">
        <v>6683</v>
      </c>
      <c r="B3890" s="18" t="s">
        <v>6684</v>
      </c>
      <c r="C3890" s="20">
        <v>45673</v>
      </c>
      <c r="D3890" s="11">
        <v>566.12670660000015</v>
      </c>
      <c r="E3890" s="27">
        <f t="shared" si="292"/>
        <v>630.21224978712019</v>
      </c>
      <c r="F3890" s="6">
        <f t="shared" si="288"/>
        <v>819.27592472325625</v>
      </c>
      <c r="G3890" s="7">
        <f t="shared" si="289"/>
        <v>882.29714970196824</v>
      </c>
      <c r="H3890" s="8">
        <f t="shared" si="290"/>
        <v>945.31837468068034</v>
      </c>
      <c r="I3890" s="9">
        <f t="shared" si="291"/>
        <v>1008.3395996593923</v>
      </c>
    </row>
    <row r="3891" spans="1:9" ht="15.75" customHeight="1" x14ac:dyDescent="0.4">
      <c r="B3891" s="19" t="s">
        <v>2619</v>
      </c>
      <c r="D3891" s="11">
        <v>0</v>
      </c>
      <c r="E3891" s="27">
        <f t="shared" si="292"/>
        <v>0</v>
      </c>
      <c r="F3891" s="6">
        <f t="shared" si="288"/>
        <v>0</v>
      </c>
      <c r="G3891" s="7">
        <f t="shared" si="289"/>
        <v>0</v>
      </c>
      <c r="H3891" s="8">
        <f t="shared" si="290"/>
        <v>0</v>
      </c>
      <c r="I3891" s="9">
        <f t="shared" si="291"/>
        <v>0</v>
      </c>
    </row>
    <row r="3892" spans="1:9" x14ac:dyDescent="0.35">
      <c r="A3892" s="28" t="s">
        <v>1987</v>
      </c>
      <c r="B3892" s="28" t="s">
        <v>2674</v>
      </c>
      <c r="C3892" s="29">
        <v>45731</v>
      </c>
      <c r="D3892" s="11">
        <v>426.6</v>
      </c>
      <c r="E3892" s="27">
        <f t="shared" si="292"/>
        <v>474.89112000000006</v>
      </c>
      <c r="F3892" s="6">
        <f t="shared" si="288"/>
        <v>617.35845600000005</v>
      </c>
      <c r="G3892" s="7">
        <f t="shared" si="289"/>
        <v>664.84756800000002</v>
      </c>
      <c r="H3892" s="8">
        <f t="shared" si="290"/>
        <v>712.33668000000011</v>
      </c>
      <c r="I3892" s="9">
        <f t="shared" si="291"/>
        <v>759.82579200000009</v>
      </c>
    </row>
    <row r="3893" spans="1:9" x14ac:dyDescent="0.35">
      <c r="A3893" s="28" t="s">
        <v>1988</v>
      </c>
      <c r="B3893" s="28" t="s">
        <v>2675</v>
      </c>
      <c r="C3893" s="29">
        <v>45731</v>
      </c>
      <c r="D3893" s="11">
        <v>534</v>
      </c>
      <c r="E3893" s="27">
        <f t="shared" si="292"/>
        <v>594.44880000000001</v>
      </c>
      <c r="F3893" s="6">
        <f t="shared" si="288"/>
        <v>772.78344000000004</v>
      </c>
      <c r="G3893" s="7">
        <f t="shared" si="289"/>
        <v>832.22831999999994</v>
      </c>
      <c r="H3893" s="8">
        <f t="shared" si="290"/>
        <v>891.67319999999995</v>
      </c>
      <c r="I3893" s="9">
        <f t="shared" si="291"/>
        <v>951.11808000000008</v>
      </c>
    </row>
    <row r="3894" spans="1:9" x14ac:dyDescent="0.35">
      <c r="A3894" s="28" t="s">
        <v>1989</v>
      </c>
      <c r="B3894" s="28" t="s">
        <v>2676</v>
      </c>
      <c r="C3894" s="29">
        <v>45731</v>
      </c>
      <c r="D3894" s="11">
        <v>556.4</v>
      </c>
      <c r="E3894" s="27">
        <f t="shared" si="292"/>
        <v>619.38447999999994</v>
      </c>
      <c r="F3894" s="6">
        <f t="shared" si="288"/>
        <v>805.19982399999992</v>
      </c>
      <c r="G3894" s="7">
        <f t="shared" si="289"/>
        <v>867.13827199999992</v>
      </c>
      <c r="H3894" s="8">
        <f t="shared" si="290"/>
        <v>929.07671999999991</v>
      </c>
      <c r="I3894" s="9">
        <f t="shared" si="291"/>
        <v>991.0151679999999</v>
      </c>
    </row>
    <row r="3895" spans="1:9" x14ac:dyDescent="0.35">
      <c r="A3895" s="18" t="s">
        <v>1990</v>
      </c>
      <c r="B3895" s="18" t="s">
        <v>2181</v>
      </c>
      <c r="C3895" s="20">
        <v>45580</v>
      </c>
      <c r="D3895" s="11">
        <v>0</v>
      </c>
      <c r="E3895" s="27">
        <f t="shared" si="292"/>
        <v>0</v>
      </c>
      <c r="F3895" s="6">
        <f t="shared" si="288"/>
        <v>0</v>
      </c>
      <c r="G3895" s="7">
        <f t="shared" si="289"/>
        <v>0</v>
      </c>
      <c r="H3895" s="8">
        <f t="shared" si="290"/>
        <v>0</v>
      </c>
      <c r="I3895" s="9">
        <f t="shared" si="291"/>
        <v>0</v>
      </c>
    </row>
    <row r="3896" spans="1:9" x14ac:dyDescent="0.35">
      <c r="A3896" s="18" t="s">
        <v>1991</v>
      </c>
      <c r="B3896" s="18" t="s">
        <v>2182</v>
      </c>
      <c r="C3896" s="20">
        <v>45580</v>
      </c>
      <c r="D3896" s="11">
        <v>79.394000000000005</v>
      </c>
      <c r="E3896" s="27">
        <f t="shared" si="292"/>
        <v>88.381400800000009</v>
      </c>
      <c r="F3896" s="6">
        <f t="shared" si="288"/>
        <v>114.89582104000002</v>
      </c>
      <c r="G3896" s="7">
        <f t="shared" si="289"/>
        <v>123.73396112</v>
      </c>
      <c r="H3896" s="8">
        <f t="shared" si="290"/>
        <v>132.57210120000002</v>
      </c>
      <c r="I3896" s="9">
        <f t="shared" si="291"/>
        <v>141.41024128000001</v>
      </c>
    </row>
    <row r="3897" spans="1:9" x14ac:dyDescent="0.35">
      <c r="A3897" s="18" t="s">
        <v>1992</v>
      </c>
      <c r="B3897" s="18" t="s">
        <v>3121</v>
      </c>
      <c r="C3897" s="20">
        <v>45580</v>
      </c>
      <c r="D3897" s="11">
        <v>0</v>
      </c>
      <c r="E3897" s="27">
        <f t="shared" si="292"/>
        <v>0</v>
      </c>
      <c r="F3897" s="6">
        <f t="shared" si="288"/>
        <v>0</v>
      </c>
      <c r="G3897" s="7">
        <f t="shared" si="289"/>
        <v>0</v>
      </c>
      <c r="H3897" s="8">
        <f t="shared" si="290"/>
        <v>0</v>
      </c>
      <c r="I3897" s="9">
        <f t="shared" si="291"/>
        <v>0</v>
      </c>
    </row>
    <row r="3898" spans="1:9" x14ac:dyDescent="0.35">
      <c r="A3898" s="18" t="s">
        <v>1993</v>
      </c>
      <c r="B3898" s="18" t="s">
        <v>3122</v>
      </c>
      <c r="C3898" s="20">
        <v>45580</v>
      </c>
      <c r="D3898" s="11">
        <v>69.335999999999999</v>
      </c>
      <c r="E3898" s="27">
        <f t="shared" si="292"/>
        <v>77.184835199999995</v>
      </c>
      <c r="F3898" s="6">
        <f t="shared" si="288"/>
        <v>100.34028576</v>
      </c>
      <c r="G3898" s="7">
        <f t="shared" si="289"/>
        <v>108.05876927999999</v>
      </c>
      <c r="H3898" s="8">
        <f t="shared" si="290"/>
        <v>115.77725279999999</v>
      </c>
      <c r="I3898" s="9">
        <f t="shared" si="291"/>
        <v>123.49573631999999</v>
      </c>
    </row>
    <row r="3899" spans="1:9" x14ac:dyDescent="0.35">
      <c r="A3899" s="18" t="s">
        <v>1994</v>
      </c>
      <c r="B3899" s="18" t="s">
        <v>3123</v>
      </c>
      <c r="C3899" s="20">
        <v>45580</v>
      </c>
      <c r="D3899" s="11">
        <v>240.80382781213066</v>
      </c>
      <c r="E3899" s="27">
        <f t="shared" si="292"/>
        <v>268.06282112046387</v>
      </c>
      <c r="F3899" s="6">
        <f t="shared" si="288"/>
        <v>348.48166745660302</v>
      </c>
      <c r="G3899" s="7">
        <f t="shared" si="289"/>
        <v>375.28794956864937</v>
      </c>
      <c r="H3899" s="8">
        <f t="shared" si="290"/>
        <v>402.09423168069577</v>
      </c>
      <c r="I3899" s="9">
        <f t="shared" si="291"/>
        <v>428.90051379274223</v>
      </c>
    </row>
    <row r="3900" spans="1:9" x14ac:dyDescent="0.35">
      <c r="A3900" s="18" t="s">
        <v>1995</v>
      </c>
      <c r="B3900" s="18" t="s">
        <v>3124</v>
      </c>
      <c r="C3900" s="20">
        <v>45580</v>
      </c>
      <c r="D3900" s="11">
        <v>1456.6151917102504</v>
      </c>
      <c r="E3900" s="27">
        <f t="shared" si="292"/>
        <v>1621.5040314118507</v>
      </c>
      <c r="F3900" s="6">
        <f t="shared" si="288"/>
        <v>2107.9552408354061</v>
      </c>
      <c r="G3900" s="7">
        <f t="shared" si="289"/>
        <v>2270.1056439765907</v>
      </c>
      <c r="H3900" s="8">
        <f t="shared" si="290"/>
        <v>2432.2560471177762</v>
      </c>
      <c r="I3900" s="9">
        <f t="shared" si="291"/>
        <v>2594.4064502589613</v>
      </c>
    </row>
    <row r="3901" spans="1:9" x14ac:dyDescent="0.35">
      <c r="A3901" s="18" t="s">
        <v>1996</v>
      </c>
      <c r="B3901" s="18" t="s">
        <v>804</v>
      </c>
      <c r="C3901" s="20">
        <v>45580</v>
      </c>
      <c r="D3901" s="11">
        <v>0</v>
      </c>
      <c r="E3901" s="27">
        <f t="shared" si="292"/>
        <v>0</v>
      </c>
      <c r="F3901" s="6">
        <f t="shared" si="288"/>
        <v>0</v>
      </c>
      <c r="G3901" s="7">
        <f t="shared" si="289"/>
        <v>0</v>
      </c>
      <c r="H3901" s="8">
        <f t="shared" si="290"/>
        <v>0</v>
      </c>
      <c r="I3901" s="9">
        <f t="shared" si="291"/>
        <v>0</v>
      </c>
    </row>
    <row r="3902" spans="1:9" x14ac:dyDescent="0.35">
      <c r="A3902" s="18" t="s">
        <v>522</v>
      </c>
      <c r="B3902" s="18" t="s">
        <v>523</v>
      </c>
      <c r="C3902" s="20">
        <v>45580</v>
      </c>
      <c r="D3902" s="11">
        <v>453.31655033688838</v>
      </c>
      <c r="E3902" s="27">
        <f t="shared" si="292"/>
        <v>504.63198383502419</v>
      </c>
      <c r="F3902" s="6">
        <f t="shared" si="288"/>
        <v>656.02157898553151</v>
      </c>
      <c r="G3902" s="7">
        <f t="shared" si="289"/>
        <v>706.48477736903385</v>
      </c>
      <c r="H3902" s="8">
        <f t="shared" si="290"/>
        <v>756.94797575253631</v>
      </c>
      <c r="I3902" s="9">
        <f t="shared" si="291"/>
        <v>807.41117413603877</v>
      </c>
    </row>
    <row r="3903" spans="1:9" x14ac:dyDescent="0.35">
      <c r="A3903" s="18" t="s">
        <v>1997</v>
      </c>
      <c r="B3903" s="18" t="s">
        <v>805</v>
      </c>
      <c r="C3903" s="20">
        <v>45580</v>
      </c>
      <c r="D3903" s="11">
        <v>0</v>
      </c>
      <c r="E3903" s="27">
        <f t="shared" si="292"/>
        <v>0</v>
      </c>
      <c r="F3903" s="6">
        <f t="shared" si="288"/>
        <v>0</v>
      </c>
      <c r="G3903" s="7">
        <f t="shared" si="289"/>
        <v>0</v>
      </c>
      <c r="H3903" s="8">
        <f t="shared" si="290"/>
        <v>0</v>
      </c>
      <c r="I3903" s="9">
        <f t="shared" si="291"/>
        <v>0</v>
      </c>
    </row>
    <row r="3904" spans="1:9" x14ac:dyDescent="0.35">
      <c r="A3904" s="28" t="s">
        <v>1998</v>
      </c>
      <c r="B3904" s="28" t="s">
        <v>477</v>
      </c>
      <c r="C3904" s="29">
        <v>45731</v>
      </c>
      <c r="D3904" s="11">
        <v>53.12</v>
      </c>
      <c r="E3904" s="27">
        <f t="shared" si="292"/>
        <v>59.133184</v>
      </c>
      <c r="F3904" s="6">
        <f t="shared" si="288"/>
        <v>76.873139199999997</v>
      </c>
      <c r="G3904" s="7">
        <f t="shared" si="289"/>
        <v>82.786457599999991</v>
      </c>
      <c r="H3904" s="8">
        <f t="shared" si="290"/>
        <v>88.699776</v>
      </c>
      <c r="I3904" s="9">
        <f t="shared" si="291"/>
        <v>94.613094400000008</v>
      </c>
    </row>
    <row r="3905" spans="1:9" x14ac:dyDescent="0.35">
      <c r="A3905" s="18" t="s">
        <v>2620</v>
      </c>
      <c r="B3905" s="18" t="s">
        <v>2621</v>
      </c>
      <c r="C3905" s="20">
        <v>45580</v>
      </c>
      <c r="D3905" s="11">
        <v>101.43187418165613</v>
      </c>
      <c r="E3905" s="27">
        <f t="shared" si="292"/>
        <v>112.9139623390196</v>
      </c>
      <c r="F3905" s="6">
        <f t="shared" si="288"/>
        <v>146.7881510407255</v>
      </c>
      <c r="G3905" s="7">
        <f t="shared" si="289"/>
        <v>158.07954727462743</v>
      </c>
      <c r="H3905" s="8">
        <f t="shared" si="290"/>
        <v>169.37094350852942</v>
      </c>
      <c r="I3905" s="9">
        <f t="shared" si="291"/>
        <v>180.66233974243139</v>
      </c>
    </row>
    <row r="3906" spans="1:9" x14ac:dyDescent="0.35">
      <c r="A3906" s="18" t="s">
        <v>423</v>
      </c>
      <c r="B3906" s="18" t="s">
        <v>424</v>
      </c>
      <c r="C3906" s="20">
        <v>45580</v>
      </c>
      <c r="D3906" s="11">
        <v>211</v>
      </c>
      <c r="E3906" s="27">
        <f t="shared" si="292"/>
        <v>234.88520000000003</v>
      </c>
      <c r="F3906" s="6">
        <f t="shared" ref="F3906:F3968" si="293">E3906*1.3</f>
        <v>305.35076000000004</v>
      </c>
      <c r="G3906" s="7">
        <f t="shared" ref="G3906:G3968" si="294">E3906*1.4</f>
        <v>328.83928000000003</v>
      </c>
      <c r="H3906" s="8">
        <f t="shared" ref="H3906:H3968" si="295">E3906*1.5</f>
        <v>352.32780000000002</v>
      </c>
      <c r="I3906" s="9">
        <f t="shared" ref="I3906:I3968" si="296">E3906*1.6</f>
        <v>375.81632000000008</v>
      </c>
    </row>
    <row r="3907" spans="1:9" x14ac:dyDescent="0.35">
      <c r="A3907" s="18" t="s">
        <v>4661</v>
      </c>
      <c r="B3907" s="18" t="s">
        <v>4662</v>
      </c>
      <c r="C3907" s="20">
        <v>45580</v>
      </c>
      <c r="D3907" s="11">
        <v>66.094811454329644</v>
      </c>
      <c r="E3907" s="27">
        <f t="shared" si="292"/>
        <v>73.576744110959751</v>
      </c>
      <c r="F3907" s="6">
        <f t="shared" si="293"/>
        <v>95.649767344247678</v>
      </c>
      <c r="G3907" s="7">
        <f t="shared" si="294"/>
        <v>103.00744175534365</v>
      </c>
      <c r="H3907" s="8">
        <f t="shared" si="295"/>
        <v>110.36511616643963</v>
      </c>
      <c r="I3907" s="9">
        <f t="shared" si="296"/>
        <v>117.7227905775356</v>
      </c>
    </row>
    <row r="3908" spans="1:9" ht="15.75" customHeight="1" x14ac:dyDescent="0.4">
      <c r="B3908" s="19" t="s">
        <v>2622</v>
      </c>
      <c r="D3908" s="11">
        <v>0</v>
      </c>
      <c r="E3908" s="27">
        <f t="shared" si="292"/>
        <v>0</v>
      </c>
      <c r="F3908" s="6">
        <f t="shared" si="293"/>
        <v>0</v>
      </c>
      <c r="G3908" s="7">
        <f t="shared" si="294"/>
        <v>0</v>
      </c>
      <c r="H3908" s="8">
        <f t="shared" si="295"/>
        <v>0</v>
      </c>
      <c r="I3908" s="9">
        <f t="shared" si="296"/>
        <v>0</v>
      </c>
    </row>
    <row r="3909" spans="1:9" x14ac:dyDescent="0.35">
      <c r="A3909" s="18" t="s">
        <v>1999</v>
      </c>
      <c r="B3909" s="18" t="s">
        <v>478</v>
      </c>
      <c r="C3909" s="20">
        <v>45503</v>
      </c>
      <c r="D3909" s="11">
        <v>868.34632500000009</v>
      </c>
      <c r="E3909" s="27">
        <f t="shared" si="292"/>
        <v>966.64312899000015</v>
      </c>
      <c r="F3909" s="6">
        <f t="shared" si="293"/>
        <v>1256.6360676870001</v>
      </c>
      <c r="G3909" s="7">
        <f t="shared" si="294"/>
        <v>1353.3003805860001</v>
      </c>
      <c r="H3909" s="8">
        <f t="shared" si="295"/>
        <v>1449.9646934850002</v>
      </c>
      <c r="I3909" s="9">
        <f t="shared" si="296"/>
        <v>1546.6290063840004</v>
      </c>
    </row>
    <row r="3910" spans="1:9" x14ac:dyDescent="0.35">
      <c r="A3910" s="18" t="s">
        <v>2000</v>
      </c>
      <c r="B3910" s="18" t="s">
        <v>479</v>
      </c>
      <c r="C3910" s="20">
        <v>45503</v>
      </c>
      <c r="D3910" s="11">
        <v>1003.6112625000001</v>
      </c>
      <c r="E3910" s="27">
        <f t="shared" si="292"/>
        <v>1117.2200574150002</v>
      </c>
      <c r="F3910" s="6">
        <f t="shared" si="293"/>
        <v>1452.3860746395003</v>
      </c>
      <c r="G3910" s="7">
        <f t="shared" si="294"/>
        <v>1564.108080381</v>
      </c>
      <c r="H3910" s="8">
        <f t="shared" si="295"/>
        <v>1675.8300861225002</v>
      </c>
      <c r="I3910" s="9">
        <f t="shared" si="296"/>
        <v>1787.5520918640004</v>
      </c>
    </row>
    <row r="3911" spans="1:9" ht="15.75" customHeight="1" x14ac:dyDescent="0.4">
      <c r="B3911" s="19" t="s">
        <v>2623</v>
      </c>
      <c r="D3911" s="11">
        <v>0</v>
      </c>
      <c r="E3911" s="27">
        <f t="shared" si="292"/>
        <v>0</v>
      </c>
      <c r="F3911" s="6">
        <f t="shared" si="293"/>
        <v>0</v>
      </c>
      <c r="G3911" s="7">
        <f t="shared" si="294"/>
        <v>0</v>
      </c>
      <c r="H3911" s="8">
        <f t="shared" si="295"/>
        <v>0</v>
      </c>
      <c r="I3911" s="9">
        <f t="shared" si="296"/>
        <v>0</v>
      </c>
    </row>
    <row r="3912" spans="1:9" x14ac:dyDescent="0.35">
      <c r="A3912" s="18" t="s">
        <v>2001</v>
      </c>
      <c r="B3912" s="18" t="s">
        <v>480</v>
      </c>
      <c r="C3912" s="20">
        <v>45588</v>
      </c>
      <c r="D3912" s="11">
        <v>2206.3453592045844</v>
      </c>
      <c r="E3912" s="27">
        <f t="shared" si="292"/>
        <v>2456.103653866543</v>
      </c>
      <c r="F3912" s="6">
        <f t="shared" si="293"/>
        <v>3192.9347500265062</v>
      </c>
      <c r="G3912" s="7">
        <f t="shared" si="294"/>
        <v>3438.5451154131601</v>
      </c>
      <c r="H3912" s="8">
        <f t="shared" si="295"/>
        <v>3684.1554807998145</v>
      </c>
      <c r="I3912" s="9">
        <f t="shared" si="296"/>
        <v>3929.7658461864689</v>
      </c>
    </row>
    <row r="3913" spans="1:9" x14ac:dyDescent="0.35">
      <c r="A3913" s="18" t="s">
        <v>2065</v>
      </c>
      <c r="B3913" s="18" t="s">
        <v>481</v>
      </c>
      <c r="C3913" s="20">
        <v>45588</v>
      </c>
      <c r="D3913" s="11">
        <v>2510.7570667354194</v>
      </c>
      <c r="E3913" s="27">
        <f t="shared" si="292"/>
        <v>2794.9747666898688</v>
      </c>
      <c r="F3913" s="6">
        <f t="shared" si="293"/>
        <v>3633.4671966968294</v>
      </c>
      <c r="G3913" s="7">
        <f t="shared" si="294"/>
        <v>3912.964673365816</v>
      </c>
      <c r="H3913" s="8">
        <f t="shared" si="295"/>
        <v>4192.462150034803</v>
      </c>
      <c r="I3913" s="9">
        <f t="shared" si="296"/>
        <v>4471.9596267037905</v>
      </c>
    </row>
    <row r="3914" spans="1:9" x14ac:dyDescent="0.35">
      <c r="A3914" s="18" t="s">
        <v>2066</v>
      </c>
      <c r="B3914" s="18" t="s">
        <v>482</v>
      </c>
      <c r="C3914" s="20">
        <v>45588</v>
      </c>
      <c r="D3914" s="11">
        <v>3427.8293116917584</v>
      </c>
      <c r="E3914" s="27">
        <f t="shared" si="292"/>
        <v>3815.8595897752657</v>
      </c>
      <c r="F3914" s="6">
        <f t="shared" si="293"/>
        <v>4960.6174667078458</v>
      </c>
      <c r="G3914" s="7">
        <f t="shared" si="294"/>
        <v>5342.2034256853713</v>
      </c>
      <c r="H3914" s="8">
        <f t="shared" si="295"/>
        <v>5723.7893846628986</v>
      </c>
      <c r="I3914" s="9">
        <f t="shared" si="296"/>
        <v>6105.3753436404259</v>
      </c>
    </row>
    <row r="3915" spans="1:9" x14ac:dyDescent="0.35">
      <c r="A3915" s="18" t="s">
        <v>2067</v>
      </c>
      <c r="B3915" s="18" t="s">
        <v>483</v>
      </c>
      <c r="C3915" s="20">
        <v>45588</v>
      </c>
      <c r="D3915" s="11">
        <v>239.82014773962874</v>
      </c>
      <c r="E3915" s="27">
        <f t="shared" si="292"/>
        <v>266.96778846375474</v>
      </c>
      <c r="F3915" s="6">
        <f t="shared" si="293"/>
        <v>347.05812500288118</v>
      </c>
      <c r="G3915" s="7">
        <f t="shared" si="294"/>
        <v>373.75490384925661</v>
      </c>
      <c r="H3915" s="8">
        <f t="shared" si="295"/>
        <v>400.45168269563214</v>
      </c>
      <c r="I3915" s="9">
        <f t="shared" si="296"/>
        <v>427.14846154200762</v>
      </c>
    </row>
    <row r="3916" spans="1:9" ht="15.75" customHeight="1" x14ac:dyDescent="0.4">
      <c r="B3916" s="19" t="s">
        <v>2624</v>
      </c>
      <c r="D3916" s="11">
        <v>0</v>
      </c>
      <c r="E3916" s="27">
        <f t="shared" si="292"/>
        <v>0</v>
      </c>
      <c r="F3916" s="6">
        <f t="shared" si="293"/>
        <v>0</v>
      </c>
      <c r="G3916" s="7">
        <f t="shared" si="294"/>
        <v>0</v>
      </c>
      <c r="H3916" s="8">
        <f t="shared" si="295"/>
        <v>0</v>
      </c>
      <c r="I3916" s="9">
        <f t="shared" si="296"/>
        <v>0</v>
      </c>
    </row>
    <row r="3917" spans="1:9" x14ac:dyDescent="0.35">
      <c r="A3917" s="18" t="s">
        <v>2068</v>
      </c>
      <c r="B3917" s="18" t="s">
        <v>484</v>
      </c>
      <c r="C3917" s="20">
        <v>45513</v>
      </c>
      <c r="D3917" s="11">
        <v>2710.8334837584011</v>
      </c>
      <c r="E3917" s="27">
        <f t="shared" si="292"/>
        <v>3017.6998341198519</v>
      </c>
      <c r="F3917" s="6">
        <f t="shared" si="293"/>
        <v>3923.0097843558074</v>
      </c>
      <c r="G3917" s="7">
        <f t="shared" si="294"/>
        <v>4224.7797677677927</v>
      </c>
      <c r="H3917" s="8">
        <f t="shared" si="295"/>
        <v>4526.5497511797776</v>
      </c>
      <c r="I3917" s="9">
        <f t="shared" si="296"/>
        <v>4828.3197345917633</v>
      </c>
    </row>
    <row r="3918" spans="1:9" x14ac:dyDescent="0.35">
      <c r="A3918" s="18" t="s">
        <v>2069</v>
      </c>
      <c r="B3918" s="18" t="s">
        <v>485</v>
      </c>
      <c r="C3918" s="20">
        <v>45513</v>
      </c>
      <c r="D3918" s="11">
        <v>3712.6632494952005</v>
      </c>
      <c r="E3918" s="27">
        <f t="shared" si="292"/>
        <v>4132.9367293380574</v>
      </c>
      <c r="F3918" s="6">
        <f t="shared" si="293"/>
        <v>5372.817748139475</v>
      </c>
      <c r="G3918" s="7">
        <f t="shared" si="294"/>
        <v>5786.1114210732803</v>
      </c>
      <c r="H3918" s="8">
        <f t="shared" si="295"/>
        <v>6199.4050940070865</v>
      </c>
      <c r="I3918" s="9">
        <f t="shared" si="296"/>
        <v>6612.6987669408918</v>
      </c>
    </row>
    <row r="3919" spans="1:9" x14ac:dyDescent="0.35">
      <c r="A3919" s="18" t="s">
        <v>6134</v>
      </c>
      <c r="B3919" s="18" t="s">
        <v>6135</v>
      </c>
      <c r="C3919" s="20">
        <v>45513</v>
      </c>
      <c r="D3919" s="11">
        <v>2944.6200000000003</v>
      </c>
      <c r="E3919" s="27">
        <f t="shared" si="292"/>
        <v>3277.9509840000005</v>
      </c>
      <c r="F3919" s="6">
        <f t="shared" si="293"/>
        <v>4261.3362792000007</v>
      </c>
      <c r="G3919" s="7">
        <f t="shared" si="294"/>
        <v>4589.1313776000006</v>
      </c>
      <c r="H3919" s="8">
        <f t="shared" si="295"/>
        <v>4916.9264760000005</v>
      </c>
      <c r="I3919" s="9">
        <f t="shared" si="296"/>
        <v>5244.7215744000014</v>
      </c>
    </row>
    <row r="3920" spans="1:9" ht="15.75" customHeight="1" x14ac:dyDescent="0.4">
      <c r="B3920" s="19" t="s">
        <v>2625</v>
      </c>
      <c r="D3920" s="11">
        <v>0</v>
      </c>
      <c r="E3920" s="27">
        <f t="shared" si="292"/>
        <v>0</v>
      </c>
      <c r="F3920" s="6">
        <f t="shared" si="293"/>
        <v>0</v>
      </c>
      <c r="G3920" s="7">
        <f t="shared" si="294"/>
        <v>0</v>
      </c>
      <c r="H3920" s="8">
        <f t="shared" si="295"/>
        <v>0</v>
      </c>
      <c r="I3920" s="9">
        <f t="shared" si="296"/>
        <v>0</v>
      </c>
    </row>
    <row r="3921" spans="1:9" x14ac:dyDescent="0.35">
      <c r="A3921" s="18" t="s">
        <v>2070</v>
      </c>
      <c r="B3921" s="18" t="s">
        <v>486</v>
      </c>
      <c r="C3921" s="20">
        <v>45726</v>
      </c>
      <c r="D3921" s="11">
        <v>1533.5769487500006</v>
      </c>
      <c r="E3921" s="27">
        <f t="shared" si="292"/>
        <v>1707.1778593485008</v>
      </c>
      <c r="F3921" s="6">
        <f t="shared" si="293"/>
        <v>2219.3312171530511</v>
      </c>
      <c r="G3921" s="7">
        <f t="shared" si="294"/>
        <v>2390.0490030879009</v>
      </c>
      <c r="H3921" s="8">
        <f t="shared" si="295"/>
        <v>2560.7667890227513</v>
      </c>
      <c r="I3921" s="9">
        <f t="shared" si="296"/>
        <v>2731.4845749576016</v>
      </c>
    </row>
    <row r="3922" spans="1:9" x14ac:dyDescent="0.35">
      <c r="A3922" s="18" t="s">
        <v>2071</v>
      </c>
      <c r="B3922" s="18" t="s">
        <v>487</v>
      </c>
      <c r="C3922" s="20">
        <v>45726</v>
      </c>
      <c r="D3922" s="11">
        <v>1806.9914362500006</v>
      </c>
      <c r="E3922" s="27">
        <f t="shared" ref="E3922:E3985" si="297">D3922*1.21*0.92</f>
        <v>2011.5428668335007</v>
      </c>
      <c r="F3922" s="6">
        <f t="shared" si="293"/>
        <v>2615.0057268835512</v>
      </c>
      <c r="G3922" s="7">
        <f t="shared" si="294"/>
        <v>2816.1600135669009</v>
      </c>
      <c r="H3922" s="8">
        <f t="shared" si="295"/>
        <v>3017.3143002502511</v>
      </c>
      <c r="I3922" s="9">
        <f t="shared" si="296"/>
        <v>3218.4685869336013</v>
      </c>
    </row>
    <row r="3923" spans="1:9" x14ac:dyDescent="0.35">
      <c r="A3923" s="18" t="s">
        <v>2072</v>
      </c>
      <c r="B3923" s="18" t="s">
        <v>488</v>
      </c>
      <c r="C3923" s="20">
        <v>45726</v>
      </c>
      <c r="D3923" s="11">
        <v>2024.4132562500006</v>
      </c>
      <c r="E3923" s="27">
        <f t="shared" si="297"/>
        <v>2253.5768368575009</v>
      </c>
      <c r="F3923" s="6">
        <f t="shared" si="293"/>
        <v>2929.6498879147512</v>
      </c>
      <c r="G3923" s="7">
        <f t="shared" si="294"/>
        <v>3155.0075716005013</v>
      </c>
      <c r="H3923" s="8">
        <f t="shared" si="295"/>
        <v>3380.3652552862513</v>
      </c>
      <c r="I3923" s="9">
        <f t="shared" si="296"/>
        <v>3605.7229389720014</v>
      </c>
    </row>
    <row r="3924" spans="1:9" x14ac:dyDescent="0.35">
      <c r="A3924" s="18" t="s">
        <v>2073</v>
      </c>
      <c r="B3924" s="18" t="s">
        <v>489</v>
      </c>
      <c r="C3924" s="20">
        <v>45726</v>
      </c>
      <c r="D3924" s="11">
        <v>2447.4689662500009</v>
      </c>
      <c r="E3924" s="27">
        <f t="shared" si="297"/>
        <v>2724.522453229501</v>
      </c>
      <c r="F3924" s="6">
        <f t="shared" si="293"/>
        <v>3541.8791891983515</v>
      </c>
      <c r="G3924" s="7">
        <f t="shared" si="294"/>
        <v>3814.3314345213012</v>
      </c>
      <c r="H3924" s="8">
        <f t="shared" si="295"/>
        <v>4086.7836798442513</v>
      </c>
      <c r="I3924" s="9">
        <f t="shared" si="296"/>
        <v>4359.2359251672015</v>
      </c>
    </row>
    <row r="3925" spans="1:9" x14ac:dyDescent="0.35">
      <c r="A3925" s="18" t="s">
        <v>2074</v>
      </c>
      <c r="B3925" s="18" t="s">
        <v>490</v>
      </c>
      <c r="C3925" s="20">
        <v>45726</v>
      </c>
      <c r="D3925" s="11">
        <v>212.625</v>
      </c>
      <c r="E3925" s="27">
        <f t="shared" si="297"/>
        <v>236.69415000000001</v>
      </c>
      <c r="F3925" s="6">
        <f t="shared" si="293"/>
        <v>307.70239500000002</v>
      </c>
      <c r="G3925" s="7">
        <f t="shared" si="294"/>
        <v>331.37180999999998</v>
      </c>
      <c r="H3925" s="8">
        <f t="shared" si="295"/>
        <v>355.041225</v>
      </c>
      <c r="I3925" s="9">
        <f t="shared" si="296"/>
        <v>378.71064000000001</v>
      </c>
    </row>
    <row r="3926" spans="1:9" x14ac:dyDescent="0.35">
      <c r="A3926" s="18" t="s">
        <v>4817</v>
      </c>
      <c r="B3926" s="18" t="s">
        <v>4818</v>
      </c>
      <c r="C3926" s="20">
        <v>45726</v>
      </c>
      <c r="D3926" s="11">
        <v>256.56750000000005</v>
      </c>
      <c r="E3926" s="27">
        <f t="shared" si="297"/>
        <v>285.61094100000003</v>
      </c>
      <c r="F3926" s="6">
        <f t="shared" si="293"/>
        <v>371.29422330000006</v>
      </c>
      <c r="G3926" s="7">
        <f t="shared" si="294"/>
        <v>399.85531739999999</v>
      </c>
      <c r="H3926" s="8">
        <f t="shared" si="295"/>
        <v>428.41641150000004</v>
      </c>
      <c r="I3926" s="9">
        <f t="shared" si="296"/>
        <v>456.97750560000009</v>
      </c>
    </row>
    <row r="3927" spans="1:9" ht="18" x14ac:dyDescent="0.4">
      <c r="B3927" s="19" t="s">
        <v>183</v>
      </c>
      <c r="D3927" s="11">
        <v>0</v>
      </c>
      <c r="E3927" s="27">
        <f t="shared" si="297"/>
        <v>0</v>
      </c>
      <c r="F3927" s="6">
        <f t="shared" si="293"/>
        <v>0</v>
      </c>
      <c r="G3927" s="7">
        <f t="shared" si="294"/>
        <v>0</v>
      </c>
      <c r="H3927" s="8">
        <f t="shared" si="295"/>
        <v>0</v>
      </c>
      <c r="I3927" s="9">
        <f t="shared" si="296"/>
        <v>0</v>
      </c>
    </row>
    <row r="3928" spans="1:9" x14ac:dyDescent="0.35">
      <c r="A3928" s="18" t="s">
        <v>829</v>
      </c>
      <c r="B3928" s="18" t="s">
        <v>1258</v>
      </c>
      <c r="C3928" s="20">
        <v>45594</v>
      </c>
      <c r="D3928" s="11">
        <v>1601.2026065587481</v>
      </c>
      <c r="E3928" s="27">
        <f t="shared" si="297"/>
        <v>1782.4587416211984</v>
      </c>
      <c r="F3928" s="6">
        <f t="shared" si="293"/>
        <v>2317.1963641075581</v>
      </c>
      <c r="G3928" s="7">
        <f t="shared" si="294"/>
        <v>2495.4422382696775</v>
      </c>
      <c r="H3928" s="8">
        <f t="shared" si="295"/>
        <v>2673.6881124317979</v>
      </c>
      <c r="I3928" s="9">
        <f t="shared" si="296"/>
        <v>2851.9339865939178</v>
      </c>
    </row>
    <row r="3929" spans="1:9" x14ac:dyDescent="0.35">
      <c r="A3929" s="18" t="s">
        <v>1023</v>
      </c>
      <c r="B3929" s="18" t="s">
        <v>1024</v>
      </c>
      <c r="C3929" s="20">
        <v>45594</v>
      </c>
      <c r="D3929" s="11">
        <v>1601.2026065587481</v>
      </c>
      <c r="E3929" s="27">
        <f t="shared" si="297"/>
        <v>1782.4587416211984</v>
      </c>
      <c r="F3929" s="6">
        <f t="shared" si="293"/>
        <v>2317.1963641075581</v>
      </c>
      <c r="G3929" s="7">
        <f t="shared" si="294"/>
        <v>2495.4422382696775</v>
      </c>
      <c r="H3929" s="8">
        <f t="shared" si="295"/>
        <v>2673.6881124317979</v>
      </c>
      <c r="I3929" s="9">
        <f t="shared" si="296"/>
        <v>2851.9339865939178</v>
      </c>
    </row>
    <row r="3930" spans="1:9" x14ac:dyDescent="0.35">
      <c r="A3930" s="18" t="s">
        <v>830</v>
      </c>
      <c r="B3930" s="18" t="s">
        <v>1259</v>
      </c>
      <c r="C3930" s="20">
        <v>45594</v>
      </c>
      <c r="D3930" s="11">
        <v>2532.5650253807898</v>
      </c>
      <c r="E3930" s="27">
        <f t="shared" si="297"/>
        <v>2819.2513862538954</v>
      </c>
      <c r="F3930" s="6">
        <f t="shared" si="293"/>
        <v>3665.026802130064</v>
      </c>
      <c r="G3930" s="7">
        <f t="shared" si="294"/>
        <v>3946.9519407554531</v>
      </c>
      <c r="H3930" s="8">
        <f t="shared" si="295"/>
        <v>4228.8770793808435</v>
      </c>
      <c r="I3930" s="9">
        <f t="shared" si="296"/>
        <v>4510.8022180062326</v>
      </c>
    </row>
    <row r="3931" spans="1:9" x14ac:dyDescent="0.35">
      <c r="A3931" s="18" t="s">
        <v>831</v>
      </c>
      <c r="B3931" s="18" t="s">
        <v>1260</v>
      </c>
      <c r="C3931" s="20">
        <v>45594</v>
      </c>
      <c r="D3931" s="11">
        <v>2472.9433768432009</v>
      </c>
      <c r="E3931" s="27">
        <f t="shared" si="297"/>
        <v>2752.8805671018513</v>
      </c>
      <c r="F3931" s="6">
        <f t="shared" si="293"/>
        <v>3578.7447372324068</v>
      </c>
      <c r="G3931" s="7">
        <f t="shared" si="294"/>
        <v>3854.0327939425915</v>
      </c>
      <c r="H3931" s="8">
        <f t="shared" si="295"/>
        <v>4129.3208506527772</v>
      </c>
      <c r="I3931" s="9">
        <f t="shared" si="296"/>
        <v>4404.6089073629619</v>
      </c>
    </row>
    <row r="3932" spans="1:9" x14ac:dyDescent="0.35">
      <c r="A3932" s="18" t="s">
        <v>1021</v>
      </c>
      <c r="B3932" s="18" t="s">
        <v>1022</v>
      </c>
      <c r="C3932" s="20">
        <v>45594</v>
      </c>
      <c r="D3932" s="11">
        <v>2570.6297682240802</v>
      </c>
      <c r="E3932" s="27">
        <f t="shared" si="297"/>
        <v>2861.6250579870461</v>
      </c>
      <c r="F3932" s="6">
        <f t="shared" si="293"/>
        <v>3720.1125753831602</v>
      </c>
      <c r="G3932" s="7">
        <f t="shared" si="294"/>
        <v>4006.2750811818642</v>
      </c>
      <c r="H3932" s="8">
        <f t="shared" si="295"/>
        <v>4292.437586980569</v>
      </c>
      <c r="I3932" s="9">
        <f t="shared" si="296"/>
        <v>4578.6000927792738</v>
      </c>
    </row>
    <row r="3933" spans="1:9" ht="15.75" customHeight="1" x14ac:dyDescent="0.4">
      <c r="B3933" s="19" t="s">
        <v>2626</v>
      </c>
      <c r="D3933" s="11">
        <v>0</v>
      </c>
      <c r="E3933" s="27">
        <f t="shared" si="297"/>
        <v>0</v>
      </c>
      <c r="F3933" s="6">
        <f t="shared" si="293"/>
        <v>0</v>
      </c>
      <c r="G3933" s="7">
        <f t="shared" si="294"/>
        <v>0</v>
      </c>
      <c r="H3933" s="8">
        <f t="shared" si="295"/>
        <v>0</v>
      </c>
      <c r="I3933" s="9">
        <f t="shared" si="296"/>
        <v>0</v>
      </c>
    </row>
    <row r="3934" spans="1:9" x14ac:dyDescent="0.35">
      <c r="A3934" s="18" t="s">
        <v>2075</v>
      </c>
      <c r="B3934" s="18" t="s">
        <v>491</v>
      </c>
      <c r="C3934" s="20">
        <v>45635</v>
      </c>
      <c r="D3934" s="11">
        <v>190.67602752011763</v>
      </c>
      <c r="E3934" s="27">
        <f t="shared" si="297"/>
        <v>212.26055383539494</v>
      </c>
      <c r="F3934" s="6">
        <f t="shared" si="293"/>
        <v>275.93871998601344</v>
      </c>
      <c r="G3934" s="7">
        <f t="shared" si="294"/>
        <v>297.1647753695529</v>
      </c>
      <c r="H3934" s="8">
        <f t="shared" si="295"/>
        <v>318.39083075309242</v>
      </c>
      <c r="I3934" s="9">
        <f t="shared" si="296"/>
        <v>339.61688613663193</v>
      </c>
    </row>
    <row r="3935" spans="1:9" x14ac:dyDescent="0.35">
      <c r="A3935" s="18" t="s">
        <v>2076</v>
      </c>
      <c r="B3935" s="18" t="s">
        <v>492</v>
      </c>
      <c r="C3935" s="20">
        <v>45635</v>
      </c>
      <c r="D3935" s="11">
        <v>221.74800000000002</v>
      </c>
      <c r="E3935" s="27">
        <f t="shared" si="297"/>
        <v>246.84987360000002</v>
      </c>
      <c r="F3935" s="6">
        <f t="shared" si="293"/>
        <v>320.90483568000002</v>
      </c>
      <c r="G3935" s="7">
        <f t="shared" si="294"/>
        <v>345.58982304</v>
      </c>
      <c r="H3935" s="8">
        <f t="shared" si="295"/>
        <v>370.27481040000004</v>
      </c>
      <c r="I3935" s="9">
        <f t="shared" si="296"/>
        <v>394.95979776000007</v>
      </c>
    </row>
    <row r="3936" spans="1:9" x14ac:dyDescent="0.35">
      <c r="A3936" s="18" t="s">
        <v>2077</v>
      </c>
      <c r="B3936" s="18" t="s">
        <v>493</v>
      </c>
      <c r="C3936" s="20">
        <v>45635</v>
      </c>
      <c r="D3936" s="11">
        <v>221.72898057339373</v>
      </c>
      <c r="E3936" s="27">
        <f t="shared" si="297"/>
        <v>246.82870117430187</v>
      </c>
      <c r="F3936" s="6">
        <f t="shared" si="293"/>
        <v>320.87731152659245</v>
      </c>
      <c r="G3936" s="7">
        <f t="shared" si="294"/>
        <v>345.56018164402258</v>
      </c>
      <c r="H3936" s="8">
        <f t="shared" si="295"/>
        <v>370.24305176145282</v>
      </c>
      <c r="I3936" s="9">
        <f t="shared" si="296"/>
        <v>394.925921878883</v>
      </c>
    </row>
    <row r="3937" spans="1:9" x14ac:dyDescent="0.35">
      <c r="A3937" s="18" t="s">
        <v>2078</v>
      </c>
      <c r="B3937" s="18" t="s">
        <v>494</v>
      </c>
      <c r="C3937" s="20">
        <v>45635</v>
      </c>
      <c r="D3937" s="11">
        <v>277.56464688243182</v>
      </c>
      <c r="E3937" s="27">
        <f t="shared" si="297"/>
        <v>308.98496490952311</v>
      </c>
      <c r="F3937" s="6">
        <f t="shared" si="293"/>
        <v>401.68045438238005</v>
      </c>
      <c r="G3937" s="7">
        <f t="shared" si="294"/>
        <v>432.57895087333236</v>
      </c>
      <c r="H3937" s="8">
        <f t="shared" si="295"/>
        <v>463.47744736428467</v>
      </c>
      <c r="I3937" s="9">
        <f t="shared" si="296"/>
        <v>494.37594385523698</v>
      </c>
    </row>
    <row r="3938" spans="1:9" x14ac:dyDescent="0.35">
      <c r="A3938" s="18" t="s">
        <v>2079</v>
      </c>
      <c r="B3938" s="18" t="s">
        <v>495</v>
      </c>
      <c r="C3938" s="20">
        <v>45635</v>
      </c>
      <c r="D3938" s="11">
        <v>528.55394828576596</v>
      </c>
      <c r="E3938" s="27">
        <f t="shared" si="297"/>
        <v>588.3862552317147</v>
      </c>
      <c r="F3938" s="6">
        <f t="shared" si="293"/>
        <v>764.90213180122919</v>
      </c>
      <c r="G3938" s="7">
        <f t="shared" si="294"/>
        <v>823.74075732440053</v>
      </c>
      <c r="H3938" s="8">
        <f t="shared" si="295"/>
        <v>882.57938284757211</v>
      </c>
      <c r="I3938" s="9">
        <f t="shared" si="296"/>
        <v>941.41800837074356</v>
      </c>
    </row>
    <row r="3939" spans="1:9" x14ac:dyDescent="0.35">
      <c r="A3939" s="18" t="s">
        <v>2080</v>
      </c>
      <c r="B3939" s="18" t="s">
        <v>496</v>
      </c>
      <c r="C3939" s="20">
        <v>45635</v>
      </c>
      <c r="D3939" s="11">
        <v>314.39585968201652</v>
      </c>
      <c r="E3939" s="27">
        <f t="shared" si="297"/>
        <v>349.98547099802084</v>
      </c>
      <c r="F3939" s="6">
        <f t="shared" si="293"/>
        <v>454.9811122974271</v>
      </c>
      <c r="G3939" s="7">
        <f t="shared" si="294"/>
        <v>489.97965939722917</v>
      </c>
      <c r="H3939" s="8">
        <f t="shared" si="295"/>
        <v>524.97820649703124</v>
      </c>
      <c r="I3939" s="9">
        <f t="shared" si="296"/>
        <v>559.97675359683342</v>
      </c>
    </row>
    <row r="3940" spans="1:9" x14ac:dyDescent="0.35">
      <c r="A3940" s="18" t="s">
        <v>2081</v>
      </c>
      <c r="B3940" s="18" t="s">
        <v>497</v>
      </c>
      <c r="C3940" s="20">
        <v>45635</v>
      </c>
      <c r="D3940" s="11">
        <v>321.94136031438484</v>
      </c>
      <c r="E3940" s="27">
        <f t="shared" si="297"/>
        <v>358.38512230197324</v>
      </c>
      <c r="F3940" s="6">
        <f t="shared" si="293"/>
        <v>465.90065899256524</v>
      </c>
      <c r="G3940" s="7">
        <f t="shared" si="294"/>
        <v>501.73917122276248</v>
      </c>
      <c r="H3940" s="8">
        <f t="shared" si="295"/>
        <v>537.57768345295983</v>
      </c>
      <c r="I3940" s="9">
        <f t="shared" si="296"/>
        <v>573.41619568315718</v>
      </c>
    </row>
    <row r="3941" spans="1:9" x14ac:dyDescent="0.35">
      <c r="A3941" s="18" t="s">
        <v>2082</v>
      </c>
      <c r="B3941" s="18" t="s">
        <v>498</v>
      </c>
      <c r="C3941" s="20">
        <v>45635</v>
      </c>
      <c r="D3941" s="11">
        <v>257.67004978931078</v>
      </c>
      <c r="E3941" s="27">
        <f t="shared" si="297"/>
        <v>286.83829942546078</v>
      </c>
      <c r="F3941" s="6">
        <f t="shared" si="293"/>
        <v>372.88978925309902</v>
      </c>
      <c r="G3941" s="7">
        <f t="shared" si="294"/>
        <v>401.57361919564505</v>
      </c>
      <c r="H3941" s="8">
        <f t="shared" si="295"/>
        <v>430.25744913819119</v>
      </c>
      <c r="I3941" s="9">
        <f t="shared" si="296"/>
        <v>458.94127908073727</v>
      </c>
    </row>
    <row r="3942" spans="1:9" x14ac:dyDescent="0.35">
      <c r="A3942" s="18" t="s">
        <v>2083</v>
      </c>
      <c r="B3942" s="18" t="s">
        <v>499</v>
      </c>
      <c r="C3942" s="20">
        <v>45635</v>
      </c>
      <c r="D3942" s="11">
        <v>221.74800000000002</v>
      </c>
      <c r="E3942" s="27">
        <f t="shared" si="297"/>
        <v>246.84987360000002</v>
      </c>
      <c r="F3942" s="6">
        <f t="shared" si="293"/>
        <v>320.90483568000002</v>
      </c>
      <c r="G3942" s="7">
        <f t="shared" si="294"/>
        <v>345.58982304</v>
      </c>
      <c r="H3942" s="8">
        <f t="shared" si="295"/>
        <v>370.27481040000004</v>
      </c>
      <c r="I3942" s="9">
        <f t="shared" si="296"/>
        <v>394.95979776000007</v>
      </c>
    </row>
    <row r="3943" spans="1:9" x14ac:dyDescent="0.35">
      <c r="A3943" s="18" t="s">
        <v>2084</v>
      </c>
      <c r="B3943" s="18" t="s">
        <v>500</v>
      </c>
      <c r="C3943" s="20">
        <v>45635</v>
      </c>
      <c r="D3943" s="11">
        <v>278.10000000000002</v>
      </c>
      <c r="E3943" s="27">
        <f t="shared" si="297"/>
        <v>309.58092000000005</v>
      </c>
      <c r="F3943" s="6">
        <f t="shared" si="293"/>
        <v>402.45519600000006</v>
      </c>
      <c r="G3943" s="7">
        <f t="shared" si="294"/>
        <v>433.41328800000002</v>
      </c>
      <c r="H3943" s="8">
        <f t="shared" si="295"/>
        <v>464.37138000000004</v>
      </c>
      <c r="I3943" s="9">
        <f t="shared" si="296"/>
        <v>495.32947200000012</v>
      </c>
    </row>
    <row r="3944" spans="1:9" x14ac:dyDescent="0.35">
      <c r="A3944" s="18" t="s">
        <v>2085</v>
      </c>
      <c r="B3944" s="18" t="s">
        <v>501</v>
      </c>
      <c r="C3944" s="20">
        <v>45635</v>
      </c>
      <c r="D3944" s="11">
        <v>278.10000000000002</v>
      </c>
      <c r="E3944" s="27">
        <f t="shared" si="297"/>
        <v>309.58092000000005</v>
      </c>
      <c r="F3944" s="6">
        <f t="shared" si="293"/>
        <v>402.45519600000006</v>
      </c>
      <c r="G3944" s="7">
        <f t="shared" si="294"/>
        <v>433.41328800000002</v>
      </c>
      <c r="H3944" s="8">
        <f t="shared" si="295"/>
        <v>464.37138000000004</v>
      </c>
      <c r="I3944" s="9">
        <f t="shared" si="296"/>
        <v>495.32947200000012</v>
      </c>
    </row>
    <row r="3945" spans="1:9" x14ac:dyDescent="0.35">
      <c r="A3945" s="18" t="s">
        <v>2086</v>
      </c>
      <c r="B3945" s="18" t="s">
        <v>502</v>
      </c>
      <c r="C3945" s="20">
        <v>45635</v>
      </c>
      <c r="D3945" s="11">
        <v>362.54367450000007</v>
      </c>
      <c r="E3945" s="27">
        <f t="shared" si="297"/>
        <v>403.58361845340005</v>
      </c>
      <c r="F3945" s="6">
        <f t="shared" si="293"/>
        <v>524.65870398942013</v>
      </c>
      <c r="G3945" s="7">
        <f t="shared" si="294"/>
        <v>565.01706583476005</v>
      </c>
      <c r="H3945" s="8">
        <f t="shared" si="295"/>
        <v>605.37542768010007</v>
      </c>
      <c r="I3945" s="9">
        <f t="shared" si="296"/>
        <v>645.7337895254401</v>
      </c>
    </row>
    <row r="3946" spans="1:9" x14ac:dyDescent="0.35">
      <c r="A3946" s="18" t="s">
        <v>2628</v>
      </c>
      <c r="B3946" s="18" t="s">
        <v>2633</v>
      </c>
      <c r="C3946" s="20">
        <v>45635</v>
      </c>
      <c r="D3946" s="11">
        <v>282.47606440432742</v>
      </c>
      <c r="E3946" s="27">
        <f t="shared" si="297"/>
        <v>314.45235489489727</v>
      </c>
      <c r="F3946" s="6">
        <f t="shared" si="293"/>
        <v>408.78806136336647</v>
      </c>
      <c r="G3946" s="7">
        <f t="shared" si="294"/>
        <v>440.23329685285614</v>
      </c>
      <c r="H3946" s="8">
        <f t="shared" si="295"/>
        <v>471.67853234234587</v>
      </c>
      <c r="I3946" s="9">
        <f t="shared" si="296"/>
        <v>503.12376783183566</v>
      </c>
    </row>
    <row r="3947" spans="1:9" ht="15.75" customHeight="1" x14ac:dyDescent="0.4">
      <c r="B3947" s="19" t="s">
        <v>2627</v>
      </c>
      <c r="D3947" s="11">
        <v>0</v>
      </c>
      <c r="E3947" s="27">
        <f t="shared" si="297"/>
        <v>0</v>
      </c>
      <c r="F3947" s="6">
        <f t="shared" si="293"/>
        <v>0</v>
      </c>
      <c r="G3947" s="7">
        <f t="shared" si="294"/>
        <v>0</v>
      </c>
      <c r="H3947" s="8">
        <f t="shared" si="295"/>
        <v>0</v>
      </c>
      <c r="I3947" s="9">
        <f t="shared" si="296"/>
        <v>0</v>
      </c>
    </row>
    <row r="3948" spans="1:9" x14ac:dyDescent="0.35">
      <c r="A3948" s="18" t="s">
        <v>2629</v>
      </c>
      <c r="B3948" s="18" t="s">
        <v>2630</v>
      </c>
      <c r="C3948" s="20">
        <v>45642</v>
      </c>
      <c r="D3948" s="11">
        <v>8763.07</v>
      </c>
      <c r="E3948" s="27">
        <f t="shared" si="297"/>
        <v>9755.049524</v>
      </c>
      <c r="F3948" s="6">
        <f t="shared" si="293"/>
        <v>12681.5643812</v>
      </c>
      <c r="G3948" s="7">
        <f t="shared" si="294"/>
        <v>13657.069333599999</v>
      </c>
      <c r="H3948" s="8">
        <f t="shared" si="295"/>
        <v>14632.574285999999</v>
      </c>
      <c r="I3948" s="9">
        <f t="shared" si="296"/>
        <v>15608.079238400001</v>
      </c>
    </row>
    <row r="3949" spans="1:9" x14ac:dyDescent="0.35">
      <c r="A3949" s="28" t="s">
        <v>2632</v>
      </c>
      <c r="B3949" s="28" t="s">
        <v>2631</v>
      </c>
      <c r="C3949" s="29">
        <v>45737</v>
      </c>
      <c r="D3949" s="11">
        <v>1103.6300000000001</v>
      </c>
      <c r="E3949" s="27">
        <f t="shared" si="297"/>
        <v>1228.5609160000001</v>
      </c>
      <c r="F3949" s="6">
        <f t="shared" si="293"/>
        <v>1597.1291908000003</v>
      </c>
      <c r="G3949" s="7">
        <f t="shared" si="294"/>
        <v>1719.9852824000002</v>
      </c>
      <c r="H3949" s="8">
        <f t="shared" si="295"/>
        <v>1842.8413740000001</v>
      </c>
      <c r="I3949" s="9">
        <f t="shared" si="296"/>
        <v>1965.6974656000002</v>
      </c>
    </row>
    <row r="3950" spans="1:9" ht="15.75" customHeight="1" x14ac:dyDescent="0.4">
      <c r="B3950" s="19" t="s">
        <v>5567</v>
      </c>
      <c r="D3950" s="11">
        <v>0</v>
      </c>
      <c r="E3950" s="27">
        <f t="shared" si="297"/>
        <v>0</v>
      </c>
      <c r="F3950" s="6">
        <f t="shared" si="293"/>
        <v>0</v>
      </c>
      <c r="G3950" s="7">
        <f t="shared" si="294"/>
        <v>0</v>
      </c>
      <c r="H3950" s="8">
        <f t="shared" si="295"/>
        <v>0</v>
      </c>
      <c r="I3950" s="9">
        <f t="shared" si="296"/>
        <v>0</v>
      </c>
    </row>
    <row r="3951" spans="1:9" x14ac:dyDescent="0.35">
      <c r="A3951" s="18" t="s">
        <v>2087</v>
      </c>
      <c r="B3951" s="18" t="s">
        <v>503</v>
      </c>
      <c r="C3951" s="20">
        <v>45726</v>
      </c>
      <c r="D3951" s="11">
        <v>4850.0445</v>
      </c>
      <c r="E3951" s="27">
        <f t="shared" si="297"/>
        <v>5399.0695373999997</v>
      </c>
      <c r="F3951" s="6">
        <f t="shared" si="293"/>
        <v>7018.7903986199999</v>
      </c>
      <c r="G3951" s="7">
        <f t="shared" si="294"/>
        <v>7558.6973523599991</v>
      </c>
      <c r="H3951" s="8">
        <f t="shared" si="295"/>
        <v>8098.6043061</v>
      </c>
      <c r="I3951" s="9">
        <f t="shared" si="296"/>
        <v>8638.5112598399992</v>
      </c>
    </row>
    <row r="3952" spans="1:9" x14ac:dyDescent="0.35">
      <c r="A3952" s="18" t="s">
        <v>2088</v>
      </c>
      <c r="B3952" s="18" t="s">
        <v>504</v>
      </c>
      <c r="C3952" s="20">
        <v>45726</v>
      </c>
      <c r="D3952" s="11">
        <v>8016.5200500000001</v>
      </c>
      <c r="E3952" s="27">
        <f t="shared" si="297"/>
        <v>8923.9901196600003</v>
      </c>
      <c r="F3952" s="6">
        <f t="shared" si="293"/>
        <v>11601.187155558</v>
      </c>
      <c r="G3952" s="7">
        <f t="shared" si="294"/>
        <v>12493.586167523999</v>
      </c>
      <c r="H3952" s="8">
        <f t="shared" si="295"/>
        <v>13385.985179490001</v>
      </c>
      <c r="I3952" s="9">
        <f t="shared" si="296"/>
        <v>14278.384191456002</v>
      </c>
    </row>
    <row r="3953" spans="1:9" x14ac:dyDescent="0.35">
      <c r="A3953" s="18" t="s">
        <v>2089</v>
      </c>
      <c r="B3953" s="18" t="s">
        <v>505</v>
      </c>
      <c r="C3953" s="20">
        <v>45726</v>
      </c>
      <c r="D3953" s="11">
        <v>10776.9375</v>
      </c>
      <c r="E3953" s="27">
        <f t="shared" si="297"/>
        <v>11996.886825</v>
      </c>
      <c r="F3953" s="6">
        <f t="shared" si="293"/>
        <v>15595.9528725</v>
      </c>
      <c r="G3953" s="7">
        <f t="shared" si="294"/>
        <v>16795.641554999998</v>
      </c>
      <c r="H3953" s="8">
        <f t="shared" si="295"/>
        <v>17995.330237499998</v>
      </c>
      <c r="I3953" s="9">
        <f t="shared" si="296"/>
        <v>19195.018919999999</v>
      </c>
    </row>
    <row r="3954" spans="1:9" x14ac:dyDescent="0.35">
      <c r="A3954" s="18" t="s">
        <v>2090</v>
      </c>
      <c r="B3954" s="18" t="s">
        <v>506</v>
      </c>
      <c r="C3954" s="20">
        <v>45726</v>
      </c>
      <c r="D3954" s="11">
        <v>17366.168399999999</v>
      </c>
      <c r="E3954" s="27">
        <f t="shared" si="297"/>
        <v>19332.01866288</v>
      </c>
      <c r="F3954" s="6">
        <f t="shared" si="293"/>
        <v>25131.624261744</v>
      </c>
      <c r="G3954" s="7">
        <f t="shared" si="294"/>
        <v>27064.826128032</v>
      </c>
      <c r="H3954" s="8">
        <f t="shared" si="295"/>
        <v>28998.02799432</v>
      </c>
      <c r="I3954" s="9">
        <f t="shared" si="296"/>
        <v>30931.229860608</v>
      </c>
    </row>
    <row r="3955" spans="1:9" x14ac:dyDescent="0.35">
      <c r="A3955" s="18" t="s">
        <v>2091</v>
      </c>
      <c r="B3955" s="18" t="s">
        <v>507</v>
      </c>
      <c r="C3955" s="20">
        <v>45726</v>
      </c>
      <c r="D3955" s="11">
        <v>24832.430700000001</v>
      </c>
      <c r="E3955" s="27">
        <f t="shared" si="297"/>
        <v>27643.461855240002</v>
      </c>
      <c r="F3955" s="6">
        <f t="shared" si="293"/>
        <v>35936.500411812005</v>
      </c>
      <c r="G3955" s="7">
        <f t="shared" si="294"/>
        <v>38700.846597336</v>
      </c>
      <c r="H3955" s="8">
        <f t="shared" si="295"/>
        <v>41465.192782860002</v>
      </c>
      <c r="I3955" s="9">
        <f t="shared" si="296"/>
        <v>44229.538968384004</v>
      </c>
    </row>
    <row r="3956" spans="1:9" ht="18" x14ac:dyDescent="0.4">
      <c r="B3956" s="19" t="s">
        <v>594</v>
      </c>
      <c r="D3956" s="11">
        <v>0</v>
      </c>
      <c r="E3956" s="27">
        <f t="shared" si="297"/>
        <v>0</v>
      </c>
      <c r="F3956" s="6">
        <f t="shared" si="293"/>
        <v>0</v>
      </c>
      <c r="G3956" s="7">
        <f t="shared" si="294"/>
        <v>0</v>
      </c>
      <c r="H3956" s="8">
        <f t="shared" si="295"/>
        <v>0</v>
      </c>
      <c r="I3956" s="9">
        <f t="shared" si="296"/>
        <v>0</v>
      </c>
    </row>
    <row r="3957" spans="1:9" x14ac:dyDescent="0.35">
      <c r="A3957" s="18" t="s">
        <v>595</v>
      </c>
      <c r="B3957" s="18" t="s">
        <v>600</v>
      </c>
      <c r="C3957" s="20">
        <v>45677</v>
      </c>
      <c r="D3957" s="11">
        <v>3425.8974750000007</v>
      </c>
      <c r="E3957" s="27">
        <f t="shared" si="297"/>
        <v>3813.7090691700009</v>
      </c>
      <c r="F3957" s="6">
        <f t="shared" si="293"/>
        <v>4957.8217899210013</v>
      </c>
      <c r="G3957" s="7">
        <f t="shared" si="294"/>
        <v>5339.1926968380012</v>
      </c>
      <c r="H3957" s="8">
        <f t="shared" si="295"/>
        <v>5720.5636037550012</v>
      </c>
      <c r="I3957" s="9">
        <f t="shared" si="296"/>
        <v>6101.934510672002</v>
      </c>
    </row>
    <row r="3958" spans="1:9" x14ac:dyDescent="0.35">
      <c r="A3958" s="18" t="s">
        <v>596</v>
      </c>
      <c r="B3958" s="18" t="s">
        <v>601</v>
      </c>
      <c r="C3958" s="20">
        <v>45677</v>
      </c>
      <c r="D3958" s="11">
        <v>4239.2668500000009</v>
      </c>
      <c r="E3958" s="27">
        <f t="shared" si="297"/>
        <v>4719.1518574200018</v>
      </c>
      <c r="F3958" s="6">
        <f t="shared" si="293"/>
        <v>6134.8974146460023</v>
      </c>
      <c r="G3958" s="7">
        <f t="shared" si="294"/>
        <v>6606.8126003880025</v>
      </c>
      <c r="H3958" s="8">
        <f t="shared" si="295"/>
        <v>7078.7277861300026</v>
      </c>
      <c r="I3958" s="9">
        <f t="shared" si="296"/>
        <v>7550.6429718720028</v>
      </c>
    </row>
    <row r="3959" spans="1:9" x14ac:dyDescent="0.35">
      <c r="A3959" s="18" t="s">
        <v>597</v>
      </c>
      <c r="B3959" s="18" t="s">
        <v>602</v>
      </c>
      <c r="C3959" s="20">
        <v>45677</v>
      </c>
      <c r="D3959" s="11">
        <v>8849.3154750000012</v>
      </c>
      <c r="E3959" s="27">
        <f t="shared" si="297"/>
        <v>9851.0579867700017</v>
      </c>
      <c r="F3959" s="6">
        <f t="shared" si="293"/>
        <v>12806.375382801003</v>
      </c>
      <c r="G3959" s="7">
        <f t="shared" si="294"/>
        <v>13791.481181478002</v>
      </c>
      <c r="H3959" s="8">
        <f t="shared" si="295"/>
        <v>14776.586980155003</v>
      </c>
      <c r="I3959" s="9">
        <f t="shared" si="296"/>
        <v>15761.692778832003</v>
      </c>
    </row>
    <row r="3960" spans="1:9" x14ac:dyDescent="0.35">
      <c r="A3960" s="18" t="s">
        <v>598</v>
      </c>
      <c r="B3960" s="18" t="s">
        <v>603</v>
      </c>
      <c r="C3960" s="20">
        <v>45677</v>
      </c>
      <c r="D3960" s="11">
        <v>9801.9967500000002</v>
      </c>
      <c r="E3960" s="27">
        <f t="shared" si="297"/>
        <v>10911.5827821</v>
      </c>
      <c r="F3960" s="6">
        <f t="shared" si="293"/>
        <v>14185.057616730001</v>
      </c>
      <c r="G3960" s="7">
        <f t="shared" si="294"/>
        <v>15276.21589494</v>
      </c>
      <c r="H3960" s="8">
        <f t="shared" si="295"/>
        <v>16367.374173150001</v>
      </c>
      <c r="I3960" s="9">
        <f t="shared" si="296"/>
        <v>17458.532451360003</v>
      </c>
    </row>
    <row r="3961" spans="1:9" x14ac:dyDescent="0.35">
      <c r="A3961" s="18" t="s">
        <v>599</v>
      </c>
      <c r="B3961" s="18" t="s">
        <v>604</v>
      </c>
      <c r="C3961" s="20">
        <v>45677</v>
      </c>
      <c r="D3961" s="11">
        <v>13617.451575000003</v>
      </c>
      <c r="E3961" s="27">
        <f t="shared" si="297"/>
        <v>15158.947093290004</v>
      </c>
      <c r="F3961" s="6">
        <f t="shared" si="293"/>
        <v>19706.631221277006</v>
      </c>
      <c r="G3961" s="7">
        <f t="shared" si="294"/>
        <v>21222.525930606003</v>
      </c>
      <c r="H3961" s="8">
        <f t="shared" si="295"/>
        <v>22738.420639935008</v>
      </c>
      <c r="I3961" s="9">
        <f t="shared" si="296"/>
        <v>24254.315349264009</v>
      </c>
    </row>
    <row r="3962" spans="1:9" ht="18" x14ac:dyDescent="0.4">
      <c r="B3962" s="19" t="s">
        <v>5502</v>
      </c>
      <c r="D3962" s="11">
        <v>0</v>
      </c>
      <c r="E3962" s="27">
        <f t="shared" si="297"/>
        <v>0</v>
      </c>
      <c r="F3962" s="6">
        <f t="shared" si="293"/>
        <v>0</v>
      </c>
      <c r="G3962" s="7">
        <f t="shared" si="294"/>
        <v>0</v>
      </c>
      <c r="H3962" s="8">
        <f t="shared" si="295"/>
        <v>0</v>
      </c>
      <c r="I3962" s="9">
        <f t="shared" si="296"/>
        <v>0</v>
      </c>
    </row>
    <row r="3963" spans="1:9" x14ac:dyDescent="0.35">
      <c r="A3963" s="18" t="s">
        <v>5736</v>
      </c>
      <c r="B3963" s="18" t="s">
        <v>5737</v>
      </c>
      <c r="C3963" s="20">
        <v>45577</v>
      </c>
      <c r="D3963" s="11">
        <v>3955.5</v>
      </c>
      <c r="E3963" s="27">
        <f t="shared" si="297"/>
        <v>4403.2626</v>
      </c>
      <c r="F3963" s="6">
        <f t="shared" si="293"/>
        <v>5724.2413800000004</v>
      </c>
      <c r="G3963" s="7">
        <f t="shared" si="294"/>
        <v>6164.5676399999993</v>
      </c>
      <c r="H3963" s="8">
        <f t="shared" si="295"/>
        <v>6604.8939</v>
      </c>
      <c r="I3963" s="9">
        <f t="shared" si="296"/>
        <v>7045.2201600000008</v>
      </c>
    </row>
    <row r="3964" spans="1:9" x14ac:dyDescent="0.35">
      <c r="A3964" s="18" t="s">
        <v>5503</v>
      </c>
      <c r="B3964" s="18" t="s">
        <v>5505</v>
      </c>
      <c r="C3964" s="20">
        <v>45577</v>
      </c>
      <c r="D3964" s="11">
        <v>5361.33</v>
      </c>
      <c r="E3964" s="27">
        <f t="shared" si="297"/>
        <v>5968.2325559999999</v>
      </c>
      <c r="F3964" s="6">
        <f t="shared" si="293"/>
        <v>7758.7023227999998</v>
      </c>
      <c r="G3964" s="7">
        <f t="shared" si="294"/>
        <v>8355.5255784000001</v>
      </c>
      <c r="H3964" s="8">
        <f t="shared" si="295"/>
        <v>8952.3488340000004</v>
      </c>
      <c r="I3964" s="9">
        <f t="shared" si="296"/>
        <v>9549.1720896000006</v>
      </c>
    </row>
    <row r="3965" spans="1:9" x14ac:dyDescent="0.35">
      <c r="A3965" s="18" t="s">
        <v>5504</v>
      </c>
      <c r="B3965" s="18" t="s">
        <v>5506</v>
      </c>
      <c r="C3965" s="20">
        <v>45577</v>
      </c>
      <c r="D3965" s="11">
        <v>7903.94</v>
      </c>
      <c r="E3965" s="27">
        <f t="shared" si="297"/>
        <v>8798.6660080000001</v>
      </c>
      <c r="F3965" s="6">
        <f t="shared" si="293"/>
        <v>11438.2658104</v>
      </c>
      <c r="G3965" s="7">
        <f t="shared" si="294"/>
        <v>12318.1324112</v>
      </c>
      <c r="H3965" s="8">
        <f t="shared" si="295"/>
        <v>13197.999012</v>
      </c>
      <c r="I3965" s="9">
        <f t="shared" si="296"/>
        <v>14077.8656128</v>
      </c>
    </row>
    <row r="3966" spans="1:9" x14ac:dyDescent="0.35">
      <c r="A3966" s="18" t="s">
        <v>5690</v>
      </c>
      <c r="B3966" s="18" t="s">
        <v>5691</v>
      </c>
      <c r="C3966" s="20">
        <v>45577</v>
      </c>
      <c r="D3966" s="11">
        <v>12267.78</v>
      </c>
      <c r="E3966" s="27">
        <f t="shared" si="297"/>
        <v>13656.492696000001</v>
      </c>
      <c r="F3966" s="6">
        <f t="shared" si="293"/>
        <v>17753.440504800001</v>
      </c>
      <c r="G3966" s="7">
        <f t="shared" si="294"/>
        <v>19119.089774399999</v>
      </c>
      <c r="H3966" s="8">
        <f t="shared" si="295"/>
        <v>20484.739044000002</v>
      </c>
      <c r="I3966" s="9">
        <f t="shared" si="296"/>
        <v>21850.388313600004</v>
      </c>
    </row>
    <row r="3967" spans="1:9" x14ac:dyDescent="0.35">
      <c r="A3967" s="18" t="s">
        <v>5734</v>
      </c>
      <c r="B3967" s="18" t="s">
        <v>5735</v>
      </c>
      <c r="C3967" s="20">
        <v>45577</v>
      </c>
      <c r="D3967" s="11">
        <v>19069.915471200002</v>
      </c>
      <c r="E3967" s="27">
        <f t="shared" si="297"/>
        <v>21228.62990253984</v>
      </c>
      <c r="F3967" s="6">
        <f t="shared" si="293"/>
        <v>27597.218873301794</v>
      </c>
      <c r="G3967" s="7">
        <f t="shared" si="294"/>
        <v>29720.081863555773</v>
      </c>
      <c r="H3967" s="8">
        <f t="shared" si="295"/>
        <v>31842.94485380976</v>
      </c>
      <c r="I3967" s="9">
        <f t="shared" si="296"/>
        <v>33965.807844063747</v>
      </c>
    </row>
    <row r="3968" spans="1:9" ht="15.75" customHeight="1" x14ac:dyDescent="0.4">
      <c r="B3968" s="19" t="s">
        <v>6111</v>
      </c>
      <c r="D3968" s="11">
        <v>0</v>
      </c>
      <c r="E3968" s="27">
        <f t="shared" si="297"/>
        <v>0</v>
      </c>
      <c r="F3968" s="6">
        <f t="shared" si="293"/>
        <v>0</v>
      </c>
      <c r="G3968" s="7">
        <f t="shared" si="294"/>
        <v>0</v>
      </c>
      <c r="H3968" s="8">
        <f t="shared" si="295"/>
        <v>0</v>
      </c>
      <c r="I3968" s="9">
        <f t="shared" si="296"/>
        <v>0</v>
      </c>
    </row>
    <row r="3969" spans="1:9" x14ac:dyDescent="0.35">
      <c r="A3969" s="18" t="s">
        <v>3125</v>
      </c>
      <c r="B3969" s="18" t="s">
        <v>5621</v>
      </c>
      <c r="C3969" s="20">
        <v>45537</v>
      </c>
      <c r="D3969" s="11">
        <v>89807.38</v>
      </c>
      <c r="E3969" s="27">
        <f t="shared" si="297"/>
        <v>99973.575416000007</v>
      </c>
      <c r="F3969" s="6">
        <f t="shared" ref="F3969:F4004" si="298">E3969*1.3</f>
        <v>129965.64804080002</v>
      </c>
      <c r="G3969" s="7">
        <f t="shared" ref="G3969:G4004" si="299">E3969*1.4</f>
        <v>139963.00558239999</v>
      </c>
      <c r="H3969" s="8">
        <f t="shared" ref="H3969:H4004" si="300">E3969*1.5</f>
        <v>149960.36312400002</v>
      </c>
      <c r="I3969" s="9">
        <f t="shared" ref="I3969:I4004" si="301">E3969*1.6</f>
        <v>159957.72066560003</v>
      </c>
    </row>
    <row r="3970" spans="1:9" x14ac:dyDescent="0.35">
      <c r="A3970" s="18" t="s">
        <v>3127</v>
      </c>
      <c r="B3970" s="18" t="s">
        <v>6539</v>
      </c>
      <c r="C3970" s="20">
        <v>45537</v>
      </c>
      <c r="D3970" s="11">
        <v>100840.22</v>
      </c>
      <c r="E3970" s="27">
        <f t="shared" si="297"/>
        <v>112255.332904</v>
      </c>
      <c r="F3970" s="6">
        <f t="shared" si="298"/>
        <v>145931.9327752</v>
      </c>
      <c r="G3970" s="7">
        <f t="shared" si="299"/>
        <v>157157.46606559999</v>
      </c>
      <c r="H3970" s="8">
        <f t="shared" si="300"/>
        <v>168382.99935599999</v>
      </c>
      <c r="I3970" s="9">
        <f t="shared" si="301"/>
        <v>179608.53264640001</v>
      </c>
    </row>
    <row r="3971" spans="1:9" x14ac:dyDescent="0.35">
      <c r="A3971" s="18" t="s">
        <v>3126</v>
      </c>
      <c r="B3971" s="18" t="s">
        <v>5622</v>
      </c>
      <c r="C3971" s="20">
        <v>45537</v>
      </c>
      <c r="D3971" s="11">
        <v>108361.11</v>
      </c>
      <c r="E3971" s="27">
        <f t="shared" si="297"/>
        <v>120627.587652</v>
      </c>
      <c r="F3971" s="6">
        <f t="shared" si="298"/>
        <v>156815.86394760001</v>
      </c>
      <c r="G3971" s="7">
        <f t="shared" si="299"/>
        <v>168878.62271279999</v>
      </c>
      <c r="H3971" s="8">
        <f t="shared" si="300"/>
        <v>180941.381478</v>
      </c>
      <c r="I3971" s="9">
        <f t="shared" si="301"/>
        <v>193004.1402432</v>
      </c>
    </row>
    <row r="3972" spans="1:9" x14ac:dyDescent="0.35">
      <c r="A3972" s="18" t="s">
        <v>3128</v>
      </c>
      <c r="B3972" s="18" t="s">
        <v>6540</v>
      </c>
      <c r="C3972" s="20">
        <v>45537</v>
      </c>
      <c r="D3972" s="11">
        <v>121107.48000000001</v>
      </c>
      <c r="E3972" s="27">
        <f t="shared" si="297"/>
        <v>134816.84673600001</v>
      </c>
      <c r="F3972" s="6">
        <f t="shared" si="298"/>
        <v>175261.90075680002</v>
      </c>
      <c r="G3972" s="7">
        <f t="shared" si="299"/>
        <v>188743.58543040001</v>
      </c>
      <c r="H3972" s="8">
        <f t="shared" si="300"/>
        <v>202225.270104</v>
      </c>
      <c r="I3972" s="9">
        <f t="shared" si="301"/>
        <v>215706.95477760001</v>
      </c>
    </row>
    <row r="3973" spans="1:9" x14ac:dyDescent="0.35">
      <c r="A3973" s="18" t="s">
        <v>4702</v>
      </c>
      <c r="B3973" s="18" t="s">
        <v>4703</v>
      </c>
      <c r="C3973" s="20">
        <v>45553</v>
      </c>
      <c r="D3973" s="11">
        <v>56529.2</v>
      </c>
      <c r="E3973" s="27">
        <f t="shared" si="297"/>
        <v>62928.305439999996</v>
      </c>
      <c r="F3973" s="6">
        <f t="shared" si="298"/>
        <v>81806.797072000001</v>
      </c>
      <c r="G3973" s="7">
        <f t="shared" si="299"/>
        <v>88099.627615999983</v>
      </c>
      <c r="H3973" s="8">
        <f t="shared" si="300"/>
        <v>94392.458159999995</v>
      </c>
      <c r="I3973" s="9">
        <f t="shared" si="301"/>
        <v>100685.28870400001</v>
      </c>
    </row>
    <row r="3974" spans="1:9" x14ac:dyDescent="0.35">
      <c r="A3974" s="18" t="s">
        <v>6112</v>
      </c>
      <c r="B3974" s="18" t="s">
        <v>6122</v>
      </c>
      <c r="C3974" s="20">
        <v>45488</v>
      </c>
      <c r="D3974" s="11">
        <v>52000</v>
      </c>
      <c r="E3974" s="27">
        <f t="shared" si="297"/>
        <v>57886.400000000001</v>
      </c>
      <c r="F3974" s="6">
        <f t="shared" si="298"/>
        <v>75252.320000000007</v>
      </c>
      <c r="G3974" s="7">
        <f t="shared" si="299"/>
        <v>81040.959999999992</v>
      </c>
      <c r="H3974" s="8">
        <f t="shared" si="300"/>
        <v>86829.6</v>
      </c>
      <c r="I3974" s="9">
        <f t="shared" si="301"/>
        <v>92618.240000000005</v>
      </c>
    </row>
    <row r="3975" spans="1:9" x14ac:dyDescent="0.35">
      <c r="A3975" s="18" t="s">
        <v>6113</v>
      </c>
      <c r="B3975" s="18" t="s">
        <v>6123</v>
      </c>
      <c r="C3975" s="20">
        <v>45488</v>
      </c>
      <c r="D3975" s="11">
        <v>52000</v>
      </c>
      <c r="E3975" s="27">
        <f t="shared" si="297"/>
        <v>57886.400000000001</v>
      </c>
      <c r="F3975" s="6">
        <f t="shared" si="298"/>
        <v>75252.320000000007</v>
      </c>
      <c r="G3975" s="7">
        <f t="shared" si="299"/>
        <v>81040.959999999992</v>
      </c>
      <c r="H3975" s="8">
        <f t="shared" si="300"/>
        <v>86829.6</v>
      </c>
      <c r="I3975" s="9">
        <f t="shared" si="301"/>
        <v>92618.240000000005</v>
      </c>
    </row>
    <row r="3976" spans="1:9" x14ac:dyDescent="0.35">
      <c r="A3976" s="18" t="s">
        <v>6114</v>
      </c>
      <c r="B3976" s="18" t="s">
        <v>6124</v>
      </c>
      <c r="C3976" s="20">
        <v>45488</v>
      </c>
      <c r="D3976" s="11">
        <v>62790</v>
      </c>
      <c r="E3976" s="27">
        <f t="shared" si="297"/>
        <v>69897.827999999994</v>
      </c>
      <c r="F3976" s="6">
        <f t="shared" si="298"/>
        <v>90867.176399999997</v>
      </c>
      <c r="G3976" s="7">
        <f t="shared" si="299"/>
        <v>97856.959199999983</v>
      </c>
      <c r="H3976" s="8">
        <f t="shared" si="300"/>
        <v>104846.742</v>
      </c>
      <c r="I3976" s="9">
        <f t="shared" si="301"/>
        <v>111836.5248</v>
      </c>
    </row>
    <row r="3977" spans="1:9" x14ac:dyDescent="0.35">
      <c r="A3977" s="18" t="s">
        <v>6115</v>
      </c>
      <c r="B3977" s="18" t="s">
        <v>6125</v>
      </c>
      <c r="C3977" s="20">
        <v>45488</v>
      </c>
      <c r="D3977" s="11">
        <v>62790</v>
      </c>
      <c r="E3977" s="27">
        <f t="shared" si="297"/>
        <v>69897.827999999994</v>
      </c>
      <c r="F3977" s="6">
        <f t="shared" si="298"/>
        <v>90867.176399999997</v>
      </c>
      <c r="G3977" s="7">
        <f t="shared" si="299"/>
        <v>97856.959199999983</v>
      </c>
      <c r="H3977" s="8">
        <f t="shared" si="300"/>
        <v>104846.742</v>
      </c>
      <c r="I3977" s="9">
        <f t="shared" si="301"/>
        <v>111836.5248</v>
      </c>
    </row>
    <row r="3978" spans="1:9" x14ac:dyDescent="0.35">
      <c r="A3978" s="18" t="s">
        <v>6116</v>
      </c>
      <c r="B3978" s="18" t="s">
        <v>6127</v>
      </c>
      <c r="C3978" s="20">
        <v>45488</v>
      </c>
      <c r="D3978" s="11">
        <v>48907.685182809611</v>
      </c>
      <c r="E3978" s="27">
        <f t="shared" si="297"/>
        <v>54444.035145503665</v>
      </c>
      <c r="F3978" s="6">
        <f t="shared" si="298"/>
        <v>70777.245689154763</v>
      </c>
      <c r="G3978" s="7">
        <f t="shared" si="299"/>
        <v>76221.649203705121</v>
      </c>
      <c r="H3978" s="8">
        <f t="shared" si="300"/>
        <v>81666.052718255494</v>
      </c>
      <c r="I3978" s="9">
        <f t="shared" si="301"/>
        <v>87110.456232805867</v>
      </c>
    </row>
    <row r="3979" spans="1:9" x14ac:dyDescent="0.35">
      <c r="A3979" s="18" t="s">
        <v>6117</v>
      </c>
      <c r="B3979" s="18" t="s">
        <v>6126</v>
      </c>
      <c r="C3979" s="20">
        <v>45488</v>
      </c>
      <c r="D3979" s="11">
        <v>48907.685182809611</v>
      </c>
      <c r="E3979" s="27">
        <f t="shared" si="297"/>
        <v>54444.035145503665</v>
      </c>
      <c r="F3979" s="6">
        <f t="shared" si="298"/>
        <v>70777.245689154763</v>
      </c>
      <c r="G3979" s="7">
        <f t="shared" si="299"/>
        <v>76221.649203705121</v>
      </c>
      <c r="H3979" s="8">
        <f t="shared" si="300"/>
        <v>81666.052718255494</v>
      </c>
      <c r="I3979" s="9">
        <f t="shared" si="301"/>
        <v>87110.456232805867</v>
      </c>
    </row>
    <row r="3980" spans="1:9" x14ac:dyDescent="0.35">
      <c r="A3980" s="18" t="s">
        <v>6118</v>
      </c>
      <c r="B3980" s="18" t="s">
        <v>6128</v>
      </c>
      <c r="C3980" s="20">
        <v>45488</v>
      </c>
      <c r="D3980" s="11">
        <v>74340.722748600005</v>
      </c>
      <c r="E3980" s="27">
        <f t="shared" si="297"/>
        <v>82756.09256374152</v>
      </c>
      <c r="F3980" s="6">
        <f t="shared" si="298"/>
        <v>107582.92033286399</v>
      </c>
      <c r="G3980" s="7">
        <f t="shared" si="299"/>
        <v>115858.52958923813</v>
      </c>
      <c r="H3980" s="8">
        <f t="shared" si="300"/>
        <v>124134.13884561228</v>
      </c>
      <c r="I3980" s="9">
        <f t="shared" si="301"/>
        <v>132409.74810198645</v>
      </c>
    </row>
    <row r="3981" spans="1:9" x14ac:dyDescent="0.35">
      <c r="A3981" s="18" t="s">
        <v>6119</v>
      </c>
      <c r="B3981" s="18" t="s">
        <v>6129</v>
      </c>
      <c r="C3981" s="20">
        <v>45488</v>
      </c>
      <c r="D3981" s="11">
        <v>74340.722748600005</v>
      </c>
      <c r="E3981" s="27">
        <f t="shared" si="297"/>
        <v>82756.09256374152</v>
      </c>
      <c r="F3981" s="6">
        <f t="shared" si="298"/>
        <v>107582.92033286399</v>
      </c>
      <c r="G3981" s="7">
        <f t="shared" si="299"/>
        <v>115858.52958923813</v>
      </c>
      <c r="H3981" s="8">
        <f t="shared" si="300"/>
        <v>124134.13884561228</v>
      </c>
      <c r="I3981" s="9">
        <f t="shared" si="301"/>
        <v>132409.74810198645</v>
      </c>
    </row>
    <row r="3982" spans="1:9" x14ac:dyDescent="0.35">
      <c r="A3982" s="18" t="s">
        <v>6120</v>
      </c>
      <c r="B3982" s="18" t="s">
        <v>6130</v>
      </c>
      <c r="C3982" s="20">
        <v>45488</v>
      </c>
      <c r="D3982" s="11">
        <v>14300</v>
      </c>
      <c r="E3982" s="27">
        <f t="shared" si="297"/>
        <v>15918.76</v>
      </c>
      <c r="F3982" s="6">
        <f t="shared" si="298"/>
        <v>20694.388000000003</v>
      </c>
      <c r="G3982" s="7">
        <f t="shared" si="299"/>
        <v>22286.263999999999</v>
      </c>
      <c r="H3982" s="8">
        <f t="shared" si="300"/>
        <v>23878.14</v>
      </c>
      <c r="I3982" s="9">
        <f t="shared" si="301"/>
        <v>25470.016000000003</v>
      </c>
    </row>
    <row r="3983" spans="1:9" x14ac:dyDescent="0.35">
      <c r="A3983" s="18" t="s">
        <v>6121</v>
      </c>
      <c r="B3983" s="18" t="s">
        <v>6131</v>
      </c>
      <c r="C3983" s="20">
        <v>45488</v>
      </c>
      <c r="D3983" s="11">
        <v>16900</v>
      </c>
      <c r="E3983" s="27">
        <f t="shared" si="297"/>
        <v>18813.080000000002</v>
      </c>
      <c r="F3983" s="6">
        <f t="shared" si="298"/>
        <v>24457.004000000004</v>
      </c>
      <c r="G3983" s="7">
        <f t="shared" si="299"/>
        <v>26338.312000000002</v>
      </c>
      <c r="H3983" s="8">
        <f t="shared" si="300"/>
        <v>28219.620000000003</v>
      </c>
      <c r="I3983" s="9">
        <f t="shared" si="301"/>
        <v>30100.928000000004</v>
      </c>
    </row>
    <row r="3984" spans="1:9" x14ac:dyDescent="0.35">
      <c r="A3984" s="18" t="s">
        <v>6136</v>
      </c>
      <c r="B3984" s="18" t="s">
        <v>6138</v>
      </c>
      <c r="C3984" s="20">
        <v>45488</v>
      </c>
      <c r="D3984" s="11">
        <v>75227.402880000009</v>
      </c>
      <c r="E3984" s="27">
        <f t="shared" si="297"/>
        <v>83743.144886016002</v>
      </c>
      <c r="F3984" s="6">
        <f t="shared" si="298"/>
        <v>108866.0883518208</v>
      </c>
      <c r="G3984" s="7">
        <f t="shared" si="299"/>
        <v>117240.40284042239</v>
      </c>
      <c r="H3984" s="8">
        <f t="shared" si="300"/>
        <v>125614.717329024</v>
      </c>
      <c r="I3984" s="9">
        <f t="shared" si="301"/>
        <v>133989.0318176256</v>
      </c>
    </row>
    <row r="3985" spans="1:9" x14ac:dyDescent="0.35">
      <c r="A3985" s="18" t="s">
        <v>6137</v>
      </c>
      <c r="B3985" s="18" t="s">
        <v>6139</v>
      </c>
      <c r="C3985" s="20">
        <v>45488</v>
      </c>
      <c r="D3985" s="11">
        <v>75227.402880000009</v>
      </c>
      <c r="E3985" s="27">
        <f t="shared" si="297"/>
        <v>83743.144886016002</v>
      </c>
      <c r="F3985" s="6">
        <f t="shared" si="298"/>
        <v>108866.0883518208</v>
      </c>
      <c r="G3985" s="7">
        <f t="shared" si="299"/>
        <v>117240.40284042239</v>
      </c>
      <c r="H3985" s="8">
        <f t="shared" si="300"/>
        <v>125614.717329024</v>
      </c>
      <c r="I3985" s="9">
        <f t="shared" si="301"/>
        <v>133989.0318176256</v>
      </c>
    </row>
    <row r="3986" spans="1:9" ht="18" x14ac:dyDescent="0.4">
      <c r="B3986" s="19" t="s">
        <v>6689</v>
      </c>
      <c r="D3986" s="11">
        <v>0</v>
      </c>
      <c r="E3986" s="27">
        <f t="shared" ref="E3986:E4004" si="302">D3986*1.21*0.92</f>
        <v>0</v>
      </c>
      <c r="F3986" s="6">
        <f t="shared" si="298"/>
        <v>0</v>
      </c>
      <c r="G3986" s="7">
        <f t="shared" si="299"/>
        <v>0</v>
      </c>
      <c r="H3986" s="8">
        <f t="shared" si="300"/>
        <v>0</v>
      </c>
      <c r="I3986" s="9">
        <f t="shared" si="301"/>
        <v>0</v>
      </c>
    </row>
    <row r="3987" spans="1:9" x14ac:dyDescent="0.35">
      <c r="A3987" s="18" t="s">
        <v>6690</v>
      </c>
      <c r="B3987" s="18" t="s">
        <v>6692</v>
      </c>
      <c r="C3987" s="20">
        <v>45591</v>
      </c>
      <c r="D3987" s="11">
        <v>71351.62</v>
      </c>
      <c r="E3987" s="27">
        <f t="shared" si="302"/>
        <v>79428.623383999991</v>
      </c>
      <c r="F3987" s="6">
        <f t="shared" si="298"/>
        <v>103257.21039919999</v>
      </c>
      <c r="G3987" s="7">
        <f t="shared" si="299"/>
        <v>111200.07273759998</v>
      </c>
      <c r="H3987" s="8">
        <f t="shared" si="300"/>
        <v>119142.93507599999</v>
      </c>
      <c r="I3987" s="9">
        <f t="shared" si="301"/>
        <v>127085.79741439999</v>
      </c>
    </row>
    <row r="3988" spans="1:9" x14ac:dyDescent="0.35">
      <c r="A3988" s="18" t="s">
        <v>6691</v>
      </c>
      <c r="B3988" s="18" t="s">
        <v>6693</v>
      </c>
      <c r="C3988" s="20">
        <v>45591</v>
      </c>
      <c r="D3988" s="11">
        <v>71351.62</v>
      </c>
      <c r="E3988" s="27">
        <f t="shared" si="302"/>
        <v>79428.623383999991</v>
      </c>
      <c r="F3988" s="6">
        <f t="shared" si="298"/>
        <v>103257.21039919999</v>
      </c>
      <c r="G3988" s="7">
        <f t="shared" si="299"/>
        <v>111200.07273759998</v>
      </c>
      <c r="H3988" s="8">
        <f t="shared" si="300"/>
        <v>119142.93507599999</v>
      </c>
      <c r="I3988" s="9">
        <f t="shared" si="301"/>
        <v>127085.79741439999</v>
      </c>
    </row>
    <row r="3989" spans="1:9" ht="15.75" customHeight="1" x14ac:dyDescent="0.4">
      <c r="B3989" s="19" t="s">
        <v>2636</v>
      </c>
      <c r="D3989" s="11">
        <v>0</v>
      </c>
      <c r="E3989" s="27">
        <f t="shared" si="302"/>
        <v>0</v>
      </c>
      <c r="F3989" s="6">
        <f t="shared" si="298"/>
        <v>0</v>
      </c>
      <c r="G3989" s="7">
        <f t="shared" si="299"/>
        <v>0</v>
      </c>
      <c r="H3989" s="8">
        <f t="shared" si="300"/>
        <v>0</v>
      </c>
      <c r="I3989" s="9">
        <f t="shared" si="301"/>
        <v>0</v>
      </c>
    </row>
    <row r="3990" spans="1:9" x14ac:dyDescent="0.35">
      <c r="A3990" s="18" t="s">
        <v>2092</v>
      </c>
      <c r="B3990" s="18" t="s">
        <v>508</v>
      </c>
      <c r="C3990" s="20">
        <v>45710</v>
      </c>
      <c r="D3990" s="11">
        <v>1154.5170000000001</v>
      </c>
      <c r="E3990" s="27">
        <f t="shared" si="302"/>
        <v>1285.2083244</v>
      </c>
      <c r="F3990" s="6">
        <f t="shared" si="298"/>
        <v>1670.7708217200002</v>
      </c>
      <c r="G3990" s="7">
        <f t="shared" si="299"/>
        <v>1799.29165416</v>
      </c>
      <c r="H3990" s="8">
        <f t="shared" si="300"/>
        <v>1927.8124866000001</v>
      </c>
      <c r="I3990" s="9">
        <f t="shared" si="301"/>
        <v>2056.3333190400003</v>
      </c>
    </row>
    <row r="3991" spans="1:9" x14ac:dyDescent="0.35">
      <c r="A3991" s="18" t="s">
        <v>2093</v>
      </c>
      <c r="B3991" s="18" t="s">
        <v>509</v>
      </c>
      <c r="C3991" s="20">
        <v>45710</v>
      </c>
      <c r="D3991" s="11">
        <v>1154.5170000000001</v>
      </c>
      <c r="E3991" s="27">
        <f t="shared" si="302"/>
        <v>1285.2083244</v>
      </c>
      <c r="F3991" s="6">
        <f t="shared" si="298"/>
        <v>1670.7708217200002</v>
      </c>
      <c r="G3991" s="7">
        <f t="shared" si="299"/>
        <v>1799.29165416</v>
      </c>
      <c r="H3991" s="8">
        <f t="shared" si="300"/>
        <v>1927.8124866000001</v>
      </c>
      <c r="I3991" s="9">
        <f t="shared" si="301"/>
        <v>2056.3333190400003</v>
      </c>
    </row>
    <row r="3992" spans="1:9" x14ac:dyDescent="0.35">
      <c r="A3992" s="18" t="s">
        <v>2094</v>
      </c>
      <c r="B3992" s="18" t="s">
        <v>510</v>
      </c>
      <c r="C3992" s="20">
        <v>45710</v>
      </c>
      <c r="D3992" s="11">
        <v>1017.744</v>
      </c>
      <c r="E3992" s="27">
        <f t="shared" si="302"/>
        <v>1132.9526208000002</v>
      </c>
      <c r="F3992" s="6">
        <f t="shared" si="298"/>
        <v>1472.8384070400002</v>
      </c>
      <c r="G3992" s="7">
        <f t="shared" si="299"/>
        <v>1586.1336691200001</v>
      </c>
      <c r="H3992" s="8">
        <f t="shared" si="300"/>
        <v>1699.4289312000003</v>
      </c>
      <c r="I3992" s="9">
        <f t="shared" si="301"/>
        <v>1812.7241932800005</v>
      </c>
    </row>
    <row r="3993" spans="1:9" x14ac:dyDescent="0.35">
      <c r="A3993" s="18" t="s">
        <v>2095</v>
      </c>
      <c r="B3993" s="18" t="s">
        <v>2638</v>
      </c>
      <c r="C3993" s="20">
        <v>45710</v>
      </c>
      <c r="D3993" s="11">
        <v>1399.90032</v>
      </c>
      <c r="E3993" s="27">
        <f t="shared" si="302"/>
        <v>1558.369036224</v>
      </c>
      <c r="F3993" s="6">
        <f t="shared" si="298"/>
        <v>2025.8797470912</v>
      </c>
      <c r="G3993" s="7">
        <f t="shared" si="299"/>
        <v>2181.7166507135998</v>
      </c>
      <c r="H3993" s="8">
        <f t="shared" si="300"/>
        <v>2337.5535543360002</v>
      </c>
      <c r="I3993" s="9">
        <f t="shared" si="301"/>
        <v>2493.3904579584</v>
      </c>
    </row>
    <row r="3994" spans="1:9" x14ac:dyDescent="0.35">
      <c r="A3994" s="18" t="s">
        <v>2096</v>
      </c>
      <c r="B3994" s="18" t="s">
        <v>2637</v>
      </c>
      <c r="C3994" s="20">
        <v>45710</v>
      </c>
      <c r="D3994" s="11">
        <v>1834.0140000000001</v>
      </c>
      <c r="E3994" s="27">
        <f t="shared" si="302"/>
        <v>2041.6243848000004</v>
      </c>
      <c r="F3994" s="6">
        <f t="shared" si="298"/>
        <v>2654.1117002400006</v>
      </c>
      <c r="G3994" s="7">
        <f t="shared" si="299"/>
        <v>2858.2741387200003</v>
      </c>
      <c r="H3994" s="8">
        <f t="shared" si="300"/>
        <v>3062.4365772000006</v>
      </c>
      <c r="I3994" s="9">
        <f t="shared" si="301"/>
        <v>3266.5990156800008</v>
      </c>
    </row>
    <row r="3995" spans="1:9" x14ac:dyDescent="0.35">
      <c r="A3995" s="18" t="s">
        <v>2097</v>
      </c>
      <c r="B3995" s="18" t="s">
        <v>511</v>
      </c>
      <c r="C3995" s="20">
        <v>45710</v>
      </c>
      <c r="D3995" s="11">
        <v>1128.5999999999999</v>
      </c>
      <c r="E3995" s="27">
        <f t="shared" si="302"/>
        <v>1256.3575199999998</v>
      </c>
      <c r="F3995" s="6">
        <f t="shared" si="298"/>
        <v>1633.2647759999998</v>
      </c>
      <c r="G3995" s="7">
        <f t="shared" si="299"/>
        <v>1758.9005279999997</v>
      </c>
      <c r="H3995" s="8">
        <f t="shared" si="300"/>
        <v>1884.5362799999998</v>
      </c>
      <c r="I3995" s="9">
        <f t="shared" si="301"/>
        <v>2010.1720319999997</v>
      </c>
    </row>
    <row r="3996" spans="1:9" x14ac:dyDescent="0.35">
      <c r="A3996" s="18" t="s">
        <v>2098</v>
      </c>
      <c r="B3996" s="18" t="s">
        <v>512</v>
      </c>
      <c r="C3996" s="20">
        <v>45710</v>
      </c>
      <c r="D3996" s="11">
        <v>1956.9731999999999</v>
      </c>
      <c r="E3996" s="27">
        <f t="shared" si="302"/>
        <v>2178.5025662399999</v>
      </c>
      <c r="F3996" s="6">
        <f t="shared" si="298"/>
        <v>2832.0533361120001</v>
      </c>
      <c r="G3996" s="7">
        <f t="shared" si="299"/>
        <v>3049.9035927359996</v>
      </c>
      <c r="H3996" s="8">
        <f t="shared" si="300"/>
        <v>3267.7538493599995</v>
      </c>
      <c r="I3996" s="9">
        <f t="shared" si="301"/>
        <v>3485.6041059839999</v>
      </c>
    </row>
    <row r="3997" spans="1:9" x14ac:dyDescent="0.35">
      <c r="A3997" s="18" t="s">
        <v>3120</v>
      </c>
      <c r="B3997" s="18" t="s">
        <v>3119</v>
      </c>
      <c r="C3997" s="20">
        <v>45710</v>
      </c>
      <c r="D3997" s="11">
        <v>675.77328000000011</v>
      </c>
      <c r="E3997" s="27">
        <f t="shared" si="302"/>
        <v>752.27081529600014</v>
      </c>
      <c r="F3997" s="6">
        <f t="shared" si="298"/>
        <v>977.95205988480018</v>
      </c>
      <c r="G3997" s="7">
        <f t="shared" si="299"/>
        <v>1053.1791414144002</v>
      </c>
      <c r="H3997" s="8">
        <f t="shared" si="300"/>
        <v>1128.4062229440001</v>
      </c>
      <c r="I3997" s="9">
        <f t="shared" si="301"/>
        <v>1203.6333044736002</v>
      </c>
    </row>
    <row r="3998" spans="1:9" x14ac:dyDescent="0.35">
      <c r="A3998" s="18" t="s">
        <v>605</v>
      </c>
      <c r="B3998" s="18" t="s">
        <v>606</v>
      </c>
      <c r="C3998" s="20">
        <v>45710</v>
      </c>
      <c r="D3998" s="11">
        <v>1081.08</v>
      </c>
      <c r="E3998" s="27">
        <f t="shared" si="302"/>
        <v>1203.4582559999999</v>
      </c>
      <c r="F3998" s="6">
        <f t="shared" si="298"/>
        <v>1564.4957327999998</v>
      </c>
      <c r="G3998" s="7">
        <f t="shared" si="299"/>
        <v>1684.8415583999997</v>
      </c>
      <c r="H3998" s="8">
        <f t="shared" si="300"/>
        <v>1805.1873839999998</v>
      </c>
      <c r="I3998" s="9">
        <f t="shared" si="301"/>
        <v>1925.5332096</v>
      </c>
    </row>
    <row r="3999" spans="1:9" x14ac:dyDescent="0.35">
      <c r="A3999" s="18" t="s">
        <v>914</v>
      </c>
      <c r="B3999" s="18" t="s">
        <v>915</v>
      </c>
      <c r="C3999" s="20">
        <v>45710</v>
      </c>
      <c r="D3999" s="11">
        <v>716.35200000000009</v>
      </c>
      <c r="E3999" s="27">
        <f t="shared" si="302"/>
        <v>797.44304640000007</v>
      </c>
      <c r="F3999" s="6">
        <f t="shared" si="298"/>
        <v>1036.6759603200001</v>
      </c>
      <c r="G3999" s="7">
        <f t="shared" si="299"/>
        <v>1116.4202649599999</v>
      </c>
      <c r="H3999" s="8">
        <f t="shared" si="300"/>
        <v>1196.1645696</v>
      </c>
      <c r="I3999" s="9">
        <f t="shared" si="301"/>
        <v>1275.9088742400002</v>
      </c>
    </row>
    <row r="4000" spans="1:9" x14ac:dyDescent="0.35">
      <c r="A4000" s="18" t="s">
        <v>6590</v>
      </c>
      <c r="B4000" s="18" t="s">
        <v>6591</v>
      </c>
      <c r="C4000" s="20">
        <v>45710</v>
      </c>
      <c r="D4000" s="11">
        <v>584.22</v>
      </c>
      <c r="E4000" s="27">
        <f t="shared" si="302"/>
        <v>650.35370399999999</v>
      </c>
      <c r="F4000" s="6">
        <f t="shared" si="298"/>
        <v>845.45981519999998</v>
      </c>
      <c r="G4000" s="7">
        <f t="shared" si="299"/>
        <v>910.4951855999999</v>
      </c>
      <c r="H4000" s="8">
        <f t="shared" si="300"/>
        <v>975.53055599999993</v>
      </c>
      <c r="I4000" s="9">
        <f t="shared" si="301"/>
        <v>1040.5659264000001</v>
      </c>
    </row>
    <row r="4001" spans="1:9" ht="18" x14ac:dyDescent="0.4">
      <c r="A4001" s="28"/>
      <c r="B4001" s="34" t="s">
        <v>626</v>
      </c>
      <c r="C4001" s="29"/>
      <c r="D4001" s="11">
        <v>0</v>
      </c>
      <c r="E4001" s="27">
        <f t="shared" si="302"/>
        <v>0</v>
      </c>
      <c r="F4001" s="6">
        <f t="shared" si="298"/>
        <v>0</v>
      </c>
      <c r="G4001" s="7">
        <f t="shared" si="299"/>
        <v>0</v>
      </c>
      <c r="H4001" s="8">
        <f t="shared" si="300"/>
        <v>0</v>
      </c>
      <c r="I4001" s="9">
        <f t="shared" si="301"/>
        <v>0</v>
      </c>
    </row>
    <row r="4002" spans="1:9" x14ac:dyDescent="0.35">
      <c r="A4002" s="28" t="s">
        <v>623</v>
      </c>
      <c r="B4002" s="28" t="s">
        <v>2634</v>
      </c>
      <c r="C4002" s="29">
        <v>45741</v>
      </c>
      <c r="D4002" s="11">
        <v>962.53989999999988</v>
      </c>
      <c r="E4002" s="27">
        <f t="shared" si="302"/>
        <v>1071.49941668</v>
      </c>
      <c r="F4002" s="6">
        <f t="shared" si="298"/>
        <v>1392.9492416840001</v>
      </c>
      <c r="G4002" s="7">
        <f t="shared" si="299"/>
        <v>1500.099183352</v>
      </c>
      <c r="H4002" s="8">
        <f t="shared" si="300"/>
        <v>1607.2491250200001</v>
      </c>
      <c r="I4002" s="9">
        <f t="shared" si="301"/>
        <v>1714.3990666879999</v>
      </c>
    </row>
    <row r="4003" spans="1:9" x14ac:dyDescent="0.35">
      <c r="A4003" s="28" t="s">
        <v>624</v>
      </c>
      <c r="B4003" s="28" t="s">
        <v>2635</v>
      </c>
      <c r="C4003" s="29">
        <v>45741</v>
      </c>
      <c r="D4003" s="11">
        <v>685.48480000000006</v>
      </c>
      <c r="E4003" s="27">
        <f t="shared" si="302"/>
        <v>763.08167936000007</v>
      </c>
      <c r="F4003" s="6">
        <f t="shared" si="298"/>
        <v>992.00618316800012</v>
      </c>
      <c r="G4003" s="7">
        <f t="shared" si="299"/>
        <v>1068.314351104</v>
      </c>
      <c r="H4003" s="8">
        <f t="shared" si="300"/>
        <v>1144.62251904</v>
      </c>
      <c r="I4003" s="9">
        <f t="shared" si="301"/>
        <v>1220.9306869760001</v>
      </c>
    </row>
    <row r="4004" spans="1:9" x14ac:dyDescent="0.35">
      <c r="A4004" s="28" t="s">
        <v>625</v>
      </c>
      <c r="B4004" s="28" t="s">
        <v>6208</v>
      </c>
      <c r="C4004" s="29">
        <v>45741</v>
      </c>
      <c r="D4004" s="11">
        <v>1505.9693600000003</v>
      </c>
      <c r="E4004" s="27">
        <f t="shared" si="302"/>
        <v>1676.4450915520003</v>
      </c>
      <c r="F4004" s="6">
        <f t="shared" si="298"/>
        <v>2179.3786190176006</v>
      </c>
      <c r="G4004" s="7">
        <f t="shared" si="299"/>
        <v>2347.0231281728002</v>
      </c>
      <c r="H4004" s="8">
        <f t="shared" si="300"/>
        <v>2514.6676373280006</v>
      </c>
      <c r="I4004" s="9">
        <f t="shared" si="301"/>
        <v>2682.3121464832006</v>
      </c>
    </row>
  </sheetData>
  <phoneticPr fontId="1" type="noConversion"/>
  <conditionalFormatting sqref="B20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XP Professional</dc:creator>
  <cp:lastModifiedBy>Bruno Colantonio</cp:lastModifiedBy>
  <cp:lastPrinted>2024-10-14T11:00:13Z</cp:lastPrinted>
  <dcterms:created xsi:type="dcterms:W3CDTF">2009-03-17T20:26:32Z</dcterms:created>
  <dcterms:modified xsi:type="dcterms:W3CDTF">2025-03-28T00:58:48Z</dcterms:modified>
</cp:coreProperties>
</file>